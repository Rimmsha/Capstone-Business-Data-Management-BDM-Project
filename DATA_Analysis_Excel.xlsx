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3.xml" ContentType="application/vnd.openxmlformats-officedocument.drawingml.chartshapes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C1EAF525-545E-4C3F-9105-8FF25277191E}" xr6:coauthVersionLast="47" xr6:coauthVersionMax="47" xr10:uidLastSave="{00000000-0000-0000-0000-000000000000}"/>
  <bookViews>
    <workbookView xWindow="-108" yWindow="-108" windowWidth="23256" windowHeight="12456" tabRatio="874" firstSheet="8" activeTab="13" xr2:uid="{BE57EC6F-7A8E-4F18-AE25-7FA76A30E235}"/>
  </bookViews>
  <sheets>
    <sheet name="Stored Daily Sales" sheetId="10" r:id="rId1"/>
    <sheet name="Stock Inventory" sheetId="11" r:id="rId2"/>
    <sheet name="ITEMS LIST" sheetId="9" r:id="rId3"/>
    <sheet name="Monthly Sales" sheetId="15" r:id="rId4"/>
    <sheet name="Monthly Revenue" sheetId="21" r:id="rId5"/>
    <sheet name="Rev &amp; Vol" sheetId="24" r:id="rId6"/>
    <sheet name="SKU Sales" sheetId="16" r:id="rId7"/>
    <sheet name="SKU Revenue" sheetId="22" r:id="rId8"/>
    <sheet name="WeekWise Sales" sheetId="18" r:id="rId9"/>
    <sheet name="WeekWise Revenue" sheetId="25" r:id="rId10"/>
    <sheet name="DayWise Sales" sheetId="19" r:id="rId11"/>
    <sheet name="DayWise Revenue" sheetId="23" r:id="rId12"/>
    <sheet name="SKU Monthly Sales" sheetId="29" r:id="rId13"/>
    <sheet name="SKU Monthly Revenue" sheetId="30" r:id="rId14"/>
    <sheet name="Scatter Plot" sheetId="31" r:id="rId15"/>
    <sheet name="Profit " sheetId="33" r:id="rId16"/>
    <sheet name="Average Days of Inventory" sheetId="32" r:id="rId17"/>
    <sheet name="Daily Sales" sheetId="14" r:id="rId18"/>
  </sheets>
  <definedNames>
    <definedName name="_xlnm._FilterDatabase" localSheetId="13" hidden="1">'SKU Monthly Revenue'!$E$3:$G$21</definedName>
    <definedName name="_xlchart.v1.0" hidden="1">'SKU Sales'!$H$4:$H$21</definedName>
    <definedName name="_xlchart.v1.1" hidden="1">'SKU Sales'!$I$3</definedName>
    <definedName name="_xlchart.v1.10" hidden="1">'SKU Revenue'!$J$3</definedName>
    <definedName name="_xlchart.v1.11" hidden="1">'SKU Revenue'!$J$4:$J$21</definedName>
    <definedName name="_xlchart.v1.2" hidden="1">'SKU Sales'!$I$4:$I$21</definedName>
    <definedName name="_xlchart.v1.3" hidden="1">'SKU Sales'!$K$3</definedName>
    <definedName name="_xlchart.v1.4" hidden="1">'SKU Sales'!$K$4:$K$21</definedName>
    <definedName name="_xlchart.v1.5" hidden="1">'SKU Revenue'!$G$4:$G$21</definedName>
    <definedName name="_xlchart.v1.6" hidden="1">'SKU Revenue'!$H$3</definedName>
    <definedName name="_xlchart.v1.7" hidden="1">'SKU Revenue'!$H$4:$H$21</definedName>
    <definedName name="_xlchart.v1.8" hidden="1">'SKU Revenue'!$I$3</definedName>
    <definedName name="_xlchart.v1.9" hidden="1">'SKU Revenue'!$I$4:$I$21</definedName>
    <definedName name="solver_eng" localSheetId="3" hidden="1">1</definedName>
    <definedName name="solver_neg" localSheetId="3" hidden="1">1</definedName>
    <definedName name="solver_num" localSheetId="3" hidden="1">0</definedName>
    <definedName name="solver_opt" localSheetId="3" hidden="1">'Monthly Sales'!$Q$17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8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2" l="1"/>
  <c r="D9" i="32"/>
  <c r="D11" i="32"/>
  <c r="D12" i="32"/>
  <c r="D14" i="32"/>
  <c r="D15" i="32"/>
  <c r="D17" i="32"/>
  <c r="D18" i="32"/>
  <c r="D19" i="32"/>
  <c r="D20" i="32"/>
  <c r="D3" i="32"/>
  <c r="B4" i="32"/>
  <c r="D4" i="32" s="1"/>
  <c r="B5" i="32"/>
  <c r="D5" i="32" s="1"/>
  <c r="B6" i="32"/>
  <c r="D6" i="32" s="1"/>
  <c r="B7" i="32"/>
  <c r="D7" i="32" s="1"/>
  <c r="B8" i="32"/>
  <c r="B9" i="32"/>
  <c r="B10" i="32"/>
  <c r="D10" i="32" s="1"/>
  <c r="B11" i="32"/>
  <c r="B12" i="32"/>
  <c r="B13" i="32"/>
  <c r="D13" i="32" s="1"/>
  <c r="B14" i="32"/>
  <c r="B15" i="32"/>
  <c r="B16" i="32"/>
  <c r="D16" i="32" s="1"/>
  <c r="B17" i="32"/>
  <c r="B18" i="32"/>
  <c r="B19" i="32"/>
  <c r="B20" i="32"/>
  <c r="B3" i="3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4" i="22"/>
  <c r="I6" i="22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I5" i="22"/>
  <c r="I4" i="22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4" i="16"/>
  <c r="J7" i="16"/>
  <c r="J8" i="16"/>
  <c r="J9" i="16"/>
  <c r="J10" i="16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6" i="16"/>
  <c r="J5" i="16"/>
  <c r="J4" i="16"/>
  <c r="G3" i="14"/>
  <c r="I3" i="14" s="1"/>
  <c r="G4" i="14"/>
  <c r="I4" i="14" s="1"/>
  <c r="G5" i="14"/>
  <c r="I5" i="14" s="1"/>
  <c r="G6" i="14"/>
  <c r="I6" i="14" s="1"/>
  <c r="G7" i="14"/>
  <c r="I7" i="14" s="1"/>
  <c r="G8" i="14"/>
  <c r="I8" i="14" s="1"/>
  <c r="G9" i="14"/>
  <c r="I9" i="14" s="1"/>
  <c r="G10" i="14"/>
  <c r="I10" i="14" s="1"/>
  <c r="G11" i="14"/>
  <c r="I11" i="14" s="1"/>
  <c r="G12" i="14"/>
  <c r="I12" i="14" s="1"/>
  <c r="G13" i="14"/>
  <c r="I13" i="14" s="1"/>
  <c r="G14" i="14"/>
  <c r="I14" i="14" s="1"/>
  <c r="G15" i="14"/>
  <c r="I15" i="14" s="1"/>
  <c r="G16" i="14"/>
  <c r="I16" i="14" s="1"/>
  <c r="G17" i="14"/>
  <c r="I17" i="14" s="1"/>
  <c r="G18" i="14"/>
  <c r="I18" i="14" s="1"/>
  <c r="G19" i="14"/>
  <c r="I19" i="14" s="1"/>
  <c r="G20" i="14"/>
  <c r="I20" i="14" s="1"/>
  <c r="G21" i="14"/>
  <c r="I21" i="14" s="1"/>
  <c r="G22" i="14"/>
  <c r="I22" i="14" s="1"/>
  <c r="G23" i="14"/>
  <c r="I23" i="14" s="1"/>
  <c r="G24" i="14"/>
  <c r="I24" i="14" s="1"/>
  <c r="G25" i="14"/>
  <c r="I25" i="14" s="1"/>
  <c r="G26" i="14"/>
  <c r="I26" i="14" s="1"/>
  <c r="G27" i="14"/>
  <c r="I27" i="14" s="1"/>
  <c r="G28" i="14"/>
  <c r="I28" i="14" s="1"/>
  <c r="G29" i="14"/>
  <c r="I29" i="14" s="1"/>
  <c r="G30" i="14"/>
  <c r="I30" i="14" s="1"/>
  <c r="G31" i="14"/>
  <c r="I31" i="14" s="1"/>
  <c r="G32" i="14"/>
  <c r="I32" i="14" s="1"/>
  <c r="G33" i="14"/>
  <c r="I33" i="14" s="1"/>
  <c r="G34" i="14"/>
  <c r="I34" i="14" s="1"/>
  <c r="G35" i="14"/>
  <c r="I35" i="14" s="1"/>
  <c r="G36" i="14"/>
  <c r="I36" i="14" s="1"/>
  <c r="G37" i="14"/>
  <c r="I37" i="14" s="1"/>
  <c r="G38" i="14"/>
  <c r="I38" i="14" s="1"/>
  <c r="G39" i="14"/>
  <c r="I39" i="14" s="1"/>
  <c r="G40" i="14"/>
  <c r="I40" i="14" s="1"/>
  <c r="G41" i="14"/>
  <c r="I41" i="14" s="1"/>
  <c r="G42" i="14"/>
  <c r="I42" i="14" s="1"/>
  <c r="G43" i="14"/>
  <c r="I43" i="14" s="1"/>
  <c r="G44" i="14"/>
  <c r="I44" i="14" s="1"/>
  <c r="G45" i="14"/>
  <c r="I45" i="14" s="1"/>
  <c r="G46" i="14"/>
  <c r="I46" i="14" s="1"/>
  <c r="G47" i="14"/>
  <c r="I47" i="14" s="1"/>
  <c r="G48" i="14"/>
  <c r="I48" i="14" s="1"/>
  <c r="G49" i="14"/>
  <c r="I49" i="14" s="1"/>
  <c r="G50" i="14"/>
  <c r="I50" i="14" s="1"/>
  <c r="G51" i="14"/>
  <c r="I51" i="14" s="1"/>
  <c r="G52" i="14"/>
  <c r="I52" i="14" s="1"/>
  <c r="G53" i="14"/>
  <c r="I53" i="14" s="1"/>
  <c r="G54" i="14"/>
  <c r="I54" i="14" s="1"/>
  <c r="G55" i="14"/>
  <c r="I55" i="14" s="1"/>
  <c r="G56" i="14"/>
  <c r="I56" i="14" s="1"/>
  <c r="G57" i="14"/>
  <c r="I57" i="14" s="1"/>
  <c r="G58" i="14"/>
  <c r="I58" i="14" s="1"/>
  <c r="G59" i="14"/>
  <c r="I59" i="14" s="1"/>
  <c r="G60" i="14"/>
  <c r="I60" i="14" s="1"/>
  <c r="G61" i="14"/>
  <c r="I61" i="14" s="1"/>
  <c r="G62" i="14"/>
  <c r="I62" i="14" s="1"/>
  <c r="G63" i="14"/>
  <c r="I63" i="14" s="1"/>
  <c r="G64" i="14"/>
  <c r="I64" i="14" s="1"/>
  <c r="G65" i="14"/>
  <c r="I65" i="14" s="1"/>
  <c r="G66" i="14"/>
  <c r="I66" i="14" s="1"/>
  <c r="G67" i="14"/>
  <c r="I67" i="14" s="1"/>
  <c r="G68" i="14"/>
  <c r="I68" i="14" s="1"/>
  <c r="G69" i="14"/>
  <c r="I69" i="14" s="1"/>
  <c r="G70" i="14"/>
  <c r="I70" i="14" s="1"/>
  <c r="G71" i="14"/>
  <c r="I71" i="14" s="1"/>
  <c r="G72" i="14"/>
  <c r="I72" i="14" s="1"/>
  <c r="G73" i="14"/>
  <c r="I73" i="14" s="1"/>
  <c r="G74" i="14"/>
  <c r="I74" i="14" s="1"/>
  <c r="G75" i="14"/>
  <c r="I75" i="14" s="1"/>
  <c r="G76" i="14"/>
  <c r="I76" i="14" s="1"/>
  <c r="G77" i="14"/>
  <c r="I77" i="14" s="1"/>
  <c r="G78" i="14"/>
  <c r="I78" i="14" s="1"/>
  <c r="G79" i="14"/>
  <c r="I79" i="14" s="1"/>
  <c r="G80" i="14"/>
  <c r="I80" i="14" s="1"/>
  <c r="G81" i="14"/>
  <c r="I81" i="14" s="1"/>
  <c r="G82" i="14"/>
  <c r="I82" i="14" s="1"/>
  <c r="G83" i="14"/>
  <c r="I83" i="14" s="1"/>
  <c r="G84" i="14"/>
  <c r="I84" i="14" s="1"/>
  <c r="G85" i="14"/>
  <c r="I85" i="14" s="1"/>
  <c r="G86" i="14"/>
  <c r="I86" i="14" s="1"/>
  <c r="G87" i="14"/>
  <c r="I87" i="14" s="1"/>
  <c r="G88" i="14"/>
  <c r="I88" i="14" s="1"/>
  <c r="G89" i="14"/>
  <c r="I89" i="14" s="1"/>
  <c r="G90" i="14"/>
  <c r="I90" i="14" s="1"/>
  <c r="G91" i="14"/>
  <c r="I91" i="14" s="1"/>
  <c r="G92" i="14"/>
  <c r="I92" i="14" s="1"/>
  <c r="G93" i="14"/>
  <c r="I93" i="14" s="1"/>
  <c r="G94" i="14"/>
  <c r="I94" i="14" s="1"/>
  <c r="G95" i="14"/>
  <c r="I95" i="14" s="1"/>
  <c r="G96" i="14"/>
  <c r="I96" i="14" s="1"/>
  <c r="G97" i="14"/>
  <c r="I97" i="14" s="1"/>
  <c r="G98" i="14"/>
  <c r="I98" i="14" s="1"/>
  <c r="G99" i="14"/>
  <c r="I99" i="14" s="1"/>
  <c r="G100" i="14"/>
  <c r="I100" i="14" s="1"/>
  <c r="G101" i="14"/>
  <c r="I101" i="14" s="1"/>
  <c r="G102" i="14"/>
  <c r="I102" i="14" s="1"/>
  <c r="G103" i="14"/>
  <c r="I103" i="14" s="1"/>
  <c r="G104" i="14"/>
  <c r="I104" i="14" s="1"/>
  <c r="G105" i="14"/>
  <c r="I105" i="14" s="1"/>
  <c r="G106" i="14"/>
  <c r="I106" i="14" s="1"/>
  <c r="G107" i="14"/>
  <c r="I107" i="14" s="1"/>
  <c r="G108" i="14"/>
  <c r="I108" i="14" s="1"/>
  <c r="G109" i="14"/>
  <c r="I109" i="14" s="1"/>
  <c r="G110" i="14"/>
  <c r="I110" i="14" s="1"/>
  <c r="G111" i="14"/>
  <c r="I111" i="14" s="1"/>
  <c r="G112" i="14"/>
  <c r="I112" i="14" s="1"/>
  <c r="G113" i="14"/>
  <c r="I113" i="14" s="1"/>
  <c r="G114" i="14"/>
  <c r="I114" i="14" s="1"/>
  <c r="G115" i="14"/>
  <c r="I115" i="14" s="1"/>
  <c r="G116" i="14"/>
  <c r="I116" i="14" s="1"/>
  <c r="G117" i="14"/>
  <c r="I117" i="14" s="1"/>
  <c r="G118" i="14"/>
  <c r="I118" i="14" s="1"/>
  <c r="G119" i="14"/>
  <c r="I119" i="14" s="1"/>
  <c r="G120" i="14"/>
  <c r="I120" i="14" s="1"/>
  <c r="G121" i="14"/>
  <c r="I121" i="14" s="1"/>
  <c r="G122" i="14"/>
  <c r="I122" i="14" s="1"/>
  <c r="G123" i="14"/>
  <c r="I123" i="14" s="1"/>
  <c r="G124" i="14"/>
  <c r="I124" i="14" s="1"/>
  <c r="G125" i="14"/>
  <c r="I125" i="14" s="1"/>
  <c r="G126" i="14"/>
  <c r="I126" i="14" s="1"/>
  <c r="G127" i="14"/>
  <c r="I127" i="14" s="1"/>
  <c r="G128" i="14"/>
  <c r="I128" i="14" s="1"/>
  <c r="G129" i="14"/>
  <c r="I129" i="14" s="1"/>
  <c r="G130" i="14"/>
  <c r="I130" i="14" s="1"/>
  <c r="G131" i="14"/>
  <c r="I131" i="14" s="1"/>
  <c r="G132" i="14"/>
  <c r="I132" i="14" s="1"/>
  <c r="G133" i="14"/>
  <c r="I133" i="14" s="1"/>
  <c r="G134" i="14"/>
  <c r="I134" i="14" s="1"/>
  <c r="G135" i="14"/>
  <c r="I135" i="14" s="1"/>
  <c r="G136" i="14"/>
  <c r="I136" i="14" s="1"/>
  <c r="G137" i="14"/>
  <c r="I137" i="14" s="1"/>
  <c r="G138" i="14"/>
  <c r="I138" i="14" s="1"/>
  <c r="G139" i="14"/>
  <c r="I139" i="14" s="1"/>
  <c r="G140" i="14"/>
  <c r="I140" i="14" s="1"/>
  <c r="G141" i="14"/>
  <c r="I141" i="14" s="1"/>
  <c r="G142" i="14"/>
  <c r="I142" i="14" s="1"/>
  <c r="G143" i="14"/>
  <c r="I143" i="14" s="1"/>
  <c r="G144" i="14"/>
  <c r="I144" i="14" s="1"/>
  <c r="G145" i="14"/>
  <c r="I145" i="14" s="1"/>
  <c r="G146" i="14"/>
  <c r="I146" i="14" s="1"/>
  <c r="G147" i="14"/>
  <c r="I147" i="14" s="1"/>
  <c r="G148" i="14"/>
  <c r="I148" i="14" s="1"/>
  <c r="G149" i="14"/>
  <c r="I149" i="14" s="1"/>
  <c r="G150" i="14"/>
  <c r="I150" i="14" s="1"/>
  <c r="G151" i="14"/>
  <c r="I151" i="14" s="1"/>
  <c r="G152" i="14"/>
  <c r="I152" i="14" s="1"/>
  <c r="G153" i="14"/>
  <c r="I153" i="14" s="1"/>
  <c r="G154" i="14"/>
  <c r="I154" i="14" s="1"/>
  <c r="G155" i="14"/>
  <c r="I155" i="14" s="1"/>
  <c r="G156" i="14"/>
  <c r="I156" i="14" s="1"/>
  <c r="G157" i="14"/>
  <c r="I157" i="14" s="1"/>
  <c r="G158" i="14"/>
  <c r="I158" i="14" s="1"/>
  <c r="G159" i="14"/>
  <c r="I159" i="14" s="1"/>
  <c r="G160" i="14"/>
  <c r="I160" i="14" s="1"/>
  <c r="G161" i="14"/>
  <c r="I161" i="14" s="1"/>
  <c r="G162" i="14"/>
  <c r="I162" i="14" s="1"/>
  <c r="G163" i="14"/>
  <c r="I163" i="14" s="1"/>
  <c r="G164" i="14"/>
  <c r="I164" i="14" s="1"/>
  <c r="G165" i="14"/>
  <c r="I165" i="14" s="1"/>
  <c r="G166" i="14"/>
  <c r="I166" i="14" s="1"/>
  <c r="G167" i="14"/>
  <c r="I167" i="14" s="1"/>
  <c r="G168" i="14"/>
  <c r="I168" i="14" s="1"/>
  <c r="G169" i="14"/>
  <c r="I169" i="14" s="1"/>
  <c r="G170" i="14"/>
  <c r="I170" i="14" s="1"/>
  <c r="G171" i="14"/>
  <c r="I171" i="14" s="1"/>
  <c r="G172" i="14"/>
  <c r="I172" i="14" s="1"/>
  <c r="G173" i="14"/>
  <c r="I173" i="14" s="1"/>
  <c r="G174" i="14"/>
  <c r="I174" i="14" s="1"/>
  <c r="G175" i="14"/>
  <c r="I175" i="14" s="1"/>
  <c r="G176" i="14"/>
  <c r="I176" i="14" s="1"/>
  <c r="G177" i="14"/>
  <c r="I177" i="14" s="1"/>
  <c r="G178" i="14"/>
  <c r="I178" i="14" s="1"/>
  <c r="G179" i="14"/>
  <c r="I179" i="14" s="1"/>
  <c r="G180" i="14"/>
  <c r="I180" i="14" s="1"/>
  <c r="G181" i="14"/>
  <c r="I181" i="14" s="1"/>
  <c r="G182" i="14"/>
  <c r="I182" i="14" s="1"/>
  <c r="G183" i="14"/>
  <c r="I183" i="14" s="1"/>
  <c r="G184" i="14"/>
  <c r="I184" i="14" s="1"/>
  <c r="G185" i="14"/>
  <c r="I185" i="14" s="1"/>
  <c r="G186" i="14"/>
  <c r="I186" i="14" s="1"/>
  <c r="G187" i="14"/>
  <c r="I187" i="14" s="1"/>
  <c r="G188" i="14"/>
  <c r="I188" i="14" s="1"/>
  <c r="G189" i="14"/>
  <c r="I189" i="14" s="1"/>
  <c r="G190" i="14"/>
  <c r="I190" i="14" s="1"/>
  <c r="G191" i="14"/>
  <c r="I191" i="14" s="1"/>
  <c r="G192" i="14"/>
  <c r="I192" i="14" s="1"/>
  <c r="G193" i="14"/>
  <c r="I193" i="14" s="1"/>
  <c r="G194" i="14"/>
  <c r="I194" i="14" s="1"/>
  <c r="G195" i="14"/>
  <c r="I195" i="14" s="1"/>
  <c r="G196" i="14"/>
  <c r="I196" i="14" s="1"/>
  <c r="G197" i="14"/>
  <c r="I197" i="14" s="1"/>
  <c r="G198" i="14"/>
  <c r="I198" i="14" s="1"/>
  <c r="G199" i="14"/>
  <c r="I199" i="14" s="1"/>
  <c r="G200" i="14"/>
  <c r="I200" i="14" s="1"/>
  <c r="G201" i="14"/>
  <c r="I201" i="14" s="1"/>
  <c r="G202" i="14"/>
  <c r="I202" i="14" s="1"/>
  <c r="G203" i="14"/>
  <c r="I203" i="14" s="1"/>
  <c r="G204" i="14"/>
  <c r="I204" i="14" s="1"/>
  <c r="G205" i="14"/>
  <c r="I205" i="14" s="1"/>
  <c r="G206" i="14"/>
  <c r="I206" i="14" s="1"/>
  <c r="G207" i="14"/>
  <c r="I207" i="14" s="1"/>
  <c r="G208" i="14"/>
  <c r="I208" i="14" s="1"/>
  <c r="G209" i="14"/>
  <c r="I209" i="14" s="1"/>
  <c r="G210" i="14"/>
  <c r="I210" i="14" s="1"/>
  <c r="G211" i="14"/>
  <c r="I211" i="14" s="1"/>
  <c r="G212" i="14"/>
  <c r="I212" i="14" s="1"/>
  <c r="G213" i="14"/>
  <c r="I213" i="14" s="1"/>
  <c r="G214" i="14"/>
  <c r="I214" i="14" s="1"/>
  <c r="G215" i="14"/>
  <c r="I215" i="14" s="1"/>
  <c r="G216" i="14"/>
  <c r="I216" i="14" s="1"/>
  <c r="G217" i="14"/>
  <c r="I217" i="14" s="1"/>
  <c r="G218" i="14"/>
  <c r="I218" i="14" s="1"/>
  <c r="G219" i="14"/>
  <c r="I219" i="14" s="1"/>
  <c r="G220" i="14"/>
  <c r="I220" i="14" s="1"/>
  <c r="G221" i="14"/>
  <c r="I221" i="14" s="1"/>
  <c r="G222" i="14"/>
  <c r="I222" i="14" s="1"/>
  <c r="G223" i="14"/>
  <c r="I223" i="14" s="1"/>
  <c r="G224" i="14"/>
  <c r="I224" i="14" s="1"/>
  <c r="G225" i="14"/>
  <c r="I225" i="14" s="1"/>
  <c r="G226" i="14"/>
  <c r="I226" i="14" s="1"/>
  <c r="G227" i="14"/>
  <c r="I227" i="14" s="1"/>
  <c r="G228" i="14"/>
  <c r="I228" i="14" s="1"/>
  <c r="G229" i="14"/>
  <c r="I229" i="14" s="1"/>
  <c r="G230" i="14"/>
  <c r="I230" i="14" s="1"/>
  <c r="G231" i="14"/>
  <c r="I231" i="14" s="1"/>
  <c r="G232" i="14"/>
  <c r="I232" i="14" s="1"/>
  <c r="G233" i="14"/>
  <c r="I233" i="14" s="1"/>
  <c r="G234" i="14"/>
  <c r="I234" i="14" s="1"/>
  <c r="G235" i="14"/>
  <c r="I235" i="14" s="1"/>
  <c r="G236" i="14"/>
  <c r="I236" i="14" s="1"/>
  <c r="G237" i="14"/>
  <c r="I237" i="14" s="1"/>
  <c r="G238" i="14"/>
  <c r="I238" i="14" s="1"/>
  <c r="G239" i="14"/>
  <c r="I239" i="14" s="1"/>
  <c r="G240" i="14"/>
  <c r="I240" i="14" s="1"/>
  <c r="G241" i="14"/>
  <c r="I241" i="14" s="1"/>
  <c r="G242" i="14"/>
  <c r="I242" i="14" s="1"/>
  <c r="G243" i="14"/>
  <c r="I243" i="14" s="1"/>
  <c r="G244" i="14"/>
  <c r="I244" i="14" s="1"/>
  <c r="G245" i="14"/>
  <c r="I245" i="14" s="1"/>
  <c r="G246" i="14"/>
  <c r="I246" i="14" s="1"/>
  <c r="G247" i="14"/>
  <c r="I247" i="14" s="1"/>
  <c r="G248" i="14"/>
  <c r="I248" i="14" s="1"/>
  <c r="G249" i="14"/>
  <c r="I249" i="14" s="1"/>
  <c r="G250" i="14"/>
  <c r="I250" i="14" s="1"/>
  <c r="G251" i="14"/>
  <c r="I251" i="14" s="1"/>
  <c r="G252" i="14"/>
  <c r="I252" i="14" s="1"/>
  <c r="G253" i="14"/>
  <c r="I253" i="14" s="1"/>
  <c r="G254" i="14"/>
  <c r="I254" i="14" s="1"/>
  <c r="G255" i="14"/>
  <c r="I255" i="14" s="1"/>
  <c r="G256" i="14"/>
  <c r="I256" i="14" s="1"/>
  <c r="G257" i="14"/>
  <c r="I257" i="14" s="1"/>
  <c r="G258" i="14"/>
  <c r="I258" i="14" s="1"/>
  <c r="G259" i="14"/>
  <c r="I259" i="14" s="1"/>
  <c r="G260" i="14"/>
  <c r="I260" i="14" s="1"/>
  <c r="G261" i="14"/>
  <c r="I261" i="14" s="1"/>
  <c r="G262" i="14"/>
  <c r="I262" i="14" s="1"/>
  <c r="G263" i="14"/>
  <c r="I263" i="14" s="1"/>
  <c r="G264" i="14"/>
  <c r="I264" i="14" s="1"/>
  <c r="G265" i="14"/>
  <c r="I265" i="14" s="1"/>
  <c r="G266" i="14"/>
  <c r="I266" i="14" s="1"/>
  <c r="G267" i="14"/>
  <c r="I267" i="14" s="1"/>
  <c r="G268" i="14"/>
  <c r="I268" i="14" s="1"/>
  <c r="G269" i="14"/>
  <c r="I269" i="14" s="1"/>
  <c r="G270" i="14"/>
  <c r="I270" i="14" s="1"/>
  <c r="G271" i="14"/>
  <c r="I271" i="14" s="1"/>
  <c r="G272" i="14"/>
  <c r="I272" i="14" s="1"/>
  <c r="G273" i="14"/>
  <c r="I273" i="14" s="1"/>
  <c r="G274" i="14"/>
  <c r="I274" i="14" s="1"/>
  <c r="G275" i="14"/>
  <c r="I275" i="14" s="1"/>
  <c r="G276" i="14"/>
  <c r="I276" i="14" s="1"/>
  <c r="G277" i="14"/>
  <c r="I277" i="14" s="1"/>
  <c r="G278" i="14"/>
  <c r="I278" i="14" s="1"/>
  <c r="G279" i="14"/>
  <c r="I279" i="14" s="1"/>
  <c r="G280" i="14"/>
  <c r="I280" i="14" s="1"/>
  <c r="G281" i="14"/>
  <c r="I281" i="14" s="1"/>
  <c r="G282" i="14"/>
  <c r="I282" i="14" s="1"/>
  <c r="G283" i="14"/>
  <c r="I283" i="14" s="1"/>
  <c r="G284" i="14"/>
  <c r="I284" i="14" s="1"/>
  <c r="G285" i="14"/>
  <c r="I285" i="14" s="1"/>
  <c r="G286" i="14"/>
  <c r="I286" i="14" s="1"/>
  <c r="G287" i="14"/>
  <c r="I287" i="14" s="1"/>
  <c r="G288" i="14"/>
  <c r="I288" i="14" s="1"/>
  <c r="G289" i="14"/>
  <c r="I289" i="14" s="1"/>
  <c r="G290" i="14"/>
  <c r="I290" i="14" s="1"/>
  <c r="G291" i="14"/>
  <c r="I291" i="14" s="1"/>
  <c r="G292" i="14"/>
  <c r="I292" i="14" s="1"/>
  <c r="G293" i="14"/>
  <c r="I293" i="14" s="1"/>
  <c r="G294" i="14"/>
  <c r="I294" i="14" s="1"/>
  <c r="G295" i="14"/>
  <c r="I295" i="14" s="1"/>
  <c r="G296" i="14"/>
  <c r="I296" i="14" s="1"/>
  <c r="G297" i="14"/>
  <c r="I297" i="14" s="1"/>
  <c r="G298" i="14"/>
  <c r="I298" i="14" s="1"/>
  <c r="G299" i="14"/>
  <c r="I299" i="14" s="1"/>
  <c r="G300" i="14"/>
  <c r="I300" i="14" s="1"/>
  <c r="G301" i="14"/>
  <c r="I301" i="14" s="1"/>
  <c r="G302" i="14"/>
  <c r="I302" i="14" s="1"/>
  <c r="G303" i="14"/>
  <c r="I303" i="14" s="1"/>
  <c r="G304" i="14"/>
  <c r="I304" i="14" s="1"/>
  <c r="G305" i="14"/>
  <c r="I305" i="14" s="1"/>
  <c r="G306" i="14"/>
  <c r="I306" i="14" s="1"/>
  <c r="G307" i="14"/>
  <c r="I307" i="14" s="1"/>
  <c r="G308" i="14"/>
  <c r="I308" i="14" s="1"/>
  <c r="G309" i="14"/>
  <c r="I309" i="14" s="1"/>
  <c r="G310" i="14"/>
  <c r="I310" i="14" s="1"/>
  <c r="G311" i="14"/>
  <c r="I311" i="14" s="1"/>
  <c r="G312" i="14"/>
  <c r="I312" i="14" s="1"/>
  <c r="G313" i="14"/>
  <c r="I313" i="14" s="1"/>
  <c r="G314" i="14"/>
  <c r="I314" i="14" s="1"/>
  <c r="G315" i="14"/>
  <c r="I315" i="14" s="1"/>
  <c r="G316" i="14"/>
  <c r="I316" i="14" s="1"/>
  <c r="G317" i="14"/>
  <c r="I317" i="14" s="1"/>
  <c r="G318" i="14"/>
  <c r="I318" i="14" s="1"/>
  <c r="G319" i="14"/>
  <c r="I319" i="14" s="1"/>
  <c r="G320" i="14"/>
  <c r="I320" i="14" s="1"/>
  <c r="G321" i="14"/>
  <c r="I321" i="14" s="1"/>
  <c r="G322" i="14"/>
  <c r="I322" i="14" s="1"/>
  <c r="G323" i="14"/>
  <c r="I323" i="14" s="1"/>
  <c r="G324" i="14"/>
  <c r="I324" i="14" s="1"/>
  <c r="G325" i="14"/>
  <c r="I325" i="14" s="1"/>
  <c r="G326" i="14"/>
  <c r="I326" i="14" s="1"/>
  <c r="G327" i="14"/>
  <c r="I327" i="14" s="1"/>
  <c r="G328" i="14"/>
  <c r="I328" i="14" s="1"/>
  <c r="G329" i="14"/>
  <c r="I329" i="14" s="1"/>
  <c r="G330" i="14"/>
  <c r="I330" i="14" s="1"/>
  <c r="G331" i="14"/>
  <c r="I331" i="14" s="1"/>
  <c r="G332" i="14"/>
  <c r="I332" i="14" s="1"/>
  <c r="G333" i="14"/>
  <c r="I333" i="14" s="1"/>
  <c r="G334" i="14"/>
  <c r="I334" i="14" s="1"/>
  <c r="G335" i="14"/>
  <c r="I335" i="14" s="1"/>
  <c r="G336" i="14"/>
  <c r="I336" i="14" s="1"/>
  <c r="G337" i="14"/>
  <c r="I337" i="14" s="1"/>
  <c r="G338" i="14"/>
  <c r="I338" i="14" s="1"/>
  <c r="G339" i="14"/>
  <c r="I339" i="14" s="1"/>
  <c r="G340" i="14"/>
  <c r="I340" i="14" s="1"/>
  <c r="G341" i="14"/>
  <c r="I341" i="14" s="1"/>
  <c r="G342" i="14"/>
  <c r="I342" i="14" s="1"/>
  <c r="G343" i="14"/>
  <c r="I343" i="14" s="1"/>
  <c r="G344" i="14"/>
  <c r="I344" i="14" s="1"/>
  <c r="G345" i="14"/>
  <c r="I345" i="14" s="1"/>
  <c r="G346" i="14"/>
  <c r="I346" i="14" s="1"/>
  <c r="G347" i="14"/>
  <c r="I347" i="14" s="1"/>
  <c r="G348" i="14"/>
  <c r="I348" i="14" s="1"/>
  <c r="G349" i="14"/>
  <c r="I349" i="14" s="1"/>
  <c r="G350" i="14"/>
  <c r="I350" i="14" s="1"/>
  <c r="G351" i="14"/>
  <c r="I351" i="14" s="1"/>
  <c r="G352" i="14"/>
  <c r="I352" i="14" s="1"/>
  <c r="G353" i="14"/>
  <c r="I353" i="14" s="1"/>
  <c r="G354" i="14"/>
  <c r="I354" i="14" s="1"/>
  <c r="G355" i="14"/>
  <c r="I355" i="14" s="1"/>
  <c r="G356" i="14"/>
  <c r="I356" i="14" s="1"/>
  <c r="G357" i="14"/>
  <c r="I357" i="14" s="1"/>
  <c r="G358" i="14"/>
  <c r="I358" i="14" s="1"/>
  <c r="G359" i="14"/>
  <c r="I359" i="14" s="1"/>
  <c r="G360" i="14"/>
  <c r="I360" i="14" s="1"/>
  <c r="G361" i="14"/>
  <c r="I361" i="14" s="1"/>
  <c r="G362" i="14"/>
  <c r="I362" i="14" s="1"/>
  <c r="G363" i="14"/>
  <c r="I363" i="14" s="1"/>
  <c r="G364" i="14"/>
  <c r="I364" i="14" s="1"/>
  <c r="G365" i="14"/>
  <c r="I365" i="14" s="1"/>
  <c r="G366" i="14"/>
  <c r="I366" i="14" s="1"/>
  <c r="G367" i="14"/>
  <c r="I367" i="14" s="1"/>
  <c r="G368" i="14"/>
  <c r="I368" i="14" s="1"/>
  <c r="G369" i="14"/>
  <c r="I369" i="14" s="1"/>
  <c r="G370" i="14"/>
  <c r="I370" i="14" s="1"/>
  <c r="G371" i="14"/>
  <c r="I371" i="14" s="1"/>
  <c r="G372" i="14"/>
  <c r="I372" i="14" s="1"/>
  <c r="G373" i="14"/>
  <c r="I373" i="14" s="1"/>
  <c r="G374" i="14"/>
  <c r="I374" i="14" s="1"/>
  <c r="G375" i="14"/>
  <c r="I375" i="14" s="1"/>
  <c r="G376" i="14"/>
  <c r="I376" i="14" s="1"/>
  <c r="G377" i="14"/>
  <c r="I377" i="14" s="1"/>
  <c r="G378" i="14"/>
  <c r="I378" i="14" s="1"/>
  <c r="G379" i="14"/>
  <c r="I379" i="14" s="1"/>
  <c r="G380" i="14"/>
  <c r="I380" i="14" s="1"/>
  <c r="G381" i="14"/>
  <c r="I381" i="14" s="1"/>
  <c r="G382" i="14"/>
  <c r="I382" i="14" s="1"/>
  <c r="G383" i="14"/>
  <c r="I383" i="14" s="1"/>
  <c r="G384" i="14"/>
  <c r="I384" i="14" s="1"/>
  <c r="G385" i="14"/>
  <c r="I385" i="14" s="1"/>
  <c r="G386" i="14"/>
  <c r="I386" i="14" s="1"/>
  <c r="G387" i="14"/>
  <c r="I387" i="14" s="1"/>
  <c r="G388" i="14"/>
  <c r="I388" i="14" s="1"/>
  <c r="G389" i="14"/>
  <c r="I389" i="14" s="1"/>
  <c r="G390" i="14"/>
  <c r="I390" i="14" s="1"/>
  <c r="G391" i="14"/>
  <c r="I391" i="14" s="1"/>
  <c r="G392" i="14"/>
  <c r="I392" i="14" s="1"/>
  <c r="G393" i="14"/>
  <c r="I393" i="14" s="1"/>
  <c r="G394" i="14"/>
  <c r="I394" i="14" s="1"/>
  <c r="G395" i="14"/>
  <c r="I395" i="14" s="1"/>
  <c r="G396" i="14"/>
  <c r="I396" i="14" s="1"/>
  <c r="G397" i="14"/>
  <c r="I397" i="14" s="1"/>
  <c r="G398" i="14"/>
  <c r="I398" i="14" s="1"/>
  <c r="G399" i="14"/>
  <c r="I399" i="14" s="1"/>
  <c r="G400" i="14"/>
  <c r="I400" i="14" s="1"/>
  <c r="G401" i="14"/>
  <c r="I401" i="14" s="1"/>
  <c r="G402" i="14"/>
  <c r="I402" i="14" s="1"/>
  <c r="G403" i="14"/>
  <c r="I403" i="14" s="1"/>
  <c r="G404" i="14"/>
  <c r="I404" i="14" s="1"/>
  <c r="G405" i="14"/>
  <c r="I405" i="14" s="1"/>
  <c r="G406" i="14"/>
  <c r="I406" i="14" s="1"/>
  <c r="G407" i="14"/>
  <c r="I407" i="14" s="1"/>
  <c r="G408" i="14"/>
  <c r="I408" i="14" s="1"/>
  <c r="G409" i="14"/>
  <c r="I409" i="14" s="1"/>
  <c r="G410" i="14"/>
  <c r="I410" i="14" s="1"/>
  <c r="G411" i="14"/>
  <c r="I411" i="14" s="1"/>
  <c r="G412" i="14"/>
  <c r="I412" i="14" s="1"/>
  <c r="G413" i="14"/>
  <c r="I413" i="14" s="1"/>
  <c r="G414" i="14"/>
  <c r="I414" i="14" s="1"/>
  <c r="G415" i="14"/>
  <c r="I415" i="14" s="1"/>
  <c r="G416" i="14"/>
  <c r="I416" i="14" s="1"/>
  <c r="G417" i="14"/>
  <c r="I417" i="14" s="1"/>
  <c r="G418" i="14"/>
  <c r="I418" i="14" s="1"/>
  <c r="G419" i="14"/>
  <c r="I419" i="14" s="1"/>
  <c r="G420" i="14"/>
  <c r="I420" i="14" s="1"/>
  <c r="G421" i="14"/>
  <c r="I421" i="14" s="1"/>
  <c r="G422" i="14"/>
  <c r="I422" i="14" s="1"/>
  <c r="G423" i="14"/>
  <c r="I423" i="14" s="1"/>
  <c r="G424" i="14"/>
  <c r="I424" i="14" s="1"/>
  <c r="G425" i="14"/>
  <c r="I425" i="14" s="1"/>
  <c r="G426" i="14"/>
  <c r="I426" i="14" s="1"/>
  <c r="G427" i="14"/>
  <c r="I427" i="14" s="1"/>
  <c r="G428" i="14"/>
  <c r="I428" i="14" s="1"/>
  <c r="G429" i="14"/>
  <c r="I429" i="14" s="1"/>
  <c r="G430" i="14"/>
  <c r="I430" i="14" s="1"/>
  <c r="G431" i="14"/>
  <c r="I431" i="14" s="1"/>
  <c r="G432" i="14"/>
  <c r="I432" i="14" s="1"/>
  <c r="G433" i="14"/>
  <c r="I433" i="14" s="1"/>
  <c r="G434" i="14"/>
  <c r="I434" i="14" s="1"/>
  <c r="G435" i="14"/>
  <c r="I435" i="14" s="1"/>
  <c r="G436" i="14"/>
  <c r="I436" i="14" s="1"/>
  <c r="G437" i="14"/>
  <c r="I437" i="14" s="1"/>
  <c r="G438" i="14"/>
  <c r="I438" i="14" s="1"/>
  <c r="G439" i="14"/>
  <c r="I439" i="14" s="1"/>
  <c r="G440" i="14"/>
  <c r="I440" i="14" s="1"/>
  <c r="G441" i="14"/>
  <c r="I441" i="14" s="1"/>
  <c r="G442" i="14"/>
  <c r="I442" i="14" s="1"/>
  <c r="G443" i="14"/>
  <c r="I443" i="14" s="1"/>
  <c r="G444" i="14"/>
  <c r="I444" i="14" s="1"/>
  <c r="G445" i="14"/>
  <c r="I445" i="14" s="1"/>
  <c r="G446" i="14"/>
  <c r="I446" i="14" s="1"/>
  <c r="G447" i="14"/>
  <c r="I447" i="14" s="1"/>
  <c r="G448" i="14"/>
  <c r="I448" i="14" s="1"/>
  <c r="G449" i="14"/>
  <c r="I449" i="14" s="1"/>
  <c r="G450" i="14"/>
  <c r="I450" i="14" s="1"/>
  <c r="G451" i="14"/>
  <c r="I451" i="14" s="1"/>
  <c r="G452" i="14"/>
  <c r="I452" i="14" s="1"/>
  <c r="G453" i="14"/>
  <c r="I453" i="14" s="1"/>
  <c r="G454" i="14"/>
  <c r="I454" i="14" s="1"/>
  <c r="G455" i="14"/>
  <c r="I455" i="14" s="1"/>
  <c r="G456" i="14"/>
  <c r="I456" i="14" s="1"/>
  <c r="G457" i="14"/>
  <c r="I457" i="14" s="1"/>
  <c r="G458" i="14"/>
  <c r="I458" i="14" s="1"/>
  <c r="G459" i="14"/>
  <c r="I459" i="14" s="1"/>
  <c r="G460" i="14"/>
  <c r="I460" i="14" s="1"/>
  <c r="G461" i="14"/>
  <c r="I461" i="14" s="1"/>
  <c r="G462" i="14"/>
  <c r="I462" i="14" s="1"/>
  <c r="G463" i="14"/>
  <c r="I463" i="14" s="1"/>
  <c r="G464" i="14"/>
  <c r="I464" i="14" s="1"/>
  <c r="G465" i="14"/>
  <c r="I465" i="14" s="1"/>
  <c r="G466" i="14"/>
  <c r="I466" i="14" s="1"/>
  <c r="G467" i="14"/>
  <c r="I467" i="14" s="1"/>
  <c r="G468" i="14"/>
  <c r="I468" i="14" s="1"/>
  <c r="G469" i="14"/>
  <c r="I469" i="14" s="1"/>
  <c r="G470" i="14"/>
  <c r="I470" i="14" s="1"/>
  <c r="G471" i="14"/>
  <c r="I471" i="14" s="1"/>
  <c r="G472" i="14"/>
  <c r="I472" i="14" s="1"/>
  <c r="G473" i="14"/>
  <c r="I473" i="14" s="1"/>
  <c r="G474" i="14"/>
  <c r="I474" i="14" s="1"/>
  <c r="G475" i="14"/>
  <c r="I475" i="14" s="1"/>
  <c r="G476" i="14"/>
  <c r="I476" i="14" s="1"/>
  <c r="G477" i="14"/>
  <c r="I477" i="14" s="1"/>
  <c r="G478" i="14"/>
  <c r="I478" i="14" s="1"/>
  <c r="G479" i="14"/>
  <c r="I479" i="14" s="1"/>
  <c r="G480" i="14"/>
  <c r="I480" i="14" s="1"/>
  <c r="G481" i="14"/>
  <c r="I481" i="14" s="1"/>
  <c r="G482" i="14"/>
  <c r="I482" i="14" s="1"/>
  <c r="G483" i="14"/>
  <c r="I483" i="14" s="1"/>
  <c r="G484" i="14"/>
  <c r="I484" i="14" s="1"/>
  <c r="G485" i="14"/>
  <c r="I485" i="14" s="1"/>
  <c r="G486" i="14"/>
  <c r="I486" i="14" s="1"/>
  <c r="G487" i="14"/>
  <c r="I487" i="14" s="1"/>
  <c r="G488" i="14"/>
  <c r="I488" i="14" s="1"/>
  <c r="G489" i="14"/>
  <c r="I489" i="14" s="1"/>
  <c r="G490" i="14"/>
  <c r="I490" i="14" s="1"/>
  <c r="G491" i="14"/>
  <c r="I491" i="14" s="1"/>
  <c r="G492" i="14"/>
  <c r="I492" i="14" s="1"/>
  <c r="G493" i="14"/>
  <c r="I493" i="14" s="1"/>
  <c r="G494" i="14"/>
  <c r="I494" i="14" s="1"/>
  <c r="G495" i="14"/>
  <c r="I495" i="14" s="1"/>
  <c r="G496" i="14"/>
  <c r="I496" i="14" s="1"/>
  <c r="G497" i="14"/>
  <c r="I497" i="14" s="1"/>
  <c r="G498" i="14"/>
  <c r="I498" i="14" s="1"/>
  <c r="G499" i="14"/>
  <c r="I499" i="14" s="1"/>
  <c r="G500" i="14"/>
  <c r="I500" i="14" s="1"/>
  <c r="G501" i="14"/>
  <c r="I501" i="14" s="1"/>
  <c r="G502" i="14"/>
  <c r="I502" i="14" s="1"/>
  <c r="G503" i="14"/>
  <c r="I503" i="14" s="1"/>
  <c r="G504" i="14"/>
  <c r="I504" i="14" s="1"/>
  <c r="G505" i="14"/>
  <c r="I505" i="14" s="1"/>
  <c r="G506" i="14"/>
  <c r="I506" i="14" s="1"/>
  <c r="G507" i="14"/>
  <c r="I507" i="14" s="1"/>
  <c r="G508" i="14"/>
  <c r="I508" i="14" s="1"/>
  <c r="G509" i="14"/>
  <c r="I509" i="14" s="1"/>
  <c r="G510" i="14"/>
  <c r="I510" i="14" s="1"/>
  <c r="G511" i="14"/>
  <c r="I511" i="14" s="1"/>
  <c r="G512" i="14"/>
  <c r="I512" i="14" s="1"/>
  <c r="G513" i="14"/>
  <c r="I513" i="14" s="1"/>
  <c r="G514" i="14"/>
  <c r="I514" i="14" s="1"/>
  <c r="G515" i="14"/>
  <c r="I515" i="14" s="1"/>
  <c r="G516" i="14"/>
  <c r="I516" i="14" s="1"/>
  <c r="G517" i="14"/>
  <c r="I517" i="14" s="1"/>
  <c r="G518" i="14"/>
  <c r="I518" i="14" s="1"/>
  <c r="G519" i="14"/>
  <c r="I519" i="14" s="1"/>
  <c r="G520" i="14"/>
  <c r="I520" i="14" s="1"/>
  <c r="G521" i="14"/>
  <c r="I521" i="14" s="1"/>
  <c r="G522" i="14"/>
  <c r="I522" i="14" s="1"/>
  <c r="G523" i="14"/>
  <c r="I523" i="14" s="1"/>
  <c r="G524" i="14"/>
  <c r="I524" i="14" s="1"/>
  <c r="G525" i="14"/>
  <c r="I525" i="14" s="1"/>
  <c r="G526" i="14"/>
  <c r="I526" i="14" s="1"/>
  <c r="G527" i="14"/>
  <c r="I527" i="14" s="1"/>
  <c r="G528" i="14"/>
  <c r="I528" i="14" s="1"/>
  <c r="G529" i="14"/>
  <c r="I529" i="14" s="1"/>
  <c r="G530" i="14"/>
  <c r="I530" i="14" s="1"/>
  <c r="G531" i="14"/>
  <c r="I531" i="14" s="1"/>
  <c r="G532" i="14"/>
  <c r="I532" i="14" s="1"/>
  <c r="G533" i="14"/>
  <c r="I533" i="14" s="1"/>
  <c r="G534" i="14"/>
  <c r="I534" i="14" s="1"/>
  <c r="G535" i="14"/>
  <c r="I535" i="14" s="1"/>
  <c r="G536" i="14"/>
  <c r="I536" i="14" s="1"/>
  <c r="G537" i="14"/>
  <c r="I537" i="14" s="1"/>
  <c r="G538" i="14"/>
  <c r="I538" i="14" s="1"/>
  <c r="G539" i="14"/>
  <c r="I539" i="14" s="1"/>
  <c r="G540" i="14"/>
  <c r="I540" i="14" s="1"/>
  <c r="G541" i="14"/>
  <c r="I541" i="14" s="1"/>
  <c r="G542" i="14"/>
  <c r="I542" i="14" s="1"/>
  <c r="G543" i="14"/>
  <c r="I543" i="14" s="1"/>
  <c r="G544" i="14"/>
  <c r="I544" i="14" s="1"/>
  <c r="G545" i="14"/>
  <c r="I545" i="14" s="1"/>
  <c r="G546" i="14"/>
  <c r="I546" i="14" s="1"/>
  <c r="G547" i="14"/>
  <c r="I547" i="14" s="1"/>
  <c r="G548" i="14"/>
  <c r="I548" i="14" s="1"/>
  <c r="G549" i="14"/>
  <c r="I549" i="14" s="1"/>
  <c r="G550" i="14"/>
  <c r="I550" i="14" s="1"/>
  <c r="G551" i="14"/>
  <c r="I551" i="14" s="1"/>
  <c r="G552" i="14"/>
  <c r="I552" i="14" s="1"/>
  <c r="G553" i="14"/>
  <c r="I553" i="14" s="1"/>
  <c r="G554" i="14"/>
  <c r="I554" i="14" s="1"/>
  <c r="G555" i="14"/>
  <c r="I555" i="14" s="1"/>
  <c r="G556" i="14"/>
  <c r="I556" i="14" s="1"/>
  <c r="G557" i="14"/>
  <c r="I557" i="14" s="1"/>
  <c r="G558" i="14"/>
  <c r="I558" i="14" s="1"/>
  <c r="G559" i="14"/>
  <c r="I559" i="14" s="1"/>
  <c r="G560" i="14"/>
  <c r="I560" i="14" s="1"/>
  <c r="G561" i="14"/>
  <c r="I561" i="14" s="1"/>
  <c r="G562" i="14"/>
  <c r="I562" i="14" s="1"/>
  <c r="G563" i="14"/>
  <c r="I563" i="14" s="1"/>
  <c r="G564" i="14"/>
  <c r="I564" i="14" s="1"/>
  <c r="G565" i="14"/>
  <c r="I565" i="14" s="1"/>
  <c r="G566" i="14"/>
  <c r="I566" i="14" s="1"/>
  <c r="G567" i="14"/>
  <c r="I567" i="14" s="1"/>
  <c r="G568" i="14"/>
  <c r="I568" i="14" s="1"/>
  <c r="G569" i="14"/>
  <c r="I569" i="14" s="1"/>
  <c r="G570" i="14"/>
  <c r="I570" i="14" s="1"/>
  <c r="G571" i="14"/>
  <c r="I571" i="14" s="1"/>
  <c r="G572" i="14"/>
  <c r="I572" i="14" s="1"/>
  <c r="G573" i="14"/>
  <c r="I573" i="14" s="1"/>
  <c r="G574" i="14"/>
  <c r="I574" i="14" s="1"/>
  <c r="G575" i="14"/>
  <c r="I575" i="14" s="1"/>
  <c r="G576" i="14"/>
  <c r="I576" i="14" s="1"/>
  <c r="G577" i="14"/>
  <c r="I577" i="14" s="1"/>
  <c r="G578" i="14"/>
  <c r="I578" i="14" s="1"/>
  <c r="G579" i="14"/>
  <c r="I579" i="14" s="1"/>
  <c r="G580" i="14"/>
  <c r="I580" i="14" s="1"/>
  <c r="G581" i="14"/>
  <c r="I581" i="14" s="1"/>
  <c r="G582" i="14"/>
  <c r="I582" i="14" s="1"/>
  <c r="G583" i="14"/>
  <c r="I583" i="14" s="1"/>
  <c r="G584" i="14"/>
  <c r="I584" i="14" s="1"/>
  <c r="G585" i="14"/>
  <c r="I585" i="14" s="1"/>
  <c r="G586" i="14"/>
  <c r="I586" i="14" s="1"/>
  <c r="G587" i="14"/>
  <c r="I587" i="14" s="1"/>
  <c r="G588" i="14"/>
  <c r="I588" i="14" s="1"/>
  <c r="G589" i="14"/>
  <c r="I589" i="14" s="1"/>
  <c r="G590" i="14"/>
  <c r="I590" i="14" s="1"/>
  <c r="G591" i="14"/>
  <c r="I591" i="14" s="1"/>
  <c r="G592" i="14"/>
  <c r="I592" i="14" s="1"/>
  <c r="G593" i="14"/>
  <c r="I593" i="14" s="1"/>
  <c r="G594" i="14"/>
  <c r="I594" i="14" s="1"/>
  <c r="G595" i="14"/>
  <c r="I595" i="14" s="1"/>
  <c r="G596" i="14"/>
  <c r="I596" i="14" s="1"/>
  <c r="G597" i="14"/>
  <c r="I597" i="14" s="1"/>
  <c r="G598" i="14"/>
  <c r="I598" i="14" s="1"/>
  <c r="G599" i="14"/>
  <c r="I599" i="14" s="1"/>
  <c r="G600" i="14"/>
  <c r="I600" i="14" s="1"/>
  <c r="G601" i="14"/>
  <c r="I601" i="14" s="1"/>
  <c r="G602" i="14"/>
  <c r="I602" i="14" s="1"/>
  <c r="G603" i="14"/>
  <c r="I603" i="14" s="1"/>
  <c r="G604" i="14"/>
  <c r="I604" i="14" s="1"/>
  <c r="G605" i="14"/>
  <c r="I605" i="14" s="1"/>
  <c r="G606" i="14"/>
  <c r="I606" i="14" s="1"/>
  <c r="G607" i="14"/>
  <c r="I607" i="14" s="1"/>
  <c r="G608" i="14"/>
  <c r="I608" i="14" s="1"/>
  <c r="G609" i="14"/>
  <c r="I609" i="14" s="1"/>
  <c r="G610" i="14"/>
  <c r="I610" i="14" s="1"/>
  <c r="G611" i="14"/>
  <c r="I611" i="14" s="1"/>
  <c r="G612" i="14"/>
  <c r="I612" i="14" s="1"/>
  <c r="G613" i="14"/>
  <c r="I613" i="14" s="1"/>
  <c r="G614" i="14"/>
  <c r="I614" i="14" s="1"/>
  <c r="G615" i="14"/>
  <c r="I615" i="14" s="1"/>
  <c r="G616" i="14"/>
  <c r="I616" i="14" s="1"/>
  <c r="G617" i="14"/>
  <c r="I617" i="14" s="1"/>
  <c r="G618" i="14"/>
  <c r="I618" i="14" s="1"/>
  <c r="G619" i="14"/>
  <c r="I619" i="14" s="1"/>
  <c r="G620" i="14"/>
  <c r="I620" i="14" s="1"/>
  <c r="G621" i="14"/>
  <c r="I621" i="14" s="1"/>
  <c r="G622" i="14"/>
  <c r="I622" i="14" s="1"/>
  <c r="G623" i="14"/>
  <c r="I623" i="14" s="1"/>
  <c r="G624" i="14"/>
  <c r="I624" i="14" s="1"/>
  <c r="G625" i="14"/>
  <c r="I625" i="14" s="1"/>
  <c r="G626" i="14"/>
  <c r="I626" i="14" s="1"/>
  <c r="G627" i="14"/>
  <c r="I627" i="14" s="1"/>
  <c r="G628" i="14"/>
  <c r="I628" i="14" s="1"/>
  <c r="G629" i="14"/>
  <c r="I629" i="14" s="1"/>
  <c r="G630" i="14"/>
  <c r="I630" i="14" s="1"/>
  <c r="G631" i="14"/>
  <c r="I631" i="14" s="1"/>
  <c r="G632" i="14"/>
  <c r="I632" i="14" s="1"/>
  <c r="G633" i="14"/>
  <c r="I633" i="14" s="1"/>
  <c r="G634" i="14"/>
  <c r="I634" i="14" s="1"/>
  <c r="G635" i="14"/>
  <c r="I635" i="14" s="1"/>
  <c r="G636" i="14"/>
  <c r="I636" i="14" s="1"/>
  <c r="G637" i="14"/>
  <c r="I637" i="14" s="1"/>
  <c r="G638" i="14"/>
  <c r="I638" i="14" s="1"/>
  <c r="G639" i="14"/>
  <c r="I639" i="14" s="1"/>
  <c r="G640" i="14"/>
  <c r="I640" i="14" s="1"/>
  <c r="G641" i="14"/>
  <c r="I641" i="14" s="1"/>
  <c r="G642" i="14"/>
  <c r="I642" i="14" s="1"/>
  <c r="G643" i="14"/>
  <c r="I643" i="14" s="1"/>
  <c r="G644" i="14"/>
  <c r="I644" i="14" s="1"/>
  <c r="G645" i="14"/>
  <c r="I645" i="14" s="1"/>
  <c r="G646" i="14"/>
  <c r="I646" i="14" s="1"/>
  <c r="G647" i="14"/>
  <c r="I647" i="14" s="1"/>
  <c r="G648" i="14"/>
  <c r="I648" i="14" s="1"/>
  <c r="G649" i="14"/>
  <c r="I649" i="14" s="1"/>
  <c r="G650" i="14"/>
  <c r="I650" i="14" s="1"/>
  <c r="G651" i="14"/>
  <c r="I651" i="14" s="1"/>
  <c r="G652" i="14"/>
  <c r="I652" i="14" s="1"/>
  <c r="G653" i="14"/>
  <c r="I653" i="14" s="1"/>
  <c r="G654" i="14"/>
  <c r="I654" i="14" s="1"/>
  <c r="G655" i="14"/>
  <c r="I655" i="14" s="1"/>
  <c r="G656" i="14"/>
  <c r="I656" i="14" s="1"/>
  <c r="G657" i="14"/>
  <c r="I657" i="14" s="1"/>
  <c r="G658" i="14"/>
  <c r="I658" i="14" s="1"/>
  <c r="G659" i="14"/>
  <c r="I659" i="14" s="1"/>
  <c r="G660" i="14"/>
  <c r="I660" i="14" s="1"/>
  <c r="G661" i="14"/>
  <c r="I661" i="14" s="1"/>
  <c r="G662" i="14"/>
  <c r="I662" i="14" s="1"/>
  <c r="G663" i="14"/>
  <c r="I663" i="14" s="1"/>
  <c r="G664" i="14"/>
  <c r="I664" i="14" s="1"/>
  <c r="G665" i="14"/>
  <c r="I665" i="14" s="1"/>
  <c r="G666" i="14"/>
  <c r="I666" i="14" s="1"/>
  <c r="G667" i="14"/>
  <c r="I667" i="14" s="1"/>
  <c r="G668" i="14"/>
  <c r="I668" i="14" s="1"/>
  <c r="G669" i="14"/>
  <c r="I669" i="14" s="1"/>
  <c r="G670" i="14"/>
  <c r="I670" i="14" s="1"/>
  <c r="G671" i="14"/>
  <c r="I671" i="14" s="1"/>
  <c r="G672" i="14"/>
  <c r="I672" i="14" s="1"/>
  <c r="G673" i="14"/>
  <c r="I673" i="14" s="1"/>
  <c r="G674" i="14"/>
  <c r="I674" i="14" s="1"/>
  <c r="G675" i="14"/>
  <c r="I675" i="14" s="1"/>
  <c r="G676" i="14"/>
  <c r="I676" i="14" s="1"/>
  <c r="G677" i="14"/>
  <c r="I677" i="14" s="1"/>
  <c r="G678" i="14"/>
  <c r="I678" i="14" s="1"/>
  <c r="G679" i="14"/>
  <c r="I679" i="14" s="1"/>
  <c r="G680" i="14"/>
  <c r="I680" i="14" s="1"/>
  <c r="G681" i="14"/>
  <c r="I681" i="14" s="1"/>
  <c r="G682" i="14"/>
  <c r="I682" i="14" s="1"/>
  <c r="G683" i="14"/>
  <c r="I683" i="14" s="1"/>
  <c r="G684" i="14"/>
  <c r="I684" i="14" s="1"/>
  <c r="G685" i="14"/>
  <c r="I685" i="14" s="1"/>
  <c r="G686" i="14"/>
  <c r="I686" i="14" s="1"/>
  <c r="G687" i="14"/>
  <c r="I687" i="14" s="1"/>
  <c r="G688" i="14"/>
  <c r="I688" i="14" s="1"/>
  <c r="G689" i="14"/>
  <c r="I689" i="14" s="1"/>
  <c r="G690" i="14"/>
  <c r="I690" i="14" s="1"/>
  <c r="G691" i="14"/>
  <c r="I691" i="14" s="1"/>
  <c r="G692" i="14"/>
  <c r="I692" i="14" s="1"/>
  <c r="G693" i="14"/>
  <c r="I693" i="14" s="1"/>
  <c r="G694" i="14"/>
  <c r="I694" i="14" s="1"/>
  <c r="G695" i="14"/>
  <c r="I695" i="14" s="1"/>
  <c r="G696" i="14"/>
  <c r="I696" i="14" s="1"/>
  <c r="G697" i="14"/>
  <c r="I697" i="14" s="1"/>
  <c r="G698" i="14"/>
  <c r="I698" i="14" s="1"/>
  <c r="G699" i="14"/>
  <c r="I699" i="14" s="1"/>
  <c r="G700" i="14"/>
  <c r="I700" i="14" s="1"/>
  <c r="G701" i="14"/>
  <c r="I701" i="14" s="1"/>
  <c r="G702" i="14"/>
  <c r="I702" i="14" s="1"/>
  <c r="G703" i="14"/>
  <c r="I703" i="14" s="1"/>
  <c r="G704" i="14"/>
  <c r="I704" i="14" s="1"/>
  <c r="G705" i="14"/>
  <c r="I705" i="14" s="1"/>
  <c r="G706" i="14"/>
  <c r="I706" i="14" s="1"/>
  <c r="G707" i="14"/>
  <c r="I707" i="14" s="1"/>
  <c r="G708" i="14"/>
  <c r="I708" i="14" s="1"/>
  <c r="G709" i="14"/>
  <c r="I709" i="14" s="1"/>
  <c r="G710" i="14"/>
  <c r="I710" i="14" s="1"/>
  <c r="G711" i="14"/>
  <c r="I711" i="14" s="1"/>
  <c r="G712" i="14"/>
  <c r="I712" i="14" s="1"/>
  <c r="G713" i="14"/>
  <c r="I713" i="14" s="1"/>
  <c r="G714" i="14"/>
  <c r="I714" i="14" s="1"/>
  <c r="G715" i="14"/>
  <c r="I715" i="14" s="1"/>
  <c r="G716" i="14"/>
  <c r="I716" i="14" s="1"/>
  <c r="G717" i="14"/>
  <c r="I717" i="14" s="1"/>
  <c r="G718" i="14"/>
  <c r="I718" i="14" s="1"/>
  <c r="G719" i="14"/>
  <c r="I719" i="14" s="1"/>
  <c r="G720" i="14"/>
  <c r="I720" i="14" s="1"/>
  <c r="G721" i="14"/>
  <c r="I721" i="14" s="1"/>
  <c r="G722" i="14"/>
  <c r="I722" i="14" s="1"/>
  <c r="G723" i="14"/>
  <c r="I723" i="14" s="1"/>
  <c r="G724" i="14"/>
  <c r="I724" i="14" s="1"/>
  <c r="G725" i="14"/>
  <c r="I725" i="14" s="1"/>
  <c r="G726" i="14"/>
  <c r="I726" i="14" s="1"/>
  <c r="G727" i="14"/>
  <c r="I727" i="14" s="1"/>
  <c r="G728" i="14"/>
  <c r="I728" i="14" s="1"/>
  <c r="G729" i="14"/>
  <c r="I729" i="14" s="1"/>
  <c r="G730" i="14"/>
  <c r="I730" i="14" s="1"/>
  <c r="G731" i="14"/>
  <c r="I731" i="14" s="1"/>
  <c r="G732" i="14"/>
  <c r="I732" i="14" s="1"/>
  <c r="G733" i="14"/>
  <c r="I733" i="14" s="1"/>
  <c r="G734" i="14"/>
  <c r="I734" i="14" s="1"/>
  <c r="G735" i="14"/>
  <c r="I735" i="14" s="1"/>
  <c r="G736" i="14"/>
  <c r="I736" i="14" s="1"/>
  <c r="G737" i="14"/>
  <c r="I737" i="14" s="1"/>
  <c r="G738" i="14"/>
  <c r="I738" i="14" s="1"/>
  <c r="G739" i="14"/>
  <c r="I739" i="14" s="1"/>
  <c r="G740" i="14"/>
  <c r="I740" i="14" s="1"/>
  <c r="G741" i="14"/>
  <c r="I741" i="14" s="1"/>
  <c r="G742" i="14"/>
  <c r="I742" i="14" s="1"/>
  <c r="G743" i="14"/>
  <c r="I743" i="14" s="1"/>
  <c r="G744" i="14"/>
  <c r="I744" i="14" s="1"/>
  <c r="G745" i="14"/>
  <c r="I745" i="14" s="1"/>
  <c r="G746" i="14"/>
  <c r="I746" i="14" s="1"/>
  <c r="G747" i="14"/>
  <c r="I747" i="14" s="1"/>
  <c r="G748" i="14"/>
  <c r="I748" i="14" s="1"/>
  <c r="G749" i="14"/>
  <c r="I749" i="14" s="1"/>
  <c r="G750" i="14"/>
  <c r="I750" i="14" s="1"/>
  <c r="G751" i="14"/>
  <c r="I751" i="14" s="1"/>
  <c r="G752" i="14"/>
  <c r="I752" i="14" s="1"/>
  <c r="G753" i="14"/>
  <c r="I753" i="14" s="1"/>
  <c r="G754" i="14"/>
  <c r="I754" i="14" s="1"/>
  <c r="G755" i="14"/>
  <c r="I755" i="14" s="1"/>
  <c r="G756" i="14"/>
  <c r="I756" i="14" s="1"/>
  <c r="G757" i="14"/>
  <c r="I757" i="14" s="1"/>
  <c r="G758" i="14"/>
  <c r="I758" i="14" s="1"/>
  <c r="G759" i="14"/>
  <c r="I759" i="14" s="1"/>
  <c r="G760" i="14"/>
  <c r="I760" i="14" s="1"/>
  <c r="G761" i="14"/>
  <c r="I761" i="14" s="1"/>
  <c r="G762" i="14"/>
  <c r="I762" i="14" s="1"/>
  <c r="G763" i="14"/>
  <c r="I763" i="14" s="1"/>
  <c r="G764" i="14"/>
  <c r="I764" i="14" s="1"/>
  <c r="G765" i="14"/>
  <c r="I765" i="14" s="1"/>
  <c r="G766" i="14"/>
  <c r="I766" i="14" s="1"/>
  <c r="G767" i="14"/>
  <c r="I767" i="14" s="1"/>
  <c r="G768" i="14"/>
  <c r="I768" i="14" s="1"/>
  <c r="G769" i="14"/>
  <c r="I769" i="14" s="1"/>
  <c r="G770" i="14"/>
  <c r="I770" i="14" s="1"/>
  <c r="G771" i="14"/>
  <c r="I771" i="14" s="1"/>
  <c r="G772" i="14"/>
  <c r="I772" i="14" s="1"/>
  <c r="G773" i="14"/>
  <c r="I773" i="14" s="1"/>
  <c r="G774" i="14"/>
  <c r="I774" i="14" s="1"/>
  <c r="G775" i="14"/>
  <c r="I775" i="14" s="1"/>
  <c r="G776" i="14"/>
  <c r="I776" i="14" s="1"/>
  <c r="G777" i="14"/>
  <c r="I777" i="14" s="1"/>
  <c r="G778" i="14"/>
  <c r="I778" i="14" s="1"/>
  <c r="G779" i="14"/>
  <c r="I779" i="14" s="1"/>
  <c r="G780" i="14"/>
  <c r="I780" i="14" s="1"/>
  <c r="G781" i="14"/>
  <c r="I781" i="14" s="1"/>
  <c r="G782" i="14"/>
  <c r="I782" i="14" s="1"/>
  <c r="G783" i="14"/>
  <c r="I783" i="14" s="1"/>
  <c r="G784" i="14"/>
  <c r="I784" i="14" s="1"/>
  <c r="G785" i="14"/>
  <c r="I785" i="14" s="1"/>
  <c r="G786" i="14"/>
  <c r="I786" i="14" s="1"/>
  <c r="G787" i="14"/>
  <c r="I787" i="14" s="1"/>
  <c r="G788" i="14"/>
  <c r="I788" i="14" s="1"/>
  <c r="G789" i="14"/>
  <c r="I789" i="14" s="1"/>
  <c r="G790" i="14"/>
  <c r="I790" i="14" s="1"/>
  <c r="G791" i="14"/>
  <c r="I791" i="14" s="1"/>
  <c r="G792" i="14"/>
  <c r="I792" i="14" s="1"/>
  <c r="G793" i="14"/>
  <c r="I793" i="14" s="1"/>
  <c r="G794" i="14"/>
  <c r="I794" i="14" s="1"/>
  <c r="G795" i="14"/>
  <c r="I795" i="14" s="1"/>
  <c r="G796" i="14"/>
  <c r="I796" i="14" s="1"/>
  <c r="G797" i="14"/>
  <c r="I797" i="14" s="1"/>
  <c r="G798" i="14"/>
  <c r="I798" i="14" s="1"/>
  <c r="G799" i="14"/>
  <c r="I799" i="14" s="1"/>
  <c r="G800" i="14"/>
  <c r="I800" i="14" s="1"/>
  <c r="G801" i="14"/>
  <c r="I801" i="14" s="1"/>
  <c r="G802" i="14"/>
  <c r="I802" i="14" s="1"/>
  <c r="G803" i="14"/>
  <c r="I803" i="14" s="1"/>
  <c r="G804" i="14"/>
  <c r="I804" i="14" s="1"/>
  <c r="G805" i="14"/>
  <c r="I805" i="14" s="1"/>
  <c r="G806" i="14"/>
  <c r="I806" i="14" s="1"/>
  <c r="G807" i="14"/>
  <c r="I807" i="14" s="1"/>
  <c r="G808" i="14"/>
  <c r="I808" i="14" s="1"/>
  <c r="G809" i="14"/>
  <c r="I809" i="14" s="1"/>
  <c r="G810" i="14"/>
  <c r="I810" i="14" s="1"/>
  <c r="G811" i="14"/>
  <c r="I811" i="14" s="1"/>
  <c r="G812" i="14"/>
  <c r="I812" i="14" s="1"/>
  <c r="G813" i="14"/>
  <c r="I813" i="14" s="1"/>
  <c r="G814" i="14"/>
  <c r="I814" i="14" s="1"/>
  <c r="G815" i="14"/>
  <c r="I815" i="14" s="1"/>
  <c r="G816" i="14"/>
  <c r="I816" i="14" s="1"/>
  <c r="G817" i="14"/>
  <c r="I817" i="14" s="1"/>
  <c r="G818" i="14"/>
  <c r="I818" i="14" s="1"/>
  <c r="G819" i="14"/>
  <c r="I819" i="14" s="1"/>
  <c r="G820" i="14"/>
  <c r="I820" i="14" s="1"/>
  <c r="G821" i="14"/>
  <c r="I821" i="14" s="1"/>
  <c r="G822" i="14"/>
  <c r="I822" i="14" s="1"/>
  <c r="G823" i="14"/>
  <c r="I823" i="14" s="1"/>
  <c r="G824" i="14"/>
  <c r="I824" i="14" s="1"/>
  <c r="G825" i="14"/>
  <c r="I825" i="14" s="1"/>
  <c r="G826" i="14"/>
  <c r="I826" i="14" s="1"/>
  <c r="G827" i="14"/>
  <c r="I827" i="14" s="1"/>
  <c r="G828" i="14"/>
  <c r="I828" i="14" s="1"/>
  <c r="G829" i="14"/>
  <c r="I829" i="14" s="1"/>
  <c r="G830" i="14"/>
  <c r="I830" i="14" s="1"/>
  <c r="G831" i="14"/>
  <c r="I831" i="14" s="1"/>
  <c r="G832" i="14"/>
  <c r="I832" i="14" s="1"/>
  <c r="G833" i="14"/>
  <c r="I833" i="14" s="1"/>
  <c r="G834" i="14"/>
  <c r="I834" i="14" s="1"/>
  <c r="G835" i="14"/>
  <c r="I835" i="14" s="1"/>
  <c r="G836" i="14"/>
  <c r="I836" i="14" s="1"/>
  <c r="G837" i="14"/>
  <c r="I837" i="14" s="1"/>
  <c r="G838" i="14"/>
  <c r="I838" i="14" s="1"/>
  <c r="G839" i="14"/>
  <c r="I839" i="14" s="1"/>
  <c r="G840" i="14"/>
  <c r="I840" i="14" s="1"/>
  <c r="G841" i="14"/>
  <c r="I841" i="14" s="1"/>
  <c r="G842" i="14"/>
  <c r="I842" i="14" s="1"/>
  <c r="G843" i="14"/>
  <c r="I843" i="14" s="1"/>
  <c r="G844" i="14"/>
  <c r="I844" i="14" s="1"/>
  <c r="G845" i="14"/>
  <c r="I845" i="14" s="1"/>
  <c r="G846" i="14"/>
  <c r="I846" i="14" s="1"/>
  <c r="G847" i="14"/>
  <c r="I847" i="14" s="1"/>
  <c r="G848" i="14"/>
  <c r="I848" i="14" s="1"/>
  <c r="G849" i="14"/>
  <c r="I849" i="14" s="1"/>
  <c r="G850" i="14"/>
  <c r="I850" i="14" s="1"/>
  <c r="G851" i="14"/>
  <c r="I851" i="14" s="1"/>
  <c r="G852" i="14"/>
  <c r="I852" i="14" s="1"/>
  <c r="G853" i="14"/>
  <c r="I853" i="14" s="1"/>
  <c r="G854" i="14"/>
  <c r="I854" i="14" s="1"/>
  <c r="G855" i="14"/>
  <c r="I855" i="14" s="1"/>
  <c r="G856" i="14"/>
  <c r="I856" i="14" s="1"/>
  <c r="G857" i="14"/>
  <c r="I857" i="14" s="1"/>
  <c r="G858" i="14"/>
  <c r="I858" i="14" s="1"/>
  <c r="G859" i="14"/>
  <c r="I859" i="14" s="1"/>
  <c r="G860" i="14"/>
  <c r="I860" i="14" s="1"/>
  <c r="G861" i="14"/>
  <c r="I861" i="14" s="1"/>
  <c r="G862" i="14"/>
  <c r="I862" i="14" s="1"/>
  <c r="G863" i="14"/>
  <c r="I863" i="14" s="1"/>
  <c r="G864" i="14"/>
  <c r="I864" i="14" s="1"/>
  <c r="G865" i="14"/>
  <c r="I865" i="14" s="1"/>
  <c r="G866" i="14"/>
  <c r="I866" i="14" s="1"/>
  <c r="G867" i="14"/>
  <c r="I867" i="14" s="1"/>
  <c r="G868" i="14"/>
  <c r="I868" i="14" s="1"/>
  <c r="G869" i="14"/>
  <c r="I869" i="14" s="1"/>
  <c r="G870" i="14"/>
  <c r="I870" i="14" s="1"/>
  <c r="G871" i="14"/>
  <c r="I871" i="14" s="1"/>
  <c r="G872" i="14"/>
  <c r="I872" i="14" s="1"/>
  <c r="G873" i="14"/>
  <c r="I873" i="14" s="1"/>
  <c r="G874" i="14"/>
  <c r="I874" i="14" s="1"/>
  <c r="G875" i="14"/>
  <c r="I875" i="14" s="1"/>
  <c r="G876" i="14"/>
  <c r="I876" i="14" s="1"/>
  <c r="G877" i="14"/>
  <c r="I877" i="14" s="1"/>
  <c r="G878" i="14"/>
  <c r="I878" i="14" s="1"/>
  <c r="G879" i="14"/>
  <c r="I879" i="14" s="1"/>
  <c r="G880" i="14"/>
  <c r="I880" i="14" s="1"/>
  <c r="G881" i="14"/>
  <c r="I881" i="14" s="1"/>
  <c r="G882" i="14"/>
  <c r="I882" i="14" s="1"/>
  <c r="G883" i="14"/>
  <c r="I883" i="14" s="1"/>
  <c r="G884" i="14"/>
  <c r="I884" i="14" s="1"/>
  <c r="G885" i="14"/>
  <c r="I885" i="14" s="1"/>
  <c r="G886" i="14"/>
  <c r="I886" i="14" s="1"/>
  <c r="G887" i="14"/>
  <c r="I887" i="14" s="1"/>
  <c r="G888" i="14"/>
  <c r="I888" i="14" s="1"/>
  <c r="G889" i="14"/>
  <c r="I889" i="14" s="1"/>
  <c r="G890" i="14"/>
  <c r="I890" i="14" s="1"/>
  <c r="G891" i="14"/>
  <c r="I891" i="14" s="1"/>
  <c r="G892" i="14"/>
  <c r="I892" i="14" s="1"/>
  <c r="G893" i="14"/>
  <c r="I893" i="14" s="1"/>
  <c r="G894" i="14"/>
  <c r="I894" i="14" s="1"/>
  <c r="G895" i="14"/>
  <c r="I895" i="14" s="1"/>
  <c r="G896" i="14"/>
  <c r="I896" i="14" s="1"/>
  <c r="G897" i="14"/>
  <c r="I897" i="14" s="1"/>
  <c r="G898" i="14"/>
  <c r="I898" i="14" s="1"/>
  <c r="G899" i="14"/>
  <c r="I899" i="14" s="1"/>
  <c r="G900" i="14"/>
  <c r="I900" i="14" s="1"/>
  <c r="G901" i="14"/>
  <c r="I901" i="14" s="1"/>
  <c r="G902" i="14"/>
  <c r="I902" i="14" s="1"/>
  <c r="G903" i="14"/>
  <c r="I903" i="14" s="1"/>
  <c r="G904" i="14"/>
  <c r="I904" i="14" s="1"/>
  <c r="G905" i="14"/>
  <c r="I905" i="14" s="1"/>
  <c r="G906" i="14"/>
  <c r="I906" i="14" s="1"/>
  <c r="G907" i="14"/>
  <c r="I907" i="14" s="1"/>
  <c r="G908" i="14"/>
  <c r="I908" i="14" s="1"/>
  <c r="G909" i="14"/>
  <c r="I909" i="14" s="1"/>
  <c r="G910" i="14"/>
  <c r="I910" i="14" s="1"/>
  <c r="G911" i="14"/>
  <c r="I911" i="14" s="1"/>
  <c r="G912" i="14"/>
  <c r="I912" i="14" s="1"/>
  <c r="G913" i="14"/>
  <c r="I913" i="14" s="1"/>
  <c r="G914" i="14"/>
  <c r="I914" i="14" s="1"/>
  <c r="G915" i="14"/>
  <c r="I915" i="14" s="1"/>
  <c r="G916" i="14"/>
  <c r="I916" i="14" s="1"/>
  <c r="G917" i="14"/>
  <c r="I917" i="14" s="1"/>
  <c r="G918" i="14"/>
  <c r="I918" i="14" s="1"/>
  <c r="G919" i="14"/>
  <c r="I919" i="14" s="1"/>
  <c r="G920" i="14"/>
  <c r="I920" i="14" s="1"/>
  <c r="G921" i="14"/>
  <c r="I921" i="14" s="1"/>
  <c r="G922" i="14"/>
  <c r="I922" i="14" s="1"/>
  <c r="G923" i="14"/>
  <c r="I923" i="14" s="1"/>
  <c r="G924" i="14"/>
  <c r="I924" i="14" s="1"/>
  <c r="G925" i="14"/>
  <c r="I925" i="14" s="1"/>
  <c r="G926" i="14"/>
  <c r="I926" i="14" s="1"/>
  <c r="G927" i="14"/>
  <c r="I927" i="14" s="1"/>
  <c r="G928" i="14"/>
  <c r="I928" i="14" s="1"/>
  <c r="G929" i="14"/>
  <c r="I929" i="14" s="1"/>
  <c r="G930" i="14"/>
  <c r="I930" i="14" s="1"/>
  <c r="G931" i="14"/>
  <c r="I931" i="14" s="1"/>
  <c r="G932" i="14"/>
  <c r="I932" i="14" s="1"/>
  <c r="G933" i="14"/>
  <c r="I933" i="14" s="1"/>
  <c r="G934" i="14"/>
  <c r="I934" i="14" s="1"/>
  <c r="G935" i="14"/>
  <c r="I935" i="14" s="1"/>
  <c r="G936" i="14"/>
  <c r="I936" i="14" s="1"/>
  <c r="G937" i="14"/>
  <c r="I937" i="14" s="1"/>
  <c r="G938" i="14"/>
  <c r="I938" i="14" s="1"/>
  <c r="G939" i="14"/>
  <c r="I939" i="14" s="1"/>
  <c r="G940" i="14"/>
  <c r="I940" i="14" s="1"/>
  <c r="G941" i="14"/>
  <c r="I941" i="14" s="1"/>
  <c r="G942" i="14"/>
  <c r="I942" i="14" s="1"/>
  <c r="G943" i="14"/>
  <c r="I943" i="14" s="1"/>
  <c r="G944" i="14"/>
  <c r="I944" i="14" s="1"/>
  <c r="G945" i="14"/>
  <c r="I945" i="14" s="1"/>
  <c r="G946" i="14"/>
  <c r="I946" i="14" s="1"/>
  <c r="G947" i="14"/>
  <c r="I947" i="14" s="1"/>
  <c r="G948" i="14"/>
  <c r="I948" i="14" s="1"/>
  <c r="G949" i="14"/>
  <c r="I949" i="14" s="1"/>
  <c r="G950" i="14"/>
  <c r="I950" i="14" s="1"/>
  <c r="G951" i="14"/>
  <c r="I951" i="14" s="1"/>
  <c r="G952" i="14"/>
  <c r="I952" i="14" s="1"/>
  <c r="G953" i="14"/>
  <c r="I953" i="14" s="1"/>
  <c r="G954" i="14"/>
  <c r="I954" i="14" s="1"/>
  <c r="G955" i="14"/>
  <c r="I955" i="14" s="1"/>
  <c r="G956" i="14"/>
  <c r="I956" i="14" s="1"/>
  <c r="G957" i="14"/>
  <c r="I957" i="14" s="1"/>
  <c r="G958" i="14"/>
  <c r="I958" i="14" s="1"/>
  <c r="G959" i="14"/>
  <c r="I959" i="14" s="1"/>
  <c r="G960" i="14"/>
  <c r="I960" i="14" s="1"/>
  <c r="G961" i="14"/>
  <c r="I961" i="14" s="1"/>
  <c r="G962" i="14"/>
  <c r="I962" i="14" s="1"/>
  <c r="G963" i="14"/>
  <c r="I963" i="14" s="1"/>
  <c r="G964" i="14"/>
  <c r="I964" i="14" s="1"/>
  <c r="G965" i="14"/>
  <c r="I965" i="14" s="1"/>
  <c r="G966" i="14"/>
  <c r="I966" i="14" s="1"/>
  <c r="G967" i="14"/>
  <c r="I967" i="14" s="1"/>
  <c r="G968" i="14"/>
  <c r="I968" i="14" s="1"/>
  <c r="G969" i="14"/>
  <c r="I969" i="14" s="1"/>
  <c r="G970" i="14"/>
  <c r="I970" i="14" s="1"/>
  <c r="G971" i="14"/>
  <c r="I971" i="14" s="1"/>
  <c r="G972" i="14"/>
  <c r="I972" i="14" s="1"/>
  <c r="G973" i="14"/>
  <c r="I973" i="14" s="1"/>
  <c r="G974" i="14"/>
  <c r="I974" i="14" s="1"/>
  <c r="G975" i="14"/>
  <c r="I975" i="14" s="1"/>
  <c r="G976" i="14"/>
  <c r="I976" i="14" s="1"/>
  <c r="G977" i="14"/>
  <c r="I977" i="14" s="1"/>
  <c r="G978" i="14"/>
  <c r="I978" i="14" s="1"/>
  <c r="G979" i="14"/>
  <c r="I979" i="14" s="1"/>
  <c r="G980" i="14"/>
  <c r="I980" i="14" s="1"/>
  <c r="G981" i="14"/>
  <c r="I981" i="14" s="1"/>
  <c r="G982" i="14"/>
  <c r="I982" i="14" s="1"/>
  <c r="G983" i="14"/>
  <c r="I983" i="14" s="1"/>
  <c r="G984" i="14"/>
  <c r="I984" i="14" s="1"/>
  <c r="G985" i="14"/>
  <c r="I985" i="14" s="1"/>
  <c r="G986" i="14"/>
  <c r="I986" i="14" s="1"/>
  <c r="G987" i="14"/>
  <c r="I987" i="14" s="1"/>
  <c r="G988" i="14"/>
  <c r="I988" i="14" s="1"/>
  <c r="G989" i="14"/>
  <c r="I989" i="14" s="1"/>
  <c r="G990" i="14"/>
  <c r="I990" i="14" s="1"/>
  <c r="G991" i="14"/>
  <c r="I991" i="14" s="1"/>
  <c r="G992" i="14"/>
  <c r="I992" i="14" s="1"/>
  <c r="G993" i="14"/>
  <c r="I993" i="14" s="1"/>
  <c r="G994" i="14"/>
  <c r="I994" i="14" s="1"/>
  <c r="G995" i="14"/>
  <c r="I995" i="14" s="1"/>
  <c r="G996" i="14"/>
  <c r="I996" i="14" s="1"/>
  <c r="G997" i="14"/>
  <c r="I997" i="14" s="1"/>
  <c r="G998" i="14"/>
  <c r="I998" i="14" s="1"/>
  <c r="G999" i="14"/>
  <c r="I999" i="14" s="1"/>
  <c r="G1000" i="14"/>
  <c r="I1000" i="14" s="1"/>
  <c r="G1001" i="14"/>
  <c r="I1001" i="14" s="1"/>
  <c r="G1002" i="14"/>
  <c r="I1002" i="14" s="1"/>
  <c r="G1003" i="14"/>
  <c r="I1003" i="14" s="1"/>
  <c r="G1004" i="14"/>
  <c r="I1004" i="14" s="1"/>
  <c r="G1005" i="14"/>
  <c r="I1005" i="14" s="1"/>
  <c r="G1006" i="14"/>
  <c r="I1006" i="14" s="1"/>
  <c r="G1007" i="14"/>
  <c r="I1007" i="14" s="1"/>
  <c r="G1008" i="14"/>
  <c r="I1008" i="14" s="1"/>
  <c r="G1009" i="14"/>
  <c r="I1009" i="14" s="1"/>
  <c r="G1010" i="14"/>
  <c r="I1010" i="14" s="1"/>
  <c r="G1011" i="14"/>
  <c r="I1011" i="14" s="1"/>
  <c r="G1012" i="14"/>
  <c r="I1012" i="14" s="1"/>
  <c r="G1013" i="14"/>
  <c r="I1013" i="14" s="1"/>
  <c r="G1014" i="14"/>
  <c r="I1014" i="14" s="1"/>
  <c r="G1015" i="14"/>
  <c r="I1015" i="14" s="1"/>
  <c r="G1016" i="14"/>
  <c r="I1016" i="14" s="1"/>
  <c r="G1017" i="14"/>
  <c r="I1017" i="14" s="1"/>
  <c r="G1018" i="14"/>
  <c r="I1018" i="14" s="1"/>
  <c r="G1019" i="14"/>
  <c r="I1019" i="14" s="1"/>
  <c r="G1020" i="14"/>
  <c r="I1020" i="14" s="1"/>
  <c r="G1021" i="14"/>
  <c r="I1021" i="14" s="1"/>
  <c r="G1022" i="14"/>
  <c r="I1022" i="14" s="1"/>
  <c r="G1023" i="14"/>
  <c r="I1023" i="14" s="1"/>
  <c r="G1024" i="14"/>
  <c r="I1024" i="14" s="1"/>
  <c r="G1025" i="14"/>
  <c r="I1025" i="14" s="1"/>
  <c r="G1026" i="14"/>
  <c r="I1026" i="14" s="1"/>
  <c r="G1027" i="14"/>
  <c r="I1027" i="14" s="1"/>
  <c r="G1028" i="14"/>
  <c r="I1028" i="14" s="1"/>
  <c r="G1029" i="14"/>
  <c r="I1029" i="14" s="1"/>
  <c r="G1030" i="14"/>
  <c r="I1030" i="14" s="1"/>
  <c r="G1031" i="14"/>
  <c r="I1031" i="14" s="1"/>
  <c r="G1032" i="14"/>
  <c r="I1032" i="14" s="1"/>
  <c r="G1033" i="14"/>
  <c r="I1033" i="14" s="1"/>
  <c r="G1034" i="14"/>
  <c r="I1034" i="14" s="1"/>
  <c r="G1035" i="14"/>
  <c r="I1035" i="14" s="1"/>
  <c r="G1036" i="14"/>
  <c r="I1036" i="14" s="1"/>
  <c r="G1037" i="14"/>
  <c r="I1037" i="14" s="1"/>
  <c r="G1038" i="14"/>
  <c r="I1038" i="14" s="1"/>
  <c r="G1039" i="14"/>
  <c r="I1039" i="14" s="1"/>
  <c r="G1040" i="14"/>
  <c r="I1040" i="14" s="1"/>
  <c r="G1041" i="14"/>
  <c r="I1041" i="14" s="1"/>
  <c r="G1042" i="14"/>
  <c r="I1042" i="14" s="1"/>
  <c r="G1043" i="14"/>
  <c r="I1043" i="14" s="1"/>
  <c r="G1044" i="14"/>
  <c r="I1044" i="14" s="1"/>
  <c r="G1045" i="14"/>
  <c r="I1045" i="14" s="1"/>
  <c r="G1046" i="14"/>
  <c r="I1046" i="14" s="1"/>
  <c r="G1047" i="14"/>
  <c r="I1047" i="14" s="1"/>
  <c r="G1048" i="14"/>
  <c r="I1048" i="14" s="1"/>
  <c r="G1049" i="14"/>
  <c r="I1049" i="14" s="1"/>
  <c r="G1050" i="14"/>
  <c r="I1050" i="14" s="1"/>
  <c r="G1051" i="14"/>
  <c r="I1051" i="14" s="1"/>
  <c r="G1052" i="14"/>
  <c r="I1052" i="14" s="1"/>
  <c r="G1053" i="14"/>
  <c r="I1053" i="14" s="1"/>
  <c r="G1054" i="14"/>
  <c r="I1054" i="14" s="1"/>
  <c r="G1055" i="14"/>
  <c r="I1055" i="14" s="1"/>
  <c r="G1056" i="14"/>
  <c r="I1056" i="14" s="1"/>
  <c r="G1057" i="14"/>
  <c r="I1057" i="14" s="1"/>
  <c r="G1058" i="14"/>
  <c r="I1058" i="14" s="1"/>
  <c r="G1059" i="14"/>
  <c r="I1059" i="14" s="1"/>
  <c r="G1060" i="14"/>
  <c r="I1060" i="14" s="1"/>
  <c r="G1061" i="14"/>
  <c r="I1061" i="14" s="1"/>
  <c r="G1062" i="14"/>
  <c r="I1062" i="14" s="1"/>
  <c r="G1063" i="14"/>
  <c r="I1063" i="14" s="1"/>
  <c r="G1064" i="14"/>
  <c r="I1064" i="14" s="1"/>
  <c r="G1065" i="14"/>
  <c r="I1065" i="14" s="1"/>
  <c r="G1066" i="14"/>
  <c r="I1066" i="14" s="1"/>
  <c r="G1067" i="14"/>
  <c r="I1067" i="14" s="1"/>
  <c r="G1068" i="14"/>
  <c r="I1068" i="14" s="1"/>
  <c r="G1069" i="14"/>
  <c r="I1069" i="14" s="1"/>
  <c r="G1070" i="14"/>
  <c r="I1070" i="14" s="1"/>
  <c r="G1071" i="14"/>
  <c r="I1071" i="14" s="1"/>
  <c r="G1072" i="14"/>
  <c r="I1072" i="14" s="1"/>
  <c r="G1073" i="14"/>
  <c r="I1073" i="14" s="1"/>
  <c r="G1074" i="14"/>
  <c r="I1074" i="14" s="1"/>
  <c r="G1075" i="14"/>
  <c r="I1075" i="14" s="1"/>
  <c r="G1076" i="14"/>
  <c r="I1076" i="14" s="1"/>
  <c r="G1077" i="14"/>
  <c r="I1077" i="14" s="1"/>
  <c r="G1078" i="14"/>
  <c r="I1078" i="14" s="1"/>
  <c r="G1079" i="14"/>
  <c r="I1079" i="14" s="1"/>
  <c r="G1080" i="14"/>
  <c r="I1080" i="14" s="1"/>
  <c r="G1081" i="14"/>
  <c r="I1081" i="14" s="1"/>
  <c r="G1082" i="14"/>
  <c r="I1082" i="14" s="1"/>
  <c r="G1083" i="14"/>
  <c r="I1083" i="14" s="1"/>
  <c r="G1084" i="14"/>
  <c r="I1084" i="14" s="1"/>
  <c r="G1085" i="14"/>
  <c r="I1085" i="14" s="1"/>
  <c r="G1086" i="14"/>
  <c r="I1086" i="14" s="1"/>
  <c r="G1087" i="14"/>
  <c r="I1087" i="14" s="1"/>
  <c r="G1088" i="14"/>
  <c r="I1088" i="14" s="1"/>
  <c r="G1089" i="14"/>
  <c r="I1089" i="14" s="1"/>
  <c r="G1090" i="14"/>
  <c r="I1090" i="14" s="1"/>
  <c r="G1091" i="14"/>
  <c r="I1091" i="14" s="1"/>
  <c r="G1092" i="14"/>
  <c r="I1092" i="14" s="1"/>
  <c r="G1093" i="14"/>
  <c r="I1093" i="14" s="1"/>
  <c r="G1094" i="14"/>
  <c r="I1094" i="14" s="1"/>
  <c r="G1095" i="14"/>
  <c r="I1095" i="14" s="1"/>
  <c r="G1096" i="14"/>
  <c r="I1096" i="14" s="1"/>
  <c r="G1097" i="14"/>
  <c r="I1097" i="14" s="1"/>
  <c r="G1098" i="14"/>
  <c r="I1098" i="14" s="1"/>
  <c r="G1099" i="14"/>
  <c r="I1099" i="14" s="1"/>
  <c r="G1100" i="14"/>
  <c r="I1100" i="14" s="1"/>
  <c r="G1101" i="14"/>
  <c r="I1101" i="14" s="1"/>
  <c r="G1102" i="14"/>
  <c r="I1102" i="14" s="1"/>
  <c r="G1103" i="14"/>
  <c r="I1103" i="14" s="1"/>
  <c r="G1104" i="14"/>
  <c r="I1104" i="14" s="1"/>
  <c r="G1105" i="14"/>
  <c r="I1105" i="14" s="1"/>
  <c r="G1106" i="14"/>
  <c r="I1106" i="14" s="1"/>
  <c r="G1107" i="14"/>
  <c r="I1107" i="14" s="1"/>
  <c r="G1108" i="14"/>
  <c r="I1108" i="14" s="1"/>
  <c r="G1109" i="14"/>
  <c r="I1109" i="14" s="1"/>
  <c r="G1110" i="14"/>
  <c r="I1110" i="14" s="1"/>
  <c r="G1111" i="14"/>
  <c r="I1111" i="14" s="1"/>
  <c r="G1112" i="14"/>
  <c r="I1112" i="14" s="1"/>
  <c r="G1113" i="14"/>
  <c r="I1113" i="14" s="1"/>
  <c r="G1114" i="14"/>
  <c r="I1114" i="14" s="1"/>
  <c r="G1115" i="14"/>
  <c r="I1115" i="14" s="1"/>
  <c r="G1116" i="14"/>
  <c r="I1116" i="14" s="1"/>
  <c r="G1117" i="14"/>
  <c r="I1117" i="14" s="1"/>
  <c r="G1118" i="14"/>
  <c r="I1118" i="14" s="1"/>
  <c r="G1119" i="14"/>
  <c r="I1119" i="14" s="1"/>
  <c r="G1120" i="14"/>
  <c r="I1120" i="14" s="1"/>
  <c r="G1121" i="14"/>
  <c r="I1121" i="14" s="1"/>
  <c r="G1122" i="14"/>
  <c r="I1122" i="14" s="1"/>
  <c r="G1123" i="14"/>
  <c r="I1123" i="14" s="1"/>
  <c r="G1124" i="14"/>
  <c r="I1124" i="14" s="1"/>
  <c r="G1125" i="14"/>
  <c r="I1125" i="14" s="1"/>
  <c r="G1126" i="14"/>
  <c r="I1126" i="14" s="1"/>
  <c r="G1127" i="14"/>
  <c r="I1127" i="14" s="1"/>
  <c r="G1128" i="14"/>
  <c r="I1128" i="14" s="1"/>
  <c r="G1129" i="14"/>
  <c r="I1129" i="14" s="1"/>
  <c r="G1130" i="14"/>
  <c r="I1130" i="14" s="1"/>
  <c r="G1131" i="14"/>
  <c r="I1131" i="14" s="1"/>
  <c r="G1132" i="14"/>
  <c r="I1132" i="14" s="1"/>
  <c r="G1133" i="14"/>
  <c r="I1133" i="14" s="1"/>
  <c r="G1134" i="14"/>
  <c r="I1134" i="14" s="1"/>
  <c r="G1135" i="14"/>
  <c r="I1135" i="14" s="1"/>
  <c r="G1136" i="14"/>
  <c r="I1136" i="14" s="1"/>
  <c r="G1137" i="14"/>
  <c r="I1137" i="14" s="1"/>
  <c r="G1138" i="14"/>
  <c r="I1138" i="14" s="1"/>
  <c r="G1139" i="14"/>
  <c r="I1139" i="14" s="1"/>
  <c r="G1140" i="14"/>
  <c r="I1140" i="14" s="1"/>
  <c r="G1141" i="14"/>
  <c r="I1141" i="14" s="1"/>
  <c r="G1142" i="14"/>
  <c r="I1142" i="14" s="1"/>
  <c r="G1143" i="14"/>
  <c r="I1143" i="14" s="1"/>
  <c r="G1144" i="14"/>
  <c r="I1144" i="14" s="1"/>
  <c r="G1145" i="14"/>
  <c r="I1145" i="14" s="1"/>
  <c r="G1146" i="14"/>
  <c r="I1146" i="14" s="1"/>
  <c r="G1147" i="14"/>
  <c r="I1147" i="14" s="1"/>
  <c r="G1148" i="14"/>
  <c r="I1148" i="14" s="1"/>
  <c r="G1149" i="14"/>
  <c r="I1149" i="14" s="1"/>
  <c r="G1150" i="14"/>
  <c r="I1150" i="14" s="1"/>
  <c r="G1151" i="14"/>
  <c r="I1151" i="14" s="1"/>
  <c r="G1152" i="14"/>
  <c r="I1152" i="14" s="1"/>
  <c r="G1153" i="14"/>
  <c r="I1153" i="14" s="1"/>
  <c r="G1154" i="14"/>
  <c r="I1154" i="14" s="1"/>
  <c r="G1155" i="14"/>
  <c r="I1155" i="14" s="1"/>
  <c r="G1156" i="14"/>
  <c r="I1156" i="14" s="1"/>
  <c r="G1157" i="14"/>
  <c r="I1157" i="14" s="1"/>
  <c r="G1158" i="14"/>
  <c r="I1158" i="14" s="1"/>
  <c r="G1159" i="14"/>
  <c r="I1159" i="14" s="1"/>
  <c r="G1160" i="14"/>
  <c r="I1160" i="14" s="1"/>
  <c r="G1161" i="14"/>
  <c r="I1161" i="14" s="1"/>
  <c r="G1162" i="14"/>
  <c r="I1162" i="14" s="1"/>
  <c r="G1163" i="14"/>
  <c r="I1163" i="14" s="1"/>
  <c r="G1164" i="14"/>
  <c r="I1164" i="14" s="1"/>
  <c r="G1165" i="14"/>
  <c r="I1165" i="14" s="1"/>
  <c r="G1166" i="14"/>
  <c r="I1166" i="14" s="1"/>
  <c r="G1167" i="14"/>
  <c r="I1167" i="14" s="1"/>
  <c r="G1168" i="14"/>
  <c r="I1168" i="14" s="1"/>
  <c r="G1169" i="14"/>
  <c r="I1169" i="14" s="1"/>
  <c r="G1170" i="14"/>
  <c r="I1170" i="14" s="1"/>
  <c r="G1171" i="14"/>
  <c r="I1171" i="14" s="1"/>
  <c r="G1172" i="14"/>
  <c r="I1172" i="14" s="1"/>
  <c r="G1173" i="14"/>
  <c r="I1173" i="14" s="1"/>
  <c r="G1174" i="14"/>
  <c r="I1174" i="14" s="1"/>
  <c r="G1175" i="14"/>
  <c r="I1175" i="14" s="1"/>
  <c r="G1176" i="14"/>
  <c r="I1176" i="14" s="1"/>
  <c r="G1177" i="14"/>
  <c r="I1177" i="14" s="1"/>
  <c r="G1178" i="14"/>
  <c r="I1178" i="14" s="1"/>
  <c r="G1179" i="14"/>
  <c r="I1179" i="14" s="1"/>
  <c r="G1180" i="14"/>
  <c r="I1180" i="14" s="1"/>
  <c r="G1181" i="14"/>
  <c r="I1181" i="14" s="1"/>
  <c r="G1182" i="14"/>
  <c r="I1182" i="14" s="1"/>
  <c r="G1183" i="14"/>
  <c r="I1183" i="14" s="1"/>
  <c r="G1184" i="14"/>
  <c r="I1184" i="14" s="1"/>
  <c r="G1185" i="14"/>
  <c r="I1185" i="14" s="1"/>
  <c r="G1186" i="14"/>
  <c r="I1186" i="14" s="1"/>
  <c r="G1187" i="14"/>
  <c r="I1187" i="14" s="1"/>
  <c r="G1188" i="14"/>
  <c r="I1188" i="14" s="1"/>
  <c r="G1189" i="14"/>
  <c r="I1189" i="14" s="1"/>
  <c r="G1190" i="14"/>
  <c r="I1190" i="14" s="1"/>
  <c r="G1191" i="14"/>
  <c r="I1191" i="14" s="1"/>
  <c r="G1192" i="14"/>
  <c r="I1192" i="14" s="1"/>
  <c r="G1193" i="14"/>
  <c r="I1193" i="14" s="1"/>
  <c r="G1194" i="14"/>
  <c r="I1194" i="14" s="1"/>
  <c r="G1195" i="14"/>
  <c r="I1195" i="14" s="1"/>
  <c r="G1196" i="14"/>
  <c r="I1196" i="14" s="1"/>
  <c r="G1197" i="14"/>
  <c r="I1197" i="14" s="1"/>
  <c r="G1198" i="14"/>
  <c r="I1198" i="14" s="1"/>
  <c r="G1199" i="14"/>
  <c r="I1199" i="14" s="1"/>
  <c r="G1200" i="14"/>
  <c r="I1200" i="14" s="1"/>
  <c r="G1201" i="14"/>
  <c r="I1201" i="14" s="1"/>
  <c r="G1202" i="14"/>
  <c r="I1202" i="14" s="1"/>
  <c r="G1203" i="14"/>
  <c r="I1203" i="14" s="1"/>
  <c r="G1204" i="14"/>
  <c r="I1204" i="14" s="1"/>
  <c r="G1205" i="14"/>
  <c r="I1205" i="14" s="1"/>
  <c r="G1206" i="14"/>
  <c r="I1206" i="14" s="1"/>
  <c r="G1207" i="14"/>
  <c r="I1207" i="14" s="1"/>
  <c r="G1208" i="14"/>
  <c r="I1208" i="14" s="1"/>
  <c r="G1209" i="14"/>
  <c r="I1209" i="14" s="1"/>
  <c r="G1210" i="14"/>
  <c r="I1210" i="14" s="1"/>
  <c r="G1211" i="14"/>
  <c r="I1211" i="14" s="1"/>
  <c r="G1212" i="14"/>
  <c r="I1212" i="14" s="1"/>
  <c r="G1213" i="14"/>
  <c r="I1213" i="14" s="1"/>
  <c r="G1214" i="14"/>
  <c r="I1214" i="14" s="1"/>
  <c r="G1215" i="14"/>
  <c r="I1215" i="14" s="1"/>
  <c r="G1216" i="14"/>
  <c r="I1216" i="14" s="1"/>
  <c r="G1217" i="14"/>
  <c r="I1217" i="14" s="1"/>
  <c r="G1218" i="14"/>
  <c r="I1218" i="14" s="1"/>
  <c r="G1219" i="14"/>
  <c r="I1219" i="14" s="1"/>
  <c r="G1220" i="14"/>
  <c r="I1220" i="14" s="1"/>
  <c r="G1221" i="14"/>
  <c r="I1221" i="14" s="1"/>
  <c r="G1222" i="14"/>
  <c r="I1222" i="14" s="1"/>
  <c r="G1223" i="14"/>
  <c r="I1223" i="14" s="1"/>
  <c r="G1224" i="14"/>
  <c r="I1224" i="14" s="1"/>
  <c r="G1225" i="14"/>
  <c r="I1225" i="14" s="1"/>
  <c r="G1226" i="14"/>
  <c r="I1226" i="14" s="1"/>
  <c r="G1227" i="14"/>
  <c r="I1227" i="14" s="1"/>
  <c r="G1228" i="14"/>
  <c r="I1228" i="14" s="1"/>
  <c r="G1229" i="14"/>
  <c r="I1229" i="14" s="1"/>
  <c r="G1230" i="14"/>
  <c r="I1230" i="14" s="1"/>
  <c r="G1231" i="14"/>
  <c r="I1231" i="14" s="1"/>
  <c r="G1232" i="14"/>
  <c r="I1232" i="14" s="1"/>
  <c r="G1233" i="14"/>
  <c r="I1233" i="14" s="1"/>
  <c r="G1234" i="14"/>
  <c r="I1234" i="14" s="1"/>
  <c r="G1235" i="14"/>
  <c r="I1235" i="14" s="1"/>
  <c r="G1236" i="14"/>
  <c r="I1236" i="14" s="1"/>
  <c r="G1237" i="14"/>
  <c r="I1237" i="14" s="1"/>
  <c r="G1238" i="14"/>
  <c r="I1238" i="14" s="1"/>
  <c r="G1239" i="14"/>
  <c r="I1239" i="14" s="1"/>
  <c r="G1240" i="14"/>
  <c r="I1240" i="14" s="1"/>
  <c r="G1241" i="14"/>
  <c r="I1241" i="14" s="1"/>
  <c r="G1242" i="14"/>
  <c r="I1242" i="14" s="1"/>
  <c r="G1243" i="14"/>
  <c r="I1243" i="14" s="1"/>
  <c r="G1244" i="14"/>
  <c r="I1244" i="14" s="1"/>
  <c r="G1245" i="14"/>
  <c r="I1245" i="14" s="1"/>
  <c r="G1246" i="14"/>
  <c r="I1246" i="14" s="1"/>
  <c r="G1247" i="14"/>
  <c r="I1247" i="14" s="1"/>
  <c r="G1248" i="14"/>
  <c r="I1248" i="14" s="1"/>
  <c r="G1249" i="14"/>
  <c r="I1249" i="14" s="1"/>
  <c r="G1250" i="14"/>
  <c r="I1250" i="14" s="1"/>
  <c r="G1251" i="14"/>
  <c r="I1251" i="14" s="1"/>
  <c r="G1252" i="14"/>
  <c r="I1252" i="14" s="1"/>
  <c r="G1253" i="14"/>
  <c r="I1253" i="14" s="1"/>
  <c r="G1254" i="14"/>
  <c r="I1254" i="14" s="1"/>
  <c r="G1255" i="14"/>
  <c r="I1255" i="14" s="1"/>
  <c r="G1256" i="14"/>
  <c r="I1256" i="14" s="1"/>
  <c r="G1257" i="14"/>
  <c r="I1257" i="14" s="1"/>
  <c r="G1258" i="14"/>
  <c r="I1258" i="14" s="1"/>
  <c r="G1259" i="14"/>
  <c r="I1259" i="14" s="1"/>
  <c r="G1260" i="14"/>
  <c r="I1260" i="14" s="1"/>
  <c r="G1261" i="14"/>
  <c r="I1261" i="14" s="1"/>
  <c r="G1262" i="14"/>
  <c r="I1262" i="14" s="1"/>
  <c r="G1263" i="14"/>
  <c r="I1263" i="14" s="1"/>
  <c r="G1264" i="14"/>
  <c r="I1264" i="14" s="1"/>
  <c r="G1265" i="14"/>
  <c r="I1265" i="14" s="1"/>
  <c r="G1266" i="14"/>
  <c r="I1266" i="14" s="1"/>
  <c r="G1267" i="14"/>
  <c r="I1267" i="14" s="1"/>
  <c r="G1268" i="14"/>
  <c r="I1268" i="14" s="1"/>
  <c r="G1269" i="14"/>
  <c r="I1269" i="14" s="1"/>
  <c r="G1270" i="14"/>
  <c r="I1270" i="14" s="1"/>
  <c r="G1271" i="14"/>
  <c r="I1271" i="14" s="1"/>
  <c r="G1272" i="14"/>
  <c r="I1272" i="14" s="1"/>
  <c r="G1273" i="14"/>
  <c r="I1273" i="14" s="1"/>
  <c r="G1274" i="14"/>
  <c r="I1274" i="14" s="1"/>
  <c r="G1275" i="14"/>
  <c r="I1275" i="14" s="1"/>
  <c r="G1276" i="14"/>
  <c r="I1276" i="14" s="1"/>
  <c r="G1277" i="14"/>
  <c r="I1277" i="14" s="1"/>
  <c r="G1278" i="14"/>
  <c r="I1278" i="14" s="1"/>
  <c r="G1279" i="14"/>
  <c r="I1279" i="14" s="1"/>
  <c r="G1280" i="14"/>
  <c r="I1280" i="14" s="1"/>
  <c r="G1281" i="14"/>
  <c r="I1281" i="14" s="1"/>
  <c r="G1282" i="14"/>
  <c r="I1282" i="14" s="1"/>
  <c r="G1283" i="14"/>
  <c r="I1283" i="14" s="1"/>
  <c r="G1284" i="14"/>
  <c r="I1284" i="14" s="1"/>
  <c r="G1285" i="14"/>
  <c r="I1285" i="14" s="1"/>
  <c r="G1286" i="14"/>
  <c r="I1286" i="14" s="1"/>
  <c r="G1287" i="14"/>
  <c r="I1287" i="14" s="1"/>
  <c r="G1288" i="14"/>
  <c r="I1288" i="14" s="1"/>
  <c r="G1289" i="14"/>
  <c r="I1289" i="14" s="1"/>
  <c r="G1290" i="14"/>
  <c r="I1290" i="14" s="1"/>
  <c r="G1291" i="14"/>
  <c r="I1291" i="14" s="1"/>
  <c r="G1292" i="14"/>
  <c r="I1292" i="14" s="1"/>
  <c r="G1293" i="14"/>
  <c r="I1293" i="14" s="1"/>
  <c r="G1294" i="14"/>
  <c r="I1294" i="14" s="1"/>
  <c r="G1295" i="14"/>
  <c r="I1295" i="14" s="1"/>
  <c r="G1296" i="14"/>
  <c r="I1296" i="14" s="1"/>
  <c r="G1297" i="14"/>
  <c r="I1297" i="14" s="1"/>
  <c r="G1298" i="14"/>
  <c r="I1298" i="14" s="1"/>
  <c r="G1299" i="14"/>
  <c r="I1299" i="14" s="1"/>
  <c r="G1300" i="14"/>
  <c r="I1300" i="14" s="1"/>
  <c r="G1301" i="14"/>
  <c r="I1301" i="14" s="1"/>
  <c r="G1302" i="14"/>
  <c r="I1302" i="14" s="1"/>
  <c r="G1303" i="14"/>
  <c r="I1303" i="14" s="1"/>
  <c r="G1304" i="14"/>
  <c r="I1304" i="14" s="1"/>
  <c r="G1305" i="14"/>
  <c r="I1305" i="14" s="1"/>
  <c r="G1306" i="14"/>
  <c r="I1306" i="14" s="1"/>
  <c r="G1307" i="14"/>
  <c r="I1307" i="14" s="1"/>
  <c r="G1308" i="14"/>
  <c r="I1308" i="14" s="1"/>
  <c r="G1309" i="14"/>
  <c r="I1309" i="14" s="1"/>
  <c r="G1310" i="14"/>
  <c r="I1310" i="14" s="1"/>
  <c r="G1311" i="14"/>
  <c r="I1311" i="14" s="1"/>
  <c r="G1312" i="14"/>
  <c r="I1312" i="14" s="1"/>
  <c r="G1313" i="14"/>
  <c r="I1313" i="14" s="1"/>
  <c r="G1314" i="14"/>
  <c r="I1314" i="14" s="1"/>
  <c r="G1315" i="14"/>
  <c r="I1315" i="14" s="1"/>
  <c r="G1316" i="14"/>
  <c r="I1316" i="14" s="1"/>
  <c r="G1317" i="14"/>
  <c r="I1317" i="14" s="1"/>
  <c r="G1318" i="14"/>
  <c r="I1318" i="14" s="1"/>
  <c r="G1319" i="14"/>
  <c r="I1319" i="14" s="1"/>
  <c r="G1320" i="14"/>
  <c r="I1320" i="14" s="1"/>
  <c r="G1321" i="14"/>
  <c r="I1321" i="14" s="1"/>
  <c r="G1322" i="14"/>
  <c r="I1322" i="14" s="1"/>
  <c r="G1323" i="14"/>
  <c r="I1323" i="14" s="1"/>
  <c r="G1324" i="14"/>
  <c r="I1324" i="14" s="1"/>
  <c r="G1325" i="14"/>
  <c r="I1325" i="14" s="1"/>
  <c r="G1326" i="14"/>
  <c r="I1326" i="14" s="1"/>
  <c r="G1327" i="14"/>
  <c r="I1327" i="14" s="1"/>
  <c r="G1328" i="14"/>
  <c r="I1328" i="14" s="1"/>
  <c r="G1329" i="14"/>
  <c r="I1329" i="14" s="1"/>
  <c r="G1330" i="14"/>
  <c r="I1330" i="14" s="1"/>
  <c r="G1331" i="14"/>
  <c r="I1331" i="14" s="1"/>
  <c r="G1332" i="14"/>
  <c r="I1332" i="14" s="1"/>
  <c r="G1333" i="14"/>
  <c r="I1333" i="14" s="1"/>
  <c r="G1334" i="14"/>
  <c r="I1334" i="14" s="1"/>
  <c r="G1335" i="14"/>
  <c r="I1335" i="14" s="1"/>
  <c r="G1336" i="14"/>
  <c r="I1336" i="14" s="1"/>
  <c r="G1337" i="14"/>
  <c r="I1337" i="14" s="1"/>
  <c r="G1338" i="14"/>
  <c r="I1338" i="14" s="1"/>
  <c r="G1339" i="14"/>
  <c r="I1339" i="14" s="1"/>
  <c r="G1340" i="14"/>
  <c r="I1340" i="14" s="1"/>
  <c r="G1341" i="14"/>
  <c r="I1341" i="14" s="1"/>
  <c r="G1342" i="14"/>
  <c r="I1342" i="14" s="1"/>
  <c r="G1343" i="14"/>
  <c r="I1343" i="14" s="1"/>
  <c r="G1344" i="14"/>
  <c r="I1344" i="14" s="1"/>
  <c r="G1345" i="14"/>
  <c r="I1345" i="14" s="1"/>
  <c r="G1346" i="14"/>
  <c r="I1346" i="14" s="1"/>
  <c r="G1347" i="14"/>
  <c r="I1347" i="14" s="1"/>
  <c r="G1348" i="14"/>
  <c r="I1348" i="14" s="1"/>
  <c r="G1349" i="14"/>
  <c r="I1349" i="14" s="1"/>
  <c r="G1350" i="14"/>
  <c r="I1350" i="14" s="1"/>
  <c r="G1351" i="14"/>
  <c r="I1351" i="14" s="1"/>
  <c r="G1352" i="14"/>
  <c r="I1352" i="14" s="1"/>
  <c r="G1353" i="14"/>
  <c r="I1353" i="14" s="1"/>
  <c r="G1354" i="14"/>
  <c r="I1354" i="14" s="1"/>
  <c r="G1355" i="14"/>
  <c r="I1355" i="14" s="1"/>
  <c r="G1356" i="14"/>
  <c r="I1356" i="14" s="1"/>
  <c r="G1357" i="14"/>
  <c r="I1357" i="14" s="1"/>
  <c r="G1358" i="14"/>
  <c r="I1358" i="14" s="1"/>
  <c r="G1359" i="14"/>
  <c r="I1359" i="14" s="1"/>
  <c r="G1360" i="14"/>
  <c r="I1360" i="14" s="1"/>
  <c r="G1361" i="14"/>
  <c r="I1361" i="14" s="1"/>
  <c r="G1362" i="14"/>
  <c r="I1362" i="14" s="1"/>
  <c r="G1363" i="14"/>
  <c r="I1363" i="14" s="1"/>
  <c r="G1364" i="14"/>
  <c r="I1364" i="14" s="1"/>
  <c r="G1365" i="14"/>
  <c r="I1365" i="14" s="1"/>
  <c r="G1366" i="14"/>
  <c r="I1366" i="14" s="1"/>
  <c r="G1367" i="14"/>
  <c r="I1367" i="14" s="1"/>
  <c r="G1368" i="14"/>
  <c r="I1368" i="14" s="1"/>
  <c r="G1369" i="14"/>
  <c r="I1369" i="14" s="1"/>
  <c r="G1370" i="14"/>
  <c r="I1370" i="14" s="1"/>
  <c r="G1371" i="14"/>
  <c r="I1371" i="14" s="1"/>
  <c r="G1372" i="14"/>
  <c r="I1372" i="14" s="1"/>
  <c r="G1373" i="14"/>
  <c r="I1373" i="14" s="1"/>
  <c r="G1374" i="14"/>
  <c r="I1374" i="14" s="1"/>
  <c r="G1375" i="14"/>
  <c r="I1375" i="14" s="1"/>
  <c r="G1376" i="14"/>
  <c r="I1376" i="14" s="1"/>
  <c r="G1377" i="14"/>
  <c r="I1377" i="14" s="1"/>
  <c r="G1378" i="14"/>
  <c r="I1378" i="14" s="1"/>
  <c r="G1379" i="14"/>
  <c r="I1379" i="14" s="1"/>
  <c r="G1380" i="14"/>
  <c r="I1380" i="14" s="1"/>
  <c r="G1381" i="14"/>
  <c r="I1381" i="14" s="1"/>
  <c r="G1382" i="14"/>
  <c r="I1382" i="14" s="1"/>
  <c r="G1383" i="14"/>
  <c r="I1383" i="14" s="1"/>
  <c r="G1384" i="14"/>
  <c r="I1384" i="14" s="1"/>
  <c r="G1385" i="14"/>
  <c r="I1385" i="14" s="1"/>
  <c r="G1386" i="14"/>
  <c r="I1386" i="14" s="1"/>
  <c r="G1387" i="14"/>
  <c r="I1387" i="14" s="1"/>
  <c r="G1388" i="14"/>
  <c r="I1388" i="14" s="1"/>
  <c r="G1389" i="14"/>
  <c r="I1389" i="14" s="1"/>
  <c r="G1390" i="14"/>
  <c r="I1390" i="14" s="1"/>
  <c r="G1391" i="14"/>
  <c r="I1391" i="14" s="1"/>
  <c r="G1392" i="14"/>
  <c r="I1392" i="14" s="1"/>
  <c r="G1393" i="14"/>
  <c r="I1393" i="14" s="1"/>
  <c r="G1394" i="14"/>
  <c r="I1394" i="14" s="1"/>
  <c r="G1395" i="14"/>
  <c r="I1395" i="14" s="1"/>
  <c r="G1396" i="14"/>
  <c r="I1396" i="14" s="1"/>
  <c r="G1397" i="14"/>
  <c r="I1397" i="14" s="1"/>
  <c r="G1398" i="14"/>
  <c r="I1398" i="14" s="1"/>
  <c r="G1399" i="14"/>
  <c r="I1399" i="14" s="1"/>
  <c r="G1400" i="14"/>
  <c r="I1400" i="14" s="1"/>
  <c r="G1401" i="14"/>
  <c r="I1401" i="14" s="1"/>
  <c r="G1402" i="14"/>
  <c r="I1402" i="14" s="1"/>
  <c r="G1403" i="14"/>
  <c r="I1403" i="14" s="1"/>
  <c r="G1404" i="14"/>
  <c r="I1404" i="14" s="1"/>
  <c r="G1405" i="14"/>
  <c r="I1405" i="14" s="1"/>
  <c r="G1406" i="14"/>
  <c r="I1406" i="14" s="1"/>
  <c r="G1407" i="14"/>
  <c r="I1407" i="14" s="1"/>
  <c r="G1408" i="14"/>
  <c r="I1408" i="14" s="1"/>
  <c r="G1409" i="14"/>
  <c r="I1409" i="14" s="1"/>
  <c r="G1410" i="14"/>
  <c r="I1410" i="14" s="1"/>
  <c r="G1411" i="14"/>
  <c r="I1411" i="14" s="1"/>
  <c r="G1412" i="14"/>
  <c r="I1412" i="14" s="1"/>
  <c r="G1413" i="14"/>
  <c r="I1413" i="14" s="1"/>
  <c r="G1414" i="14"/>
  <c r="I1414" i="14" s="1"/>
  <c r="G1415" i="14"/>
  <c r="I1415" i="14" s="1"/>
  <c r="G1416" i="14"/>
  <c r="I1416" i="14" s="1"/>
  <c r="G1417" i="14"/>
  <c r="I1417" i="14" s="1"/>
  <c r="G1418" i="14"/>
  <c r="I1418" i="14" s="1"/>
  <c r="G1419" i="14"/>
  <c r="I1419" i="14" s="1"/>
  <c r="G1420" i="14"/>
  <c r="I1420" i="14" s="1"/>
  <c r="G1421" i="14"/>
  <c r="I1421" i="14" s="1"/>
  <c r="G1422" i="14"/>
  <c r="I1422" i="14" s="1"/>
  <c r="G1423" i="14"/>
  <c r="I1423" i="14" s="1"/>
  <c r="G1424" i="14"/>
  <c r="I1424" i="14" s="1"/>
  <c r="G1425" i="14"/>
  <c r="I1425" i="14" s="1"/>
  <c r="G1426" i="14"/>
  <c r="I1426" i="14" s="1"/>
  <c r="G1427" i="14"/>
  <c r="I1427" i="14" s="1"/>
  <c r="G1428" i="14"/>
  <c r="I1428" i="14" s="1"/>
  <c r="G1429" i="14"/>
  <c r="I1429" i="14" s="1"/>
  <c r="G1430" i="14"/>
  <c r="I1430" i="14" s="1"/>
  <c r="G1431" i="14"/>
  <c r="I1431" i="14" s="1"/>
  <c r="G1432" i="14"/>
  <c r="I1432" i="14" s="1"/>
  <c r="G1433" i="14"/>
  <c r="I1433" i="14" s="1"/>
  <c r="G1434" i="14"/>
  <c r="I1434" i="14" s="1"/>
  <c r="G1435" i="14"/>
  <c r="I1435" i="14" s="1"/>
  <c r="G1436" i="14"/>
  <c r="I1436" i="14" s="1"/>
  <c r="G1437" i="14"/>
  <c r="I1437" i="14" s="1"/>
  <c r="G1438" i="14"/>
  <c r="I1438" i="14" s="1"/>
  <c r="G1439" i="14"/>
  <c r="I1439" i="14" s="1"/>
  <c r="G1440" i="14"/>
  <c r="I1440" i="14" s="1"/>
  <c r="G1441" i="14"/>
  <c r="I1441" i="14" s="1"/>
  <c r="G1442" i="14"/>
  <c r="I1442" i="14" s="1"/>
  <c r="G1443" i="14"/>
  <c r="I1443" i="14" s="1"/>
  <c r="G1444" i="14"/>
  <c r="I1444" i="14" s="1"/>
  <c r="G1445" i="14"/>
  <c r="I1445" i="14" s="1"/>
  <c r="G1446" i="14"/>
  <c r="I1446" i="14" s="1"/>
  <c r="G1447" i="14"/>
  <c r="I1447" i="14" s="1"/>
  <c r="G1448" i="14"/>
  <c r="I1448" i="14" s="1"/>
  <c r="G1449" i="14"/>
  <c r="I1449" i="14" s="1"/>
  <c r="G1450" i="14"/>
  <c r="I1450" i="14" s="1"/>
  <c r="G1451" i="14"/>
  <c r="I1451" i="14" s="1"/>
  <c r="G1452" i="14"/>
  <c r="I1452" i="14" s="1"/>
  <c r="G1453" i="14"/>
  <c r="I1453" i="14" s="1"/>
  <c r="G1454" i="14"/>
  <c r="I1454" i="14" s="1"/>
  <c r="G1455" i="14"/>
  <c r="I1455" i="14" s="1"/>
  <c r="G1456" i="14"/>
  <c r="I1456" i="14" s="1"/>
  <c r="G1457" i="14"/>
  <c r="I1457" i="14" s="1"/>
  <c r="G1458" i="14"/>
  <c r="I1458" i="14" s="1"/>
  <c r="G1459" i="14"/>
  <c r="I1459" i="14" s="1"/>
  <c r="G1460" i="14"/>
  <c r="I1460" i="14" s="1"/>
  <c r="G1461" i="14"/>
  <c r="I1461" i="14" s="1"/>
  <c r="G1462" i="14"/>
  <c r="I1462" i="14" s="1"/>
  <c r="G1463" i="14"/>
  <c r="I1463" i="14" s="1"/>
  <c r="G1464" i="14"/>
  <c r="I1464" i="14" s="1"/>
  <c r="G1465" i="14"/>
  <c r="I1465" i="14" s="1"/>
  <c r="G1466" i="14"/>
  <c r="I1466" i="14" s="1"/>
  <c r="G1467" i="14"/>
  <c r="I1467" i="14" s="1"/>
  <c r="G1468" i="14"/>
  <c r="I1468" i="14" s="1"/>
  <c r="G1469" i="14"/>
  <c r="I1469" i="14" s="1"/>
  <c r="G1470" i="14"/>
  <c r="I1470" i="14" s="1"/>
  <c r="G1471" i="14"/>
  <c r="I1471" i="14" s="1"/>
  <c r="G1472" i="14"/>
  <c r="I1472" i="14" s="1"/>
  <c r="G1473" i="14"/>
  <c r="I1473" i="14" s="1"/>
  <c r="G1474" i="14"/>
  <c r="I1474" i="14" s="1"/>
  <c r="G1475" i="14"/>
  <c r="I1475" i="14" s="1"/>
  <c r="G1476" i="14"/>
  <c r="I1476" i="14" s="1"/>
  <c r="G1477" i="14"/>
  <c r="I1477" i="14" s="1"/>
  <c r="G1478" i="14"/>
  <c r="I1478" i="14" s="1"/>
  <c r="G1479" i="14"/>
  <c r="I1479" i="14" s="1"/>
  <c r="G1480" i="14"/>
  <c r="I1480" i="14" s="1"/>
  <c r="G1481" i="14"/>
  <c r="I1481" i="14" s="1"/>
  <c r="G1482" i="14"/>
  <c r="I1482" i="14" s="1"/>
  <c r="G1483" i="14"/>
  <c r="I1483" i="14" s="1"/>
  <c r="G1484" i="14"/>
  <c r="I1484" i="14" s="1"/>
  <c r="G1485" i="14"/>
  <c r="I1485" i="14" s="1"/>
  <c r="G1486" i="14"/>
  <c r="I1486" i="14" s="1"/>
  <c r="G1487" i="14"/>
  <c r="I1487" i="14" s="1"/>
  <c r="G1488" i="14"/>
  <c r="I1488" i="14" s="1"/>
  <c r="G1489" i="14"/>
  <c r="I1489" i="14" s="1"/>
  <c r="G1490" i="14"/>
  <c r="I1490" i="14" s="1"/>
  <c r="G1491" i="14"/>
  <c r="I1491" i="14" s="1"/>
  <c r="G1492" i="14"/>
  <c r="I1492" i="14" s="1"/>
  <c r="G1493" i="14"/>
  <c r="I1493" i="14" s="1"/>
  <c r="G1494" i="14"/>
  <c r="I1494" i="14" s="1"/>
  <c r="G1495" i="14"/>
  <c r="I1495" i="14" s="1"/>
  <c r="G1496" i="14"/>
  <c r="I1496" i="14" s="1"/>
  <c r="G1497" i="14"/>
  <c r="I1497" i="14" s="1"/>
  <c r="G1498" i="14"/>
  <c r="I1498" i="14" s="1"/>
  <c r="G1499" i="14"/>
  <c r="I1499" i="14" s="1"/>
  <c r="G1500" i="14"/>
  <c r="I1500" i="14" s="1"/>
  <c r="G1501" i="14"/>
  <c r="I1501" i="14" s="1"/>
  <c r="G1502" i="14"/>
  <c r="I1502" i="14" s="1"/>
  <c r="G1503" i="14"/>
  <c r="I1503" i="14" s="1"/>
  <c r="G1504" i="14"/>
  <c r="I1504" i="14" s="1"/>
  <c r="G1505" i="14"/>
  <c r="I1505" i="14" s="1"/>
  <c r="G1506" i="14"/>
  <c r="I1506" i="14" s="1"/>
  <c r="G1507" i="14"/>
  <c r="I1507" i="14" s="1"/>
  <c r="G1508" i="14"/>
  <c r="I1508" i="14" s="1"/>
  <c r="G1509" i="14"/>
  <c r="I1509" i="14" s="1"/>
  <c r="G1510" i="14"/>
  <c r="I1510" i="14" s="1"/>
  <c r="G1511" i="14"/>
  <c r="I1511" i="14" s="1"/>
  <c r="G1512" i="14"/>
  <c r="I1512" i="14" s="1"/>
  <c r="G1513" i="14"/>
  <c r="I1513" i="14" s="1"/>
  <c r="G1514" i="14"/>
  <c r="I1514" i="14" s="1"/>
  <c r="G1515" i="14"/>
  <c r="I1515" i="14" s="1"/>
  <c r="G1516" i="14"/>
  <c r="I1516" i="14" s="1"/>
  <c r="G1517" i="14"/>
  <c r="I1517" i="14" s="1"/>
  <c r="G1518" i="14"/>
  <c r="I1518" i="14" s="1"/>
  <c r="G1519" i="14"/>
  <c r="I1519" i="14" s="1"/>
  <c r="G1520" i="14"/>
  <c r="I1520" i="14" s="1"/>
  <c r="G1521" i="14"/>
  <c r="I1521" i="14" s="1"/>
  <c r="G1522" i="14"/>
  <c r="I1522" i="14" s="1"/>
  <c r="G1523" i="14"/>
  <c r="I1523" i="14" s="1"/>
  <c r="G1524" i="14"/>
  <c r="I1524" i="14" s="1"/>
  <c r="G1525" i="14"/>
  <c r="I1525" i="14" s="1"/>
  <c r="G1526" i="14"/>
  <c r="I1526" i="14" s="1"/>
  <c r="G1527" i="14"/>
  <c r="I1527" i="14" s="1"/>
  <c r="G1528" i="14"/>
  <c r="I1528" i="14" s="1"/>
  <c r="G1529" i="14"/>
  <c r="I1529" i="14" s="1"/>
  <c r="G1530" i="14"/>
  <c r="I1530" i="14" s="1"/>
  <c r="G1531" i="14"/>
  <c r="I1531" i="14" s="1"/>
  <c r="G1532" i="14"/>
  <c r="I1532" i="14" s="1"/>
  <c r="G1533" i="14"/>
  <c r="I1533" i="14" s="1"/>
  <c r="G1534" i="14"/>
  <c r="I1534" i="14" s="1"/>
  <c r="G1535" i="14"/>
  <c r="I1535" i="14" s="1"/>
  <c r="G1536" i="14"/>
  <c r="I1536" i="14" s="1"/>
  <c r="G1537" i="14"/>
  <c r="I1537" i="14" s="1"/>
  <c r="G1538" i="14"/>
  <c r="I1538" i="14" s="1"/>
  <c r="G1539" i="14"/>
  <c r="I1539" i="14" s="1"/>
  <c r="G1540" i="14"/>
  <c r="I1540" i="14" s="1"/>
  <c r="G1541" i="14"/>
  <c r="I1541" i="14" s="1"/>
  <c r="G1542" i="14"/>
  <c r="I1542" i="14" s="1"/>
  <c r="G1543" i="14"/>
  <c r="I1543" i="14" s="1"/>
  <c r="G1544" i="14"/>
  <c r="I1544" i="14" s="1"/>
  <c r="G1545" i="14"/>
  <c r="I1545" i="14" s="1"/>
  <c r="G1546" i="14"/>
  <c r="I1546" i="14" s="1"/>
  <c r="G1547" i="14"/>
  <c r="I1547" i="14" s="1"/>
  <c r="G1548" i="14"/>
  <c r="I1548" i="14" s="1"/>
  <c r="G1549" i="14"/>
  <c r="I1549" i="14" s="1"/>
  <c r="G1550" i="14"/>
  <c r="I1550" i="14" s="1"/>
  <c r="G1551" i="14"/>
  <c r="I1551" i="14" s="1"/>
  <c r="G1552" i="14"/>
  <c r="I1552" i="14" s="1"/>
  <c r="G1553" i="14"/>
  <c r="I1553" i="14" s="1"/>
  <c r="G1554" i="14"/>
  <c r="I1554" i="14" s="1"/>
  <c r="G1555" i="14"/>
  <c r="I1555" i="14" s="1"/>
  <c r="G1556" i="14"/>
  <c r="I1556" i="14" s="1"/>
  <c r="G1557" i="14"/>
  <c r="I1557" i="14" s="1"/>
  <c r="G1558" i="14"/>
  <c r="I1558" i="14" s="1"/>
  <c r="G1559" i="14"/>
  <c r="I1559" i="14" s="1"/>
  <c r="G1560" i="14"/>
  <c r="I1560" i="14" s="1"/>
  <c r="G1561" i="14"/>
  <c r="I1561" i="14" s="1"/>
  <c r="G1562" i="14"/>
  <c r="I1562" i="14" s="1"/>
  <c r="G1563" i="14"/>
  <c r="I1563" i="14" s="1"/>
  <c r="G1564" i="14"/>
  <c r="I1564" i="14" s="1"/>
  <c r="G1565" i="14"/>
  <c r="I1565" i="14" s="1"/>
  <c r="G1566" i="14"/>
  <c r="I1566" i="14" s="1"/>
  <c r="G1567" i="14"/>
  <c r="I1567" i="14" s="1"/>
  <c r="G1568" i="14"/>
  <c r="I1568" i="14" s="1"/>
  <c r="G1569" i="14"/>
  <c r="I1569" i="14" s="1"/>
  <c r="G1570" i="14"/>
  <c r="I1570" i="14" s="1"/>
  <c r="G1571" i="14"/>
  <c r="I1571" i="14" s="1"/>
  <c r="G1572" i="14"/>
  <c r="I1572" i="14" s="1"/>
  <c r="G1573" i="14"/>
  <c r="I1573" i="14" s="1"/>
  <c r="G1574" i="14"/>
  <c r="I1574" i="14" s="1"/>
  <c r="G1575" i="14"/>
  <c r="I1575" i="14" s="1"/>
  <c r="G1576" i="14"/>
  <c r="I1576" i="14" s="1"/>
  <c r="G1577" i="14"/>
  <c r="I1577" i="14" s="1"/>
  <c r="G1578" i="14"/>
  <c r="I1578" i="14" s="1"/>
  <c r="G1579" i="14"/>
  <c r="I1579" i="14" s="1"/>
  <c r="G1580" i="14"/>
  <c r="I1580" i="14" s="1"/>
  <c r="G1581" i="14"/>
  <c r="I1581" i="14" s="1"/>
  <c r="G1582" i="14"/>
  <c r="I1582" i="14" s="1"/>
  <c r="G1583" i="14"/>
  <c r="I1583" i="14" s="1"/>
  <c r="G1584" i="14"/>
  <c r="I1584" i="14" s="1"/>
  <c r="G1585" i="14"/>
  <c r="I1585" i="14" s="1"/>
  <c r="G1586" i="14"/>
  <c r="I1586" i="14" s="1"/>
  <c r="G1587" i="14"/>
  <c r="I1587" i="14" s="1"/>
  <c r="G1588" i="14"/>
  <c r="I1588" i="14" s="1"/>
  <c r="G1589" i="14"/>
  <c r="I1589" i="14" s="1"/>
  <c r="G1590" i="14"/>
  <c r="I1590" i="14" s="1"/>
  <c r="G1591" i="14"/>
  <c r="I1591" i="14" s="1"/>
  <c r="G1592" i="14"/>
  <c r="I1592" i="14" s="1"/>
  <c r="G1593" i="14"/>
  <c r="I1593" i="14" s="1"/>
  <c r="G1594" i="14"/>
  <c r="I1594" i="14" s="1"/>
  <c r="G1595" i="14"/>
  <c r="I1595" i="14" s="1"/>
  <c r="G1596" i="14"/>
  <c r="I1596" i="14" s="1"/>
  <c r="G1597" i="14"/>
  <c r="I1597" i="14" s="1"/>
  <c r="G1598" i="14"/>
  <c r="I1598" i="14" s="1"/>
  <c r="G1599" i="14"/>
  <c r="I1599" i="14" s="1"/>
  <c r="G1600" i="14"/>
  <c r="I1600" i="14" s="1"/>
  <c r="G1601" i="14"/>
  <c r="I1601" i="14" s="1"/>
  <c r="G1602" i="14"/>
  <c r="I1602" i="14" s="1"/>
  <c r="G1603" i="14"/>
  <c r="I1603" i="14" s="1"/>
  <c r="G1604" i="14"/>
  <c r="I1604" i="14" s="1"/>
  <c r="G1605" i="14"/>
  <c r="I1605" i="14" s="1"/>
  <c r="G1606" i="14"/>
  <c r="I1606" i="14" s="1"/>
  <c r="G1607" i="14"/>
  <c r="I1607" i="14" s="1"/>
  <c r="G1608" i="14"/>
  <c r="I1608" i="14" s="1"/>
  <c r="G1609" i="14"/>
  <c r="I1609" i="14" s="1"/>
  <c r="G1610" i="14"/>
  <c r="I1610" i="14" s="1"/>
  <c r="G1611" i="14"/>
  <c r="I1611" i="14" s="1"/>
  <c r="G1612" i="14"/>
  <c r="I1612" i="14" s="1"/>
  <c r="G1613" i="14"/>
  <c r="I1613" i="14" s="1"/>
  <c r="G1614" i="14"/>
  <c r="I1614" i="14" s="1"/>
  <c r="G1615" i="14"/>
  <c r="I1615" i="14" s="1"/>
  <c r="G1616" i="14"/>
  <c r="I1616" i="14" s="1"/>
  <c r="G1617" i="14"/>
  <c r="I1617" i="14" s="1"/>
  <c r="G1618" i="14"/>
  <c r="I1618" i="14" s="1"/>
  <c r="G1619" i="14"/>
  <c r="I1619" i="14" s="1"/>
  <c r="G1620" i="14"/>
  <c r="I1620" i="14" s="1"/>
  <c r="G1621" i="14"/>
  <c r="I1621" i="14" s="1"/>
  <c r="G1622" i="14"/>
  <c r="I1622" i="14" s="1"/>
  <c r="G1623" i="14"/>
  <c r="I1623" i="14" s="1"/>
  <c r="G1624" i="14"/>
  <c r="I1624" i="14" s="1"/>
  <c r="G1625" i="14"/>
  <c r="I1625" i="14" s="1"/>
  <c r="G1626" i="14"/>
  <c r="I1626" i="14" s="1"/>
  <c r="G1627" i="14"/>
  <c r="I1627" i="14" s="1"/>
  <c r="G1628" i="14"/>
  <c r="I1628" i="14" s="1"/>
  <c r="G1629" i="14"/>
  <c r="I1629" i="14" s="1"/>
  <c r="G1630" i="14"/>
  <c r="I1630" i="14" s="1"/>
  <c r="G1631" i="14"/>
  <c r="I1631" i="14" s="1"/>
  <c r="G1632" i="14"/>
  <c r="I1632" i="14" s="1"/>
  <c r="G1633" i="14"/>
  <c r="I1633" i="14" s="1"/>
  <c r="G1634" i="14"/>
  <c r="I1634" i="14" s="1"/>
  <c r="G1635" i="14"/>
  <c r="I1635" i="14" s="1"/>
  <c r="G1636" i="14"/>
  <c r="I1636" i="14" s="1"/>
  <c r="G1637" i="14"/>
  <c r="I1637" i="14" s="1"/>
  <c r="G1638" i="14"/>
  <c r="I1638" i="14" s="1"/>
  <c r="G1639" i="14"/>
  <c r="I1639" i="14" s="1"/>
  <c r="G1640" i="14"/>
  <c r="I1640" i="14" s="1"/>
  <c r="G1641" i="14"/>
  <c r="I1641" i="14" s="1"/>
  <c r="G1642" i="14"/>
  <c r="I1642" i="14" s="1"/>
  <c r="G1643" i="14"/>
  <c r="I1643" i="14" s="1"/>
  <c r="G1644" i="14"/>
  <c r="I1644" i="14" s="1"/>
  <c r="G1645" i="14"/>
  <c r="I1645" i="14" s="1"/>
  <c r="G1646" i="14"/>
  <c r="I1646" i="14" s="1"/>
  <c r="G1647" i="14"/>
  <c r="I1647" i="14" s="1"/>
  <c r="G1648" i="14"/>
  <c r="I1648" i="14" s="1"/>
  <c r="G1649" i="14"/>
  <c r="I1649" i="14" s="1"/>
  <c r="G1650" i="14"/>
  <c r="I1650" i="14" s="1"/>
  <c r="G1651" i="14"/>
  <c r="I1651" i="14" s="1"/>
  <c r="G1652" i="14"/>
  <c r="I1652" i="14" s="1"/>
  <c r="G1653" i="14"/>
  <c r="I1653" i="14" s="1"/>
  <c r="G1654" i="14"/>
  <c r="I1654" i="14" s="1"/>
  <c r="G1655" i="14"/>
  <c r="I1655" i="14" s="1"/>
  <c r="G1656" i="14"/>
  <c r="I1656" i="14" s="1"/>
  <c r="G1657" i="14"/>
  <c r="I1657" i="14" s="1"/>
  <c r="G2" i="14"/>
  <c r="I2" i="14" s="1"/>
  <c r="F3" i="14"/>
  <c r="H3" i="14" s="1"/>
  <c r="J3" i="14" s="1"/>
  <c r="F4" i="14"/>
  <c r="H4" i="14" s="1"/>
  <c r="J4" i="14" s="1"/>
  <c r="F5" i="14"/>
  <c r="H5" i="14" s="1"/>
  <c r="J5" i="14" s="1"/>
  <c r="F6" i="14"/>
  <c r="H6" i="14" s="1"/>
  <c r="J6" i="14" s="1"/>
  <c r="F7" i="14"/>
  <c r="H7" i="14" s="1"/>
  <c r="J7" i="14" s="1"/>
  <c r="F8" i="14"/>
  <c r="H8" i="14" s="1"/>
  <c r="J8" i="14" s="1"/>
  <c r="F9" i="14"/>
  <c r="H9" i="14" s="1"/>
  <c r="J9" i="14" s="1"/>
  <c r="F10" i="14"/>
  <c r="H10" i="14" s="1"/>
  <c r="J10" i="14" s="1"/>
  <c r="F11" i="14"/>
  <c r="H11" i="14" s="1"/>
  <c r="J11" i="14" s="1"/>
  <c r="F12" i="14"/>
  <c r="H12" i="14" s="1"/>
  <c r="J12" i="14" s="1"/>
  <c r="F13" i="14"/>
  <c r="H13" i="14" s="1"/>
  <c r="J13" i="14" s="1"/>
  <c r="F14" i="14"/>
  <c r="H14" i="14" s="1"/>
  <c r="J14" i="14" s="1"/>
  <c r="F15" i="14"/>
  <c r="H15" i="14" s="1"/>
  <c r="J15" i="14" s="1"/>
  <c r="F16" i="14"/>
  <c r="H16" i="14" s="1"/>
  <c r="J16" i="14" s="1"/>
  <c r="F17" i="14"/>
  <c r="H17" i="14" s="1"/>
  <c r="J17" i="14" s="1"/>
  <c r="F18" i="14"/>
  <c r="H18" i="14" s="1"/>
  <c r="J18" i="14" s="1"/>
  <c r="F19" i="14"/>
  <c r="H19" i="14" s="1"/>
  <c r="J19" i="14" s="1"/>
  <c r="F20" i="14"/>
  <c r="H20" i="14" s="1"/>
  <c r="J20" i="14" s="1"/>
  <c r="F21" i="14"/>
  <c r="H21" i="14" s="1"/>
  <c r="J21" i="14" s="1"/>
  <c r="F22" i="14"/>
  <c r="H22" i="14" s="1"/>
  <c r="J22" i="14" s="1"/>
  <c r="F23" i="14"/>
  <c r="H23" i="14" s="1"/>
  <c r="J23" i="14" s="1"/>
  <c r="F24" i="14"/>
  <c r="H24" i="14" s="1"/>
  <c r="J24" i="14" s="1"/>
  <c r="F25" i="14"/>
  <c r="H25" i="14" s="1"/>
  <c r="J25" i="14" s="1"/>
  <c r="F26" i="14"/>
  <c r="H26" i="14" s="1"/>
  <c r="J26" i="14" s="1"/>
  <c r="F27" i="14"/>
  <c r="H27" i="14" s="1"/>
  <c r="J27" i="14" s="1"/>
  <c r="F28" i="14"/>
  <c r="H28" i="14" s="1"/>
  <c r="J28" i="14" s="1"/>
  <c r="F29" i="14"/>
  <c r="H29" i="14" s="1"/>
  <c r="J29" i="14" s="1"/>
  <c r="F30" i="14"/>
  <c r="H30" i="14" s="1"/>
  <c r="J30" i="14" s="1"/>
  <c r="F31" i="14"/>
  <c r="H31" i="14" s="1"/>
  <c r="J31" i="14" s="1"/>
  <c r="F32" i="14"/>
  <c r="H32" i="14" s="1"/>
  <c r="J32" i="14" s="1"/>
  <c r="F33" i="14"/>
  <c r="H33" i="14" s="1"/>
  <c r="J33" i="14" s="1"/>
  <c r="F34" i="14"/>
  <c r="H34" i="14" s="1"/>
  <c r="J34" i="14" s="1"/>
  <c r="F35" i="14"/>
  <c r="H35" i="14" s="1"/>
  <c r="J35" i="14" s="1"/>
  <c r="F36" i="14"/>
  <c r="H36" i="14" s="1"/>
  <c r="J36" i="14" s="1"/>
  <c r="F37" i="14"/>
  <c r="H37" i="14" s="1"/>
  <c r="J37" i="14" s="1"/>
  <c r="F38" i="14"/>
  <c r="H38" i="14" s="1"/>
  <c r="J38" i="14" s="1"/>
  <c r="F39" i="14"/>
  <c r="H39" i="14" s="1"/>
  <c r="J39" i="14" s="1"/>
  <c r="F40" i="14"/>
  <c r="H40" i="14" s="1"/>
  <c r="J40" i="14" s="1"/>
  <c r="F41" i="14"/>
  <c r="H41" i="14" s="1"/>
  <c r="J41" i="14" s="1"/>
  <c r="F42" i="14"/>
  <c r="H42" i="14" s="1"/>
  <c r="J42" i="14" s="1"/>
  <c r="F43" i="14"/>
  <c r="H43" i="14" s="1"/>
  <c r="J43" i="14" s="1"/>
  <c r="F44" i="14"/>
  <c r="H44" i="14" s="1"/>
  <c r="J44" i="14" s="1"/>
  <c r="F45" i="14"/>
  <c r="H45" i="14" s="1"/>
  <c r="J45" i="14" s="1"/>
  <c r="F46" i="14"/>
  <c r="H46" i="14" s="1"/>
  <c r="J46" i="14" s="1"/>
  <c r="F47" i="14"/>
  <c r="H47" i="14" s="1"/>
  <c r="J47" i="14" s="1"/>
  <c r="F48" i="14"/>
  <c r="H48" i="14" s="1"/>
  <c r="J48" i="14" s="1"/>
  <c r="F49" i="14"/>
  <c r="H49" i="14" s="1"/>
  <c r="J49" i="14" s="1"/>
  <c r="F50" i="14"/>
  <c r="H50" i="14" s="1"/>
  <c r="J50" i="14" s="1"/>
  <c r="F51" i="14"/>
  <c r="H51" i="14" s="1"/>
  <c r="J51" i="14" s="1"/>
  <c r="F52" i="14"/>
  <c r="H52" i="14" s="1"/>
  <c r="J52" i="14" s="1"/>
  <c r="F53" i="14"/>
  <c r="H53" i="14" s="1"/>
  <c r="J53" i="14" s="1"/>
  <c r="F54" i="14"/>
  <c r="H54" i="14" s="1"/>
  <c r="J54" i="14" s="1"/>
  <c r="F55" i="14"/>
  <c r="H55" i="14" s="1"/>
  <c r="J55" i="14" s="1"/>
  <c r="F56" i="14"/>
  <c r="H56" i="14" s="1"/>
  <c r="J56" i="14" s="1"/>
  <c r="F57" i="14"/>
  <c r="H57" i="14" s="1"/>
  <c r="J57" i="14" s="1"/>
  <c r="F58" i="14"/>
  <c r="H58" i="14" s="1"/>
  <c r="J58" i="14" s="1"/>
  <c r="F59" i="14"/>
  <c r="H59" i="14" s="1"/>
  <c r="J59" i="14" s="1"/>
  <c r="F60" i="14"/>
  <c r="H60" i="14" s="1"/>
  <c r="J60" i="14" s="1"/>
  <c r="F61" i="14"/>
  <c r="H61" i="14" s="1"/>
  <c r="J61" i="14" s="1"/>
  <c r="F62" i="14"/>
  <c r="H62" i="14" s="1"/>
  <c r="J62" i="14" s="1"/>
  <c r="F63" i="14"/>
  <c r="H63" i="14" s="1"/>
  <c r="J63" i="14" s="1"/>
  <c r="F64" i="14"/>
  <c r="H64" i="14" s="1"/>
  <c r="J64" i="14" s="1"/>
  <c r="F65" i="14"/>
  <c r="H65" i="14" s="1"/>
  <c r="J65" i="14" s="1"/>
  <c r="F66" i="14"/>
  <c r="H66" i="14" s="1"/>
  <c r="J66" i="14" s="1"/>
  <c r="F67" i="14"/>
  <c r="H67" i="14" s="1"/>
  <c r="J67" i="14" s="1"/>
  <c r="F68" i="14"/>
  <c r="H68" i="14" s="1"/>
  <c r="J68" i="14" s="1"/>
  <c r="F69" i="14"/>
  <c r="H69" i="14" s="1"/>
  <c r="J69" i="14" s="1"/>
  <c r="F70" i="14"/>
  <c r="H70" i="14" s="1"/>
  <c r="J70" i="14" s="1"/>
  <c r="F71" i="14"/>
  <c r="H71" i="14" s="1"/>
  <c r="J71" i="14" s="1"/>
  <c r="F72" i="14"/>
  <c r="H72" i="14" s="1"/>
  <c r="J72" i="14" s="1"/>
  <c r="F73" i="14"/>
  <c r="H73" i="14" s="1"/>
  <c r="J73" i="14" s="1"/>
  <c r="F74" i="14"/>
  <c r="H74" i="14" s="1"/>
  <c r="J74" i="14" s="1"/>
  <c r="F75" i="14"/>
  <c r="H75" i="14" s="1"/>
  <c r="J75" i="14" s="1"/>
  <c r="F76" i="14"/>
  <c r="H76" i="14" s="1"/>
  <c r="J76" i="14" s="1"/>
  <c r="F77" i="14"/>
  <c r="H77" i="14" s="1"/>
  <c r="J77" i="14" s="1"/>
  <c r="F78" i="14"/>
  <c r="H78" i="14" s="1"/>
  <c r="J78" i="14" s="1"/>
  <c r="F79" i="14"/>
  <c r="H79" i="14" s="1"/>
  <c r="J79" i="14" s="1"/>
  <c r="F80" i="14"/>
  <c r="H80" i="14" s="1"/>
  <c r="J80" i="14" s="1"/>
  <c r="F81" i="14"/>
  <c r="H81" i="14" s="1"/>
  <c r="J81" i="14" s="1"/>
  <c r="F82" i="14"/>
  <c r="H82" i="14" s="1"/>
  <c r="J82" i="14" s="1"/>
  <c r="F83" i="14"/>
  <c r="H83" i="14" s="1"/>
  <c r="J83" i="14" s="1"/>
  <c r="F84" i="14"/>
  <c r="H84" i="14" s="1"/>
  <c r="J84" i="14" s="1"/>
  <c r="F85" i="14"/>
  <c r="H85" i="14" s="1"/>
  <c r="J85" i="14" s="1"/>
  <c r="F86" i="14"/>
  <c r="H86" i="14" s="1"/>
  <c r="J86" i="14" s="1"/>
  <c r="F87" i="14"/>
  <c r="H87" i="14" s="1"/>
  <c r="J87" i="14" s="1"/>
  <c r="F88" i="14"/>
  <c r="H88" i="14" s="1"/>
  <c r="J88" i="14" s="1"/>
  <c r="F89" i="14"/>
  <c r="H89" i="14" s="1"/>
  <c r="J89" i="14" s="1"/>
  <c r="F90" i="14"/>
  <c r="H90" i="14" s="1"/>
  <c r="J90" i="14" s="1"/>
  <c r="F91" i="14"/>
  <c r="H91" i="14" s="1"/>
  <c r="J91" i="14" s="1"/>
  <c r="F92" i="14"/>
  <c r="H92" i="14" s="1"/>
  <c r="J92" i="14" s="1"/>
  <c r="F93" i="14"/>
  <c r="H93" i="14" s="1"/>
  <c r="J93" i="14" s="1"/>
  <c r="F94" i="14"/>
  <c r="H94" i="14" s="1"/>
  <c r="J94" i="14" s="1"/>
  <c r="F95" i="14"/>
  <c r="H95" i="14" s="1"/>
  <c r="J95" i="14" s="1"/>
  <c r="F96" i="14"/>
  <c r="H96" i="14" s="1"/>
  <c r="J96" i="14" s="1"/>
  <c r="F97" i="14"/>
  <c r="H97" i="14" s="1"/>
  <c r="J97" i="14" s="1"/>
  <c r="F98" i="14"/>
  <c r="H98" i="14" s="1"/>
  <c r="J98" i="14" s="1"/>
  <c r="F99" i="14"/>
  <c r="H99" i="14" s="1"/>
  <c r="J99" i="14" s="1"/>
  <c r="F100" i="14"/>
  <c r="H100" i="14" s="1"/>
  <c r="J100" i="14" s="1"/>
  <c r="F101" i="14"/>
  <c r="H101" i="14" s="1"/>
  <c r="J101" i="14" s="1"/>
  <c r="F102" i="14"/>
  <c r="H102" i="14" s="1"/>
  <c r="J102" i="14" s="1"/>
  <c r="F103" i="14"/>
  <c r="H103" i="14" s="1"/>
  <c r="J103" i="14" s="1"/>
  <c r="F104" i="14"/>
  <c r="H104" i="14" s="1"/>
  <c r="J104" i="14" s="1"/>
  <c r="F105" i="14"/>
  <c r="H105" i="14" s="1"/>
  <c r="J105" i="14" s="1"/>
  <c r="F106" i="14"/>
  <c r="H106" i="14" s="1"/>
  <c r="J106" i="14" s="1"/>
  <c r="F107" i="14"/>
  <c r="H107" i="14" s="1"/>
  <c r="J107" i="14" s="1"/>
  <c r="F108" i="14"/>
  <c r="H108" i="14" s="1"/>
  <c r="J108" i="14" s="1"/>
  <c r="F109" i="14"/>
  <c r="H109" i="14" s="1"/>
  <c r="J109" i="14" s="1"/>
  <c r="F110" i="14"/>
  <c r="H110" i="14" s="1"/>
  <c r="J110" i="14" s="1"/>
  <c r="F111" i="14"/>
  <c r="H111" i="14" s="1"/>
  <c r="J111" i="14" s="1"/>
  <c r="F112" i="14"/>
  <c r="H112" i="14" s="1"/>
  <c r="J112" i="14" s="1"/>
  <c r="F113" i="14"/>
  <c r="H113" i="14" s="1"/>
  <c r="J113" i="14" s="1"/>
  <c r="F114" i="14"/>
  <c r="H114" i="14" s="1"/>
  <c r="J114" i="14" s="1"/>
  <c r="F115" i="14"/>
  <c r="H115" i="14" s="1"/>
  <c r="J115" i="14" s="1"/>
  <c r="F116" i="14"/>
  <c r="H116" i="14" s="1"/>
  <c r="J116" i="14" s="1"/>
  <c r="F117" i="14"/>
  <c r="H117" i="14" s="1"/>
  <c r="J117" i="14" s="1"/>
  <c r="F118" i="14"/>
  <c r="H118" i="14" s="1"/>
  <c r="J118" i="14" s="1"/>
  <c r="F119" i="14"/>
  <c r="H119" i="14" s="1"/>
  <c r="J119" i="14" s="1"/>
  <c r="F120" i="14"/>
  <c r="H120" i="14" s="1"/>
  <c r="J120" i="14" s="1"/>
  <c r="F121" i="14"/>
  <c r="H121" i="14" s="1"/>
  <c r="J121" i="14" s="1"/>
  <c r="F122" i="14"/>
  <c r="H122" i="14" s="1"/>
  <c r="J122" i="14" s="1"/>
  <c r="F123" i="14"/>
  <c r="H123" i="14" s="1"/>
  <c r="J123" i="14" s="1"/>
  <c r="F124" i="14"/>
  <c r="H124" i="14" s="1"/>
  <c r="J124" i="14" s="1"/>
  <c r="F125" i="14"/>
  <c r="H125" i="14" s="1"/>
  <c r="J125" i="14" s="1"/>
  <c r="F126" i="14"/>
  <c r="H126" i="14" s="1"/>
  <c r="J126" i="14" s="1"/>
  <c r="F127" i="14"/>
  <c r="H127" i="14" s="1"/>
  <c r="J127" i="14" s="1"/>
  <c r="F128" i="14"/>
  <c r="H128" i="14" s="1"/>
  <c r="J128" i="14" s="1"/>
  <c r="F129" i="14"/>
  <c r="H129" i="14" s="1"/>
  <c r="J129" i="14" s="1"/>
  <c r="F130" i="14"/>
  <c r="H130" i="14" s="1"/>
  <c r="J130" i="14" s="1"/>
  <c r="F131" i="14"/>
  <c r="H131" i="14" s="1"/>
  <c r="F132" i="14"/>
  <c r="H132" i="14" s="1"/>
  <c r="J132" i="14" s="1"/>
  <c r="F133" i="14"/>
  <c r="H133" i="14" s="1"/>
  <c r="J133" i="14" s="1"/>
  <c r="F134" i="14"/>
  <c r="H134" i="14" s="1"/>
  <c r="J134" i="14" s="1"/>
  <c r="F135" i="14"/>
  <c r="H135" i="14" s="1"/>
  <c r="J135" i="14" s="1"/>
  <c r="F136" i="14"/>
  <c r="H136" i="14" s="1"/>
  <c r="J136" i="14" s="1"/>
  <c r="F137" i="14"/>
  <c r="H137" i="14" s="1"/>
  <c r="J137" i="14" s="1"/>
  <c r="F138" i="14"/>
  <c r="H138" i="14" s="1"/>
  <c r="J138" i="14" s="1"/>
  <c r="F139" i="14"/>
  <c r="H139" i="14" s="1"/>
  <c r="J139" i="14" s="1"/>
  <c r="F140" i="14"/>
  <c r="H140" i="14" s="1"/>
  <c r="J140" i="14" s="1"/>
  <c r="F141" i="14"/>
  <c r="H141" i="14" s="1"/>
  <c r="J141" i="14" s="1"/>
  <c r="F142" i="14"/>
  <c r="H142" i="14" s="1"/>
  <c r="J142" i="14" s="1"/>
  <c r="F143" i="14"/>
  <c r="H143" i="14" s="1"/>
  <c r="J143" i="14" s="1"/>
  <c r="F144" i="14"/>
  <c r="H144" i="14" s="1"/>
  <c r="J144" i="14" s="1"/>
  <c r="F145" i="14"/>
  <c r="H145" i="14" s="1"/>
  <c r="J145" i="14" s="1"/>
  <c r="F146" i="14"/>
  <c r="H146" i="14" s="1"/>
  <c r="J146" i="14" s="1"/>
  <c r="F147" i="14"/>
  <c r="H147" i="14" s="1"/>
  <c r="J147" i="14" s="1"/>
  <c r="F148" i="14"/>
  <c r="H148" i="14" s="1"/>
  <c r="J148" i="14" s="1"/>
  <c r="F149" i="14"/>
  <c r="H149" i="14" s="1"/>
  <c r="J149" i="14" s="1"/>
  <c r="F150" i="14"/>
  <c r="H150" i="14" s="1"/>
  <c r="J150" i="14" s="1"/>
  <c r="F151" i="14"/>
  <c r="H151" i="14" s="1"/>
  <c r="J151" i="14" s="1"/>
  <c r="F152" i="14"/>
  <c r="H152" i="14" s="1"/>
  <c r="J152" i="14" s="1"/>
  <c r="F153" i="14"/>
  <c r="H153" i="14" s="1"/>
  <c r="J153" i="14" s="1"/>
  <c r="F154" i="14"/>
  <c r="H154" i="14" s="1"/>
  <c r="J154" i="14" s="1"/>
  <c r="F155" i="14"/>
  <c r="H155" i="14" s="1"/>
  <c r="J155" i="14" s="1"/>
  <c r="F156" i="14"/>
  <c r="H156" i="14" s="1"/>
  <c r="J156" i="14" s="1"/>
  <c r="F157" i="14"/>
  <c r="H157" i="14" s="1"/>
  <c r="J157" i="14" s="1"/>
  <c r="F158" i="14"/>
  <c r="H158" i="14" s="1"/>
  <c r="J158" i="14" s="1"/>
  <c r="F159" i="14"/>
  <c r="H159" i="14" s="1"/>
  <c r="J159" i="14" s="1"/>
  <c r="F160" i="14"/>
  <c r="H160" i="14" s="1"/>
  <c r="J160" i="14" s="1"/>
  <c r="F161" i="14"/>
  <c r="H161" i="14" s="1"/>
  <c r="J161" i="14" s="1"/>
  <c r="F162" i="14"/>
  <c r="H162" i="14" s="1"/>
  <c r="J162" i="14" s="1"/>
  <c r="F163" i="14"/>
  <c r="H163" i="14" s="1"/>
  <c r="J163" i="14" s="1"/>
  <c r="F164" i="14"/>
  <c r="H164" i="14" s="1"/>
  <c r="J164" i="14" s="1"/>
  <c r="F165" i="14"/>
  <c r="H165" i="14" s="1"/>
  <c r="J165" i="14" s="1"/>
  <c r="F166" i="14"/>
  <c r="H166" i="14" s="1"/>
  <c r="J166" i="14" s="1"/>
  <c r="F167" i="14"/>
  <c r="H167" i="14" s="1"/>
  <c r="J167" i="14" s="1"/>
  <c r="F168" i="14"/>
  <c r="H168" i="14" s="1"/>
  <c r="J168" i="14" s="1"/>
  <c r="F169" i="14"/>
  <c r="H169" i="14" s="1"/>
  <c r="J169" i="14" s="1"/>
  <c r="F170" i="14"/>
  <c r="H170" i="14" s="1"/>
  <c r="J170" i="14" s="1"/>
  <c r="F171" i="14"/>
  <c r="H171" i="14" s="1"/>
  <c r="J171" i="14" s="1"/>
  <c r="F172" i="14"/>
  <c r="H172" i="14" s="1"/>
  <c r="J172" i="14" s="1"/>
  <c r="F173" i="14"/>
  <c r="H173" i="14" s="1"/>
  <c r="J173" i="14" s="1"/>
  <c r="F174" i="14"/>
  <c r="H174" i="14" s="1"/>
  <c r="J174" i="14" s="1"/>
  <c r="F175" i="14"/>
  <c r="H175" i="14" s="1"/>
  <c r="J175" i="14" s="1"/>
  <c r="F176" i="14"/>
  <c r="H176" i="14" s="1"/>
  <c r="J176" i="14" s="1"/>
  <c r="F177" i="14"/>
  <c r="H177" i="14" s="1"/>
  <c r="J177" i="14" s="1"/>
  <c r="F178" i="14"/>
  <c r="H178" i="14" s="1"/>
  <c r="J178" i="14" s="1"/>
  <c r="F179" i="14"/>
  <c r="H179" i="14" s="1"/>
  <c r="J179" i="14" s="1"/>
  <c r="F180" i="14"/>
  <c r="H180" i="14" s="1"/>
  <c r="J180" i="14" s="1"/>
  <c r="F181" i="14"/>
  <c r="H181" i="14" s="1"/>
  <c r="J181" i="14" s="1"/>
  <c r="F182" i="14"/>
  <c r="H182" i="14" s="1"/>
  <c r="J182" i="14" s="1"/>
  <c r="F183" i="14"/>
  <c r="H183" i="14" s="1"/>
  <c r="J183" i="14" s="1"/>
  <c r="F184" i="14"/>
  <c r="H184" i="14" s="1"/>
  <c r="J184" i="14" s="1"/>
  <c r="F185" i="14"/>
  <c r="H185" i="14" s="1"/>
  <c r="J185" i="14" s="1"/>
  <c r="F186" i="14"/>
  <c r="H186" i="14" s="1"/>
  <c r="J186" i="14" s="1"/>
  <c r="F187" i="14"/>
  <c r="H187" i="14" s="1"/>
  <c r="J187" i="14" s="1"/>
  <c r="F188" i="14"/>
  <c r="H188" i="14" s="1"/>
  <c r="J188" i="14" s="1"/>
  <c r="F189" i="14"/>
  <c r="H189" i="14" s="1"/>
  <c r="J189" i="14" s="1"/>
  <c r="F190" i="14"/>
  <c r="H190" i="14" s="1"/>
  <c r="J190" i="14" s="1"/>
  <c r="F191" i="14"/>
  <c r="H191" i="14" s="1"/>
  <c r="J191" i="14" s="1"/>
  <c r="F192" i="14"/>
  <c r="H192" i="14" s="1"/>
  <c r="J192" i="14" s="1"/>
  <c r="F193" i="14"/>
  <c r="H193" i="14" s="1"/>
  <c r="J193" i="14" s="1"/>
  <c r="F194" i="14"/>
  <c r="H194" i="14" s="1"/>
  <c r="J194" i="14" s="1"/>
  <c r="F195" i="14"/>
  <c r="H195" i="14" s="1"/>
  <c r="J195" i="14" s="1"/>
  <c r="F196" i="14"/>
  <c r="H196" i="14" s="1"/>
  <c r="J196" i="14" s="1"/>
  <c r="F197" i="14"/>
  <c r="H197" i="14" s="1"/>
  <c r="J197" i="14" s="1"/>
  <c r="F198" i="14"/>
  <c r="H198" i="14" s="1"/>
  <c r="J198" i="14" s="1"/>
  <c r="F199" i="14"/>
  <c r="H199" i="14" s="1"/>
  <c r="J199" i="14" s="1"/>
  <c r="F200" i="14"/>
  <c r="H200" i="14" s="1"/>
  <c r="J200" i="14" s="1"/>
  <c r="F201" i="14"/>
  <c r="H201" i="14" s="1"/>
  <c r="J201" i="14" s="1"/>
  <c r="F202" i="14"/>
  <c r="H202" i="14" s="1"/>
  <c r="J202" i="14" s="1"/>
  <c r="F203" i="14"/>
  <c r="H203" i="14" s="1"/>
  <c r="J203" i="14" s="1"/>
  <c r="F204" i="14"/>
  <c r="H204" i="14" s="1"/>
  <c r="J204" i="14" s="1"/>
  <c r="F205" i="14"/>
  <c r="H205" i="14" s="1"/>
  <c r="J205" i="14" s="1"/>
  <c r="F206" i="14"/>
  <c r="H206" i="14" s="1"/>
  <c r="J206" i="14" s="1"/>
  <c r="F207" i="14"/>
  <c r="H207" i="14" s="1"/>
  <c r="J207" i="14" s="1"/>
  <c r="F208" i="14"/>
  <c r="H208" i="14" s="1"/>
  <c r="J208" i="14" s="1"/>
  <c r="F209" i="14"/>
  <c r="H209" i="14" s="1"/>
  <c r="J209" i="14" s="1"/>
  <c r="F210" i="14"/>
  <c r="H210" i="14" s="1"/>
  <c r="J210" i="14" s="1"/>
  <c r="F211" i="14"/>
  <c r="H211" i="14" s="1"/>
  <c r="J211" i="14" s="1"/>
  <c r="F212" i="14"/>
  <c r="H212" i="14" s="1"/>
  <c r="J212" i="14" s="1"/>
  <c r="F213" i="14"/>
  <c r="H213" i="14" s="1"/>
  <c r="J213" i="14" s="1"/>
  <c r="F214" i="14"/>
  <c r="H214" i="14" s="1"/>
  <c r="J214" i="14" s="1"/>
  <c r="F215" i="14"/>
  <c r="H215" i="14" s="1"/>
  <c r="J215" i="14" s="1"/>
  <c r="F216" i="14"/>
  <c r="H216" i="14" s="1"/>
  <c r="J216" i="14" s="1"/>
  <c r="F217" i="14"/>
  <c r="H217" i="14" s="1"/>
  <c r="J217" i="14" s="1"/>
  <c r="F218" i="14"/>
  <c r="H218" i="14" s="1"/>
  <c r="J218" i="14" s="1"/>
  <c r="F219" i="14"/>
  <c r="H219" i="14" s="1"/>
  <c r="J219" i="14" s="1"/>
  <c r="F220" i="14"/>
  <c r="H220" i="14" s="1"/>
  <c r="J220" i="14" s="1"/>
  <c r="F221" i="14"/>
  <c r="H221" i="14" s="1"/>
  <c r="J221" i="14" s="1"/>
  <c r="F222" i="14"/>
  <c r="H222" i="14" s="1"/>
  <c r="J222" i="14" s="1"/>
  <c r="F223" i="14"/>
  <c r="H223" i="14" s="1"/>
  <c r="J223" i="14" s="1"/>
  <c r="F224" i="14"/>
  <c r="H224" i="14" s="1"/>
  <c r="J224" i="14" s="1"/>
  <c r="F225" i="14"/>
  <c r="H225" i="14" s="1"/>
  <c r="J225" i="14" s="1"/>
  <c r="F226" i="14"/>
  <c r="H226" i="14" s="1"/>
  <c r="J226" i="14" s="1"/>
  <c r="F227" i="14"/>
  <c r="H227" i="14" s="1"/>
  <c r="J227" i="14" s="1"/>
  <c r="F228" i="14"/>
  <c r="H228" i="14" s="1"/>
  <c r="J228" i="14" s="1"/>
  <c r="F229" i="14"/>
  <c r="H229" i="14" s="1"/>
  <c r="J229" i="14" s="1"/>
  <c r="F230" i="14"/>
  <c r="H230" i="14" s="1"/>
  <c r="J230" i="14" s="1"/>
  <c r="F231" i="14"/>
  <c r="H231" i="14" s="1"/>
  <c r="J231" i="14" s="1"/>
  <c r="F232" i="14"/>
  <c r="H232" i="14" s="1"/>
  <c r="J232" i="14" s="1"/>
  <c r="F233" i="14"/>
  <c r="H233" i="14" s="1"/>
  <c r="J233" i="14" s="1"/>
  <c r="F234" i="14"/>
  <c r="H234" i="14" s="1"/>
  <c r="J234" i="14" s="1"/>
  <c r="F235" i="14"/>
  <c r="H235" i="14" s="1"/>
  <c r="J235" i="14" s="1"/>
  <c r="F236" i="14"/>
  <c r="H236" i="14" s="1"/>
  <c r="J236" i="14" s="1"/>
  <c r="F237" i="14"/>
  <c r="H237" i="14" s="1"/>
  <c r="J237" i="14" s="1"/>
  <c r="F238" i="14"/>
  <c r="H238" i="14" s="1"/>
  <c r="J238" i="14" s="1"/>
  <c r="F239" i="14"/>
  <c r="H239" i="14" s="1"/>
  <c r="J239" i="14" s="1"/>
  <c r="F240" i="14"/>
  <c r="H240" i="14" s="1"/>
  <c r="J240" i="14" s="1"/>
  <c r="F241" i="14"/>
  <c r="H241" i="14" s="1"/>
  <c r="J241" i="14" s="1"/>
  <c r="F242" i="14"/>
  <c r="H242" i="14" s="1"/>
  <c r="J242" i="14" s="1"/>
  <c r="F243" i="14"/>
  <c r="H243" i="14" s="1"/>
  <c r="J243" i="14" s="1"/>
  <c r="F244" i="14"/>
  <c r="H244" i="14" s="1"/>
  <c r="J244" i="14" s="1"/>
  <c r="F245" i="14"/>
  <c r="H245" i="14" s="1"/>
  <c r="J245" i="14" s="1"/>
  <c r="F246" i="14"/>
  <c r="H246" i="14" s="1"/>
  <c r="J246" i="14" s="1"/>
  <c r="F247" i="14"/>
  <c r="H247" i="14" s="1"/>
  <c r="J247" i="14" s="1"/>
  <c r="F248" i="14"/>
  <c r="H248" i="14" s="1"/>
  <c r="J248" i="14" s="1"/>
  <c r="F249" i="14"/>
  <c r="H249" i="14" s="1"/>
  <c r="J249" i="14" s="1"/>
  <c r="F250" i="14"/>
  <c r="H250" i="14" s="1"/>
  <c r="J250" i="14" s="1"/>
  <c r="F251" i="14"/>
  <c r="H251" i="14" s="1"/>
  <c r="J251" i="14" s="1"/>
  <c r="F252" i="14"/>
  <c r="H252" i="14" s="1"/>
  <c r="J252" i="14" s="1"/>
  <c r="F253" i="14"/>
  <c r="H253" i="14" s="1"/>
  <c r="J253" i="14" s="1"/>
  <c r="F254" i="14"/>
  <c r="H254" i="14" s="1"/>
  <c r="J254" i="14" s="1"/>
  <c r="F255" i="14"/>
  <c r="H255" i="14" s="1"/>
  <c r="J255" i="14" s="1"/>
  <c r="F256" i="14"/>
  <c r="H256" i="14" s="1"/>
  <c r="J256" i="14" s="1"/>
  <c r="F257" i="14"/>
  <c r="H257" i="14" s="1"/>
  <c r="J257" i="14" s="1"/>
  <c r="F258" i="14"/>
  <c r="H258" i="14" s="1"/>
  <c r="J258" i="14" s="1"/>
  <c r="F259" i="14"/>
  <c r="H259" i="14" s="1"/>
  <c r="J259" i="14" s="1"/>
  <c r="F260" i="14"/>
  <c r="H260" i="14" s="1"/>
  <c r="J260" i="14" s="1"/>
  <c r="F261" i="14"/>
  <c r="H261" i="14" s="1"/>
  <c r="J261" i="14" s="1"/>
  <c r="F262" i="14"/>
  <c r="H262" i="14" s="1"/>
  <c r="J262" i="14" s="1"/>
  <c r="F263" i="14"/>
  <c r="H263" i="14" s="1"/>
  <c r="F264" i="14"/>
  <c r="H264" i="14" s="1"/>
  <c r="J264" i="14" s="1"/>
  <c r="F265" i="14"/>
  <c r="H265" i="14" s="1"/>
  <c r="J265" i="14" s="1"/>
  <c r="F266" i="14"/>
  <c r="H266" i="14" s="1"/>
  <c r="J266" i="14" s="1"/>
  <c r="F267" i="14"/>
  <c r="H267" i="14" s="1"/>
  <c r="J267" i="14" s="1"/>
  <c r="F268" i="14"/>
  <c r="H268" i="14" s="1"/>
  <c r="J268" i="14" s="1"/>
  <c r="F269" i="14"/>
  <c r="H269" i="14" s="1"/>
  <c r="J269" i="14" s="1"/>
  <c r="F270" i="14"/>
  <c r="H270" i="14" s="1"/>
  <c r="J270" i="14" s="1"/>
  <c r="F271" i="14"/>
  <c r="H271" i="14" s="1"/>
  <c r="J271" i="14" s="1"/>
  <c r="F272" i="14"/>
  <c r="H272" i="14" s="1"/>
  <c r="J272" i="14" s="1"/>
  <c r="F273" i="14"/>
  <c r="H273" i="14" s="1"/>
  <c r="J273" i="14" s="1"/>
  <c r="F274" i="14"/>
  <c r="H274" i="14" s="1"/>
  <c r="J274" i="14" s="1"/>
  <c r="F275" i="14"/>
  <c r="H275" i="14" s="1"/>
  <c r="J275" i="14" s="1"/>
  <c r="F276" i="14"/>
  <c r="H276" i="14" s="1"/>
  <c r="J276" i="14" s="1"/>
  <c r="F277" i="14"/>
  <c r="H277" i="14" s="1"/>
  <c r="J277" i="14" s="1"/>
  <c r="F278" i="14"/>
  <c r="H278" i="14" s="1"/>
  <c r="J278" i="14" s="1"/>
  <c r="F279" i="14"/>
  <c r="H279" i="14" s="1"/>
  <c r="J279" i="14" s="1"/>
  <c r="F280" i="14"/>
  <c r="H280" i="14" s="1"/>
  <c r="J280" i="14" s="1"/>
  <c r="F281" i="14"/>
  <c r="H281" i="14" s="1"/>
  <c r="J281" i="14" s="1"/>
  <c r="F282" i="14"/>
  <c r="H282" i="14" s="1"/>
  <c r="J282" i="14" s="1"/>
  <c r="F283" i="14"/>
  <c r="H283" i="14" s="1"/>
  <c r="J283" i="14" s="1"/>
  <c r="F284" i="14"/>
  <c r="H284" i="14" s="1"/>
  <c r="J284" i="14" s="1"/>
  <c r="F285" i="14"/>
  <c r="H285" i="14" s="1"/>
  <c r="J285" i="14" s="1"/>
  <c r="F286" i="14"/>
  <c r="H286" i="14" s="1"/>
  <c r="J286" i="14" s="1"/>
  <c r="F287" i="14"/>
  <c r="H287" i="14" s="1"/>
  <c r="J287" i="14" s="1"/>
  <c r="F288" i="14"/>
  <c r="H288" i="14" s="1"/>
  <c r="J288" i="14" s="1"/>
  <c r="F289" i="14"/>
  <c r="H289" i="14" s="1"/>
  <c r="J289" i="14" s="1"/>
  <c r="F290" i="14"/>
  <c r="H290" i="14" s="1"/>
  <c r="J290" i="14" s="1"/>
  <c r="F291" i="14"/>
  <c r="H291" i="14" s="1"/>
  <c r="J291" i="14" s="1"/>
  <c r="F292" i="14"/>
  <c r="H292" i="14" s="1"/>
  <c r="J292" i="14" s="1"/>
  <c r="F293" i="14"/>
  <c r="H293" i="14" s="1"/>
  <c r="J293" i="14" s="1"/>
  <c r="F294" i="14"/>
  <c r="H294" i="14" s="1"/>
  <c r="J294" i="14" s="1"/>
  <c r="F295" i="14"/>
  <c r="H295" i="14" s="1"/>
  <c r="J295" i="14" s="1"/>
  <c r="F296" i="14"/>
  <c r="H296" i="14" s="1"/>
  <c r="J296" i="14" s="1"/>
  <c r="F297" i="14"/>
  <c r="H297" i="14" s="1"/>
  <c r="J297" i="14" s="1"/>
  <c r="F298" i="14"/>
  <c r="H298" i="14" s="1"/>
  <c r="J298" i="14" s="1"/>
  <c r="F299" i="14"/>
  <c r="H299" i="14" s="1"/>
  <c r="J299" i="14" s="1"/>
  <c r="F300" i="14"/>
  <c r="H300" i="14" s="1"/>
  <c r="J300" i="14" s="1"/>
  <c r="F301" i="14"/>
  <c r="H301" i="14" s="1"/>
  <c r="J301" i="14" s="1"/>
  <c r="F302" i="14"/>
  <c r="H302" i="14" s="1"/>
  <c r="J302" i="14" s="1"/>
  <c r="F303" i="14"/>
  <c r="H303" i="14" s="1"/>
  <c r="J303" i="14" s="1"/>
  <c r="F304" i="14"/>
  <c r="H304" i="14" s="1"/>
  <c r="J304" i="14" s="1"/>
  <c r="F305" i="14"/>
  <c r="H305" i="14" s="1"/>
  <c r="J305" i="14" s="1"/>
  <c r="F306" i="14"/>
  <c r="H306" i="14" s="1"/>
  <c r="J306" i="14" s="1"/>
  <c r="F307" i="14"/>
  <c r="H307" i="14" s="1"/>
  <c r="J307" i="14" s="1"/>
  <c r="F308" i="14"/>
  <c r="H308" i="14" s="1"/>
  <c r="J308" i="14" s="1"/>
  <c r="F309" i="14"/>
  <c r="H309" i="14" s="1"/>
  <c r="J309" i="14" s="1"/>
  <c r="F310" i="14"/>
  <c r="H310" i="14" s="1"/>
  <c r="J310" i="14" s="1"/>
  <c r="F311" i="14"/>
  <c r="H311" i="14" s="1"/>
  <c r="J311" i="14" s="1"/>
  <c r="F312" i="14"/>
  <c r="H312" i="14" s="1"/>
  <c r="J312" i="14" s="1"/>
  <c r="F313" i="14"/>
  <c r="H313" i="14" s="1"/>
  <c r="J313" i="14" s="1"/>
  <c r="F314" i="14"/>
  <c r="H314" i="14" s="1"/>
  <c r="J314" i="14" s="1"/>
  <c r="F315" i="14"/>
  <c r="H315" i="14" s="1"/>
  <c r="J315" i="14" s="1"/>
  <c r="F316" i="14"/>
  <c r="H316" i="14" s="1"/>
  <c r="J316" i="14" s="1"/>
  <c r="F317" i="14"/>
  <c r="H317" i="14" s="1"/>
  <c r="J317" i="14" s="1"/>
  <c r="F318" i="14"/>
  <c r="H318" i="14" s="1"/>
  <c r="J318" i="14" s="1"/>
  <c r="F319" i="14"/>
  <c r="H319" i="14" s="1"/>
  <c r="J319" i="14" s="1"/>
  <c r="F320" i="14"/>
  <c r="H320" i="14" s="1"/>
  <c r="J320" i="14" s="1"/>
  <c r="F321" i="14"/>
  <c r="H321" i="14" s="1"/>
  <c r="J321" i="14" s="1"/>
  <c r="F322" i="14"/>
  <c r="H322" i="14" s="1"/>
  <c r="J322" i="14" s="1"/>
  <c r="F323" i="14"/>
  <c r="H323" i="14" s="1"/>
  <c r="J323" i="14" s="1"/>
  <c r="F324" i="14"/>
  <c r="H324" i="14" s="1"/>
  <c r="J324" i="14" s="1"/>
  <c r="F325" i="14"/>
  <c r="H325" i="14" s="1"/>
  <c r="J325" i="14" s="1"/>
  <c r="F326" i="14"/>
  <c r="H326" i="14" s="1"/>
  <c r="J326" i="14" s="1"/>
  <c r="F327" i="14"/>
  <c r="H327" i="14" s="1"/>
  <c r="J327" i="14" s="1"/>
  <c r="F328" i="14"/>
  <c r="H328" i="14" s="1"/>
  <c r="J328" i="14" s="1"/>
  <c r="F329" i="14"/>
  <c r="H329" i="14" s="1"/>
  <c r="J329" i="14" s="1"/>
  <c r="F330" i="14"/>
  <c r="H330" i="14" s="1"/>
  <c r="J330" i="14" s="1"/>
  <c r="F331" i="14"/>
  <c r="H331" i="14" s="1"/>
  <c r="J331" i="14" s="1"/>
  <c r="F332" i="14"/>
  <c r="H332" i="14" s="1"/>
  <c r="J332" i="14" s="1"/>
  <c r="F333" i="14"/>
  <c r="H333" i="14" s="1"/>
  <c r="J333" i="14" s="1"/>
  <c r="F334" i="14"/>
  <c r="H334" i="14" s="1"/>
  <c r="J334" i="14" s="1"/>
  <c r="F335" i="14"/>
  <c r="H335" i="14" s="1"/>
  <c r="J335" i="14" s="1"/>
  <c r="F336" i="14"/>
  <c r="H336" i="14" s="1"/>
  <c r="J336" i="14" s="1"/>
  <c r="F337" i="14"/>
  <c r="H337" i="14" s="1"/>
  <c r="J337" i="14" s="1"/>
  <c r="F338" i="14"/>
  <c r="H338" i="14" s="1"/>
  <c r="J338" i="14" s="1"/>
  <c r="F339" i="14"/>
  <c r="H339" i="14" s="1"/>
  <c r="J339" i="14" s="1"/>
  <c r="F340" i="14"/>
  <c r="H340" i="14" s="1"/>
  <c r="J340" i="14" s="1"/>
  <c r="F341" i="14"/>
  <c r="H341" i="14" s="1"/>
  <c r="J341" i="14" s="1"/>
  <c r="F342" i="14"/>
  <c r="H342" i="14" s="1"/>
  <c r="J342" i="14" s="1"/>
  <c r="F343" i="14"/>
  <c r="H343" i="14" s="1"/>
  <c r="J343" i="14" s="1"/>
  <c r="F344" i="14"/>
  <c r="H344" i="14" s="1"/>
  <c r="J344" i="14" s="1"/>
  <c r="F345" i="14"/>
  <c r="H345" i="14" s="1"/>
  <c r="J345" i="14" s="1"/>
  <c r="F346" i="14"/>
  <c r="H346" i="14" s="1"/>
  <c r="J346" i="14" s="1"/>
  <c r="F347" i="14"/>
  <c r="H347" i="14" s="1"/>
  <c r="J347" i="14" s="1"/>
  <c r="F348" i="14"/>
  <c r="H348" i="14" s="1"/>
  <c r="J348" i="14" s="1"/>
  <c r="F349" i="14"/>
  <c r="H349" i="14" s="1"/>
  <c r="J349" i="14" s="1"/>
  <c r="F350" i="14"/>
  <c r="H350" i="14" s="1"/>
  <c r="J350" i="14" s="1"/>
  <c r="F351" i="14"/>
  <c r="H351" i="14" s="1"/>
  <c r="J351" i="14" s="1"/>
  <c r="F352" i="14"/>
  <c r="H352" i="14" s="1"/>
  <c r="J352" i="14" s="1"/>
  <c r="F353" i="14"/>
  <c r="H353" i="14" s="1"/>
  <c r="J353" i="14" s="1"/>
  <c r="F354" i="14"/>
  <c r="H354" i="14" s="1"/>
  <c r="J354" i="14" s="1"/>
  <c r="F355" i="14"/>
  <c r="H355" i="14" s="1"/>
  <c r="J355" i="14" s="1"/>
  <c r="F356" i="14"/>
  <c r="H356" i="14" s="1"/>
  <c r="J356" i="14" s="1"/>
  <c r="F357" i="14"/>
  <c r="H357" i="14" s="1"/>
  <c r="J357" i="14" s="1"/>
  <c r="F358" i="14"/>
  <c r="H358" i="14" s="1"/>
  <c r="J358" i="14" s="1"/>
  <c r="F359" i="14"/>
  <c r="H359" i="14" s="1"/>
  <c r="J359" i="14" s="1"/>
  <c r="F360" i="14"/>
  <c r="H360" i="14" s="1"/>
  <c r="J360" i="14" s="1"/>
  <c r="F361" i="14"/>
  <c r="H361" i="14" s="1"/>
  <c r="J361" i="14" s="1"/>
  <c r="F362" i="14"/>
  <c r="H362" i="14" s="1"/>
  <c r="J362" i="14" s="1"/>
  <c r="F363" i="14"/>
  <c r="H363" i="14" s="1"/>
  <c r="J363" i="14" s="1"/>
  <c r="F364" i="14"/>
  <c r="H364" i="14" s="1"/>
  <c r="J364" i="14" s="1"/>
  <c r="F365" i="14"/>
  <c r="H365" i="14" s="1"/>
  <c r="J365" i="14" s="1"/>
  <c r="F366" i="14"/>
  <c r="H366" i="14" s="1"/>
  <c r="J366" i="14" s="1"/>
  <c r="F367" i="14"/>
  <c r="H367" i="14" s="1"/>
  <c r="J367" i="14" s="1"/>
  <c r="F368" i="14"/>
  <c r="H368" i="14" s="1"/>
  <c r="J368" i="14" s="1"/>
  <c r="F369" i="14"/>
  <c r="H369" i="14" s="1"/>
  <c r="J369" i="14" s="1"/>
  <c r="F370" i="14"/>
  <c r="H370" i="14" s="1"/>
  <c r="J370" i="14" s="1"/>
  <c r="F371" i="14"/>
  <c r="H371" i="14" s="1"/>
  <c r="J371" i="14" s="1"/>
  <c r="F372" i="14"/>
  <c r="H372" i="14" s="1"/>
  <c r="J372" i="14" s="1"/>
  <c r="F373" i="14"/>
  <c r="H373" i="14" s="1"/>
  <c r="J373" i="14" s="1"/>
  <c r="F374" i="14"/>
  <c r="H374" i="14" s="1"/>
  <c r="J374" i="14" s="1"/>
  <c r="F375" i="14"/>
  <c r="H375" i="14" s="1"/>
  <c r="J375" i="14" s="1"/>
  <c r="F376" i="14"/>
  <c r="H376" i="14" s="1"/>
  <c r="J376" i="14" s="1"/>
  <c r="F377" i="14"/>
  <c r="H377" i="14" s="1"/>
  <c r="J377" i="14" s="1"/>
  <c r="F378" i="14"/>
  <c r="H378" i="14" s="1"/>
  <c r="J378" i="14" s="1"/>
  <c r="F379" i="14"/>
  <c r="H379" i="14" s="1"/>
  <c r="J379" i="14" s="1"/>
  <c r="F380" i="14"/>
  <c r="H380" i="14" s="1"/>
  <c r="J380" i="14" s="1"/>
  <c r="F381" i="14"/>
  <c r="H381" i="14" s="1"/>
  <c r="F382" i="14"/>
  <c r="H382" i="14" s="1"/>
  <c r="J382" i="14" s="1"/>
  <c r="F383" i="14"/>
  <c r="H383" i="14" s="1"/>
  <c r="J383" i="14" s="1"/>
  <c r="F384" i="14"/>
  <c r="H384" i="14" s="1"/>
  <c r="J384" i="14" s="1"/>
  <c r="F385" i="14"/>
  <c r="H385" i="14" s="1"/>
  <c r="J385" i="14" s="1"/>
  <c r="F386" i="14"/>
  <c r="H386" i="14" s="1"/>
  <c r="J386" i="14" s="1"/>
  <c r="F387" i="14"/>
  <c r="H387" i="14" s="1"/>
  <c r="J387" i="14" s="1"/>
  <c r="F388" i="14"/>
  <c r="H388" i="14" s="1"/>
  <c r="J388" i="14" s="1"/>
  <c r="F389" i="14"/>
  <c r="H389" i="14" s="1"/>
  <c r="J389" i="14" s="1"/>
  <c r="F390" i="14"/>
  <c r="H390" i="14" s="1"/>
  <c r="J390" i="14" s="1"/>
  <c r="F391" i="14"/>
  <c r="H391" i="14" s="1"/>
  <c r="J391" i="14" s="1"/>
  <c r="F392" i="14"/>
  <c r="H392" i="14" s="1"/>
  <c r="J392" i="14" s="1"/>
  <c r="F393" i="14"/>
  <c r="H393" i="14" s="1"/>
  <c r="J393" i="14" s="1"/>
  <c r="F394" i="14"/>
  <c r="H394" i="14" s="1"/>
  <c r="J394" i="14" s="1"/>
  <c r="F395" i="14"/>
  <c r="H395" i="14" s="1"/>
  <c r="J395" i="14" s="1"/>
  <c r="F396" i="14"/>
  <c r="H396" i="14" s="1"/>
  <c r="J396" i="14" s="1"/>
  <c r="F397" i="14"/>
  <c r="H397" i="14" s="1"/>
  <c r="J397" i="14" s="1"/>
  <c r="F398" i="14"/>
  <c r="H398" i="14" s="1"/>
  <c r="J398" i="14" s="1"/>
  <c r="F399" i="14"/>
  <c r="H399" i="14" s="1"/>
  <c r="J399" i="14" s="1"/>
  <c r="F400" i="14"/>
  <c r="H400" i="14" s="1"/>
  <c r="J400" i="14" s="1"/>
  <c r="F401" i="14"/>
  <c r="H401" i="14" s="1"/>
  <c r="J401" i="14" s="1"/>
  <c r="F402" i="14"/>
  <c r="H402" i="14" s="1"/>
  <c r="J402" i="14" s="1"/>
  <c r="F403" i="14"/>
  <c r="H403" i="14" s="1"/>
  <c r="J403" i="14" s="1"/>
  <c r="F404" i="14"/>
  <c r="H404" i="14" s="1"/>
  <c r="J404" i="14" s="1"/>
  <c r="F405" i="14"/>
  <c r="H405" i="14" s="1"/>
  <c r="J405" i="14" s="1"/>
  <c r="F406" i="14"/>
  <c r="H406" i="14" s="1"/>
  <c r="J406" i="14" s="1"/>
  <c r="F407" i="14"/>
  <c r="H407" i="14" s="1"/>
  <c r="J407" i="14" s="1"/>
  <c r="F408" i="14"/>
  <c r="H408" i="14" s="1"/>
  <c r="J408" i="14" s="1"/>
  <c r="F409" i="14"/>
  <c r="H409" i="14" s="1"/>
  <c r="J409" i="14" s="1"/>
  <c r="F410" i="14"/>
  <c r="H410" i="14" s="1"/>
  <c r="J410" i="14" s="1"/>
  <c r="F411" i="14"/>
  <c r="H411" i="14" s="1"/>
  <c r="J411" i="14" s="1"/>
  <c r="F412" i="14"/>
  <c r="H412" i="14" s="1"/>
  <c r="J412" i="14" s="1"/>
  <c r="F413" i="14"/>
  <c r="H413" i="14" s="1"/>
  <c r="J413" i="14" s="1"/>
  <c r="F414" i="14"/>
  <c r="H414" i="14" s="1"/>
  <c r="J414" i="14" s="1"/>
  <c r="F415" i="14"/>
  <c r="H415" i="14" s="1"/>
  <c r="J415" i="14" s="1"/>
  <c r="F416" i="14"/>
  <c r="H416" i="14" s="1"/>
  <c r="J416" i="14" s="1"/>
  <c r="F417" i="14"/>
  <c r="H417" i="14" s="1"/>
  <c r="J417" i="14" s="1"/>
  <c r="F418" i="14"/>
  <c r="H418" i="14" s="1"/>
  <c r="J418" i="14" s="1"/>
  <c r="F419" i="14"/>
  <c r="H419" i="14" s="1"/>
  <c r="J419" i="14" s="1"/>
  <c r="F420" i="14"/>
  <c r="H420" i="14" s="1"/>
  <c r="J420" i="14" s="1"/>
  <c r="F421" i="14"/>
  <c r="H421" i="14" s="1"/>
  <c r="J421" i="14" s="1"/>
  <c r="F422" i="14"/>
  <c r="H422" i="14" s="1"/>
  <c r="J422" i="14" s="1"/>
  <c r="F423" i="14"/>
  <c r="H423" i="14" s="1"/>
  <c r="J423" i="14" s="1"/>
  <c r="F424" i="14"/>
  <c r="H424" i="14" s="1"/>
  <c r="J424" i="14" s="1"/>
  <c r="F425" i="14"/>
  <c r="H425" i="14" s="1"/>
  <c r="J425" i="14" s="1"/>
  <c r="F426" i="14"/>
  <c r="H426" i="14" s="1"/>
  <c r="J426" i="14" s="1"/>
  <c r="F427" i="14"/>
  <c r="H427" i="14" s="1"/>
  <c r="J427" i="14" s="1"/>
  <c r="F428" i="14"/>
  <c r="H428" i="14" s="1"/>
  <c r="J428" i="14" s="1"/>
  <c r="F429" i="14"/>
  <c r="H429" i="14" s="1"/>
  <c r="J429" i="14" s="1"/>
  <c r="F430" i="14"/>
  <c r="H430" i="14" s="1"/>
  <c r="J430" i="14" s="1"/>
  <c r="F431" i="14"/>
  <c r="H431" i="14" s="1"/>
  <c r="J431" i="14" s="1"/>
  <c r="F432" i="14"/>
  <c r="H432" i="14" s="1"/>
  <c r="J432" i="14" s="1"/>
  <c r="F433" i="14"/>
  <c r="H433" i="14" s="1"/>
  <c r="J433" i="14" s="1"/>
  <c r="F434" i="14"/>
  <c r="H434" i="14" s="1"/>
  <c r="J434" i="14" s="1"/>
  <c r="F435" i="14"/>
  <c r="H435" i="14" s="1"/>
  <c r="J435" i="14" s="1"/>
  <c r="F436" i="14"/>
  <c r="H436" i="14" s="1"/>
  <c r="J436" i="14" s="1"/>
  <c r="F437" i="14"/>
  <c r="H437" i="14" s="1"/>
  <c r="J437" i="14" s="1"/>
  <c r="F438" i="14"/>
  <c r="H438" i="14" s="1"/>
  <c r="J438" i="14" s="1"/>
  <c r="F439" i="14"/>
  <c r="H439" i="14" s="1"/>
  <c r="J439" i="14" s="1"/>
  <c r="F440" i="14"/>
  <c r="H440" i="14" s="1"/>
  <c r="J440" i="14" s="1"/>
  <c r="F441" i="14"/>
  <c r="H441" i="14" s="1"/>
  <c r="J441" i="14" s="1"/>
  <c r="F442" i="14"/>
  <c r="H442" i="14" s="1"/>
  <c r="J442" i="14" s="1"/>
  <c r="F443" i="14"/>
  <c r="H443" i="14" s="1"/>
  <c r="J443" i="14" s="1"/>
  <c r="F444" i="14"/>
  <c r="H444" i="14" s="1"/>
  <c r="J444" i="14" s="1"/>
  <c r="F445" i="14"/>
  <c r="H445" i="14" s="1"/>
  <c r="J445" i="14" s="1"/>
  <c r="F446" i="14"/>
  <c r="H446" i="14" s="1"/>
  <c r="J446" i="14" s="1"/>
  <c r="F447" i="14"/>
  <c r="H447" i="14" s="1"/>
  <c r="J447" i="14" s="1"/>
  <c r="F448" i="14"/>
  <c r="H448" i="14" s="1"/>
  <c r="J448" i="14" s="1"/>
  <c r="F449" i="14"/>
  <c r="H449" i="14" s="1"/>
  <c r="J449" i="14" s="1"/>
  <c r="F450" i="14"/>
  <c r="H450" i="14" s="1"/>
  <c r="J450" i="14" s="1"/>
  <c r="F451" i="14"/>
  <c r="H451" i="14" s="1"/>
  <c r="J451" i="14" s="1"/>
  <c r="F452" i="14"/>
  <c r="H452" i="14" s="1"/>
  <c r="J452" i="14" s="1"/>
  <c r="F453" i="14"/>
  <c r="H453" i="14" s="1"/>
  <c r="J453" i="14" s="1"/>
  <c r="F454" i="14"/>
  <c r="H454" i="14" s="1"/>
  <c r="J454" i="14" s="1"/>
  <c r="F455" i="14"/>
  <c r="H455" i="14" s="1"/>
  <c r="J455" i="14" s="1"/>
  <c r="F456" i="14"/>
  <c r="H456" i="14" s="1"/>
  <c r="J456" i="14" s="1"/>
  <c r="F457" i="14"/>
  <c r="H457" i="14" s="1"/>
  <c r="J457" i="14" s="1"/>
  <c r="F458" i="14"/>
  <c r="H458" i="14" s="1"/>
  <c r="J458" i="14" s="1"/>
  <c r="F459" i="14"/>
  <c r="H459" i="14" s="1"/>
  <c r="J459" i="14" s="1"/>
  <c r="F460" i="14"/>
  <c r="H460" i="14" s="1"/>
  <c r="J460" i="14" s="1"/>
  <c r="F461" i="14"/>
  <c r="H461" i="14" s="1"/>
  <c r="J461" i="14" s="1"/>
  <c r="F462" i="14"/>
  <c r="H462" i="14" s="1"/>
  <c r="J462" i="14" s="1"/>
  <c r="F463" i="14"/>
  <c r="H463" i="14" s="1"/>
  <c r="J463" i="14" s="1"/>
  <c r="F464" i="14"/>
  <c r="H464" i="14" s="1"/>
  <c r="J464" i="14" s="1"/>
  <c r="F465" i="14"/>
  <c r="H465" i="14" s="1"/>
  <c r="J465" i="14" s="1"/>
  <c r="F466" i="14"/>
  <c r="H466" i="14" s="1"/>
  <c r="J466" i="14" s="1"/>
  <c r="F467" i="14"/>
  <c r="H467" i="14" s="1"/>
  <c r="J467" i="14" s="1"/>
  <c r="F468" i="14"/>
  <c r="H468" i="14" s="1"/>
  <c r="J468" i="14" s="1"/>
  <c r="F469" i="14"/>
  <c r="H469" i="14" s="1"/>
  <c r="J469" i="14" s="1"/>
  <c r="F470" i="14"/>
  <c r="H470" i="14" s="1"/>
  <c r="J470" i="14" s="1"/>
  <c r="F471" i="14"/>
  <c r="H471" i="14" s="1"/>
  <c r="J471" i="14" s="1"/>
  <c r="F472" i="14"/>
  <c r="H472" i="14" s="1"/>
  <c r="J472" i="14" s="1"/>
  <c r="F473" i="14"/>
  <c r="H473" i="14" s="1"/>
  <c r="J473" i="14" s="1"/>
  <c r="F474" i="14"/>
  <c r="H474" i="14" s="1"/>
  <c r="J474" i="14" s="1"/>
  <c r="F475" i="14"/>
  <c r="H475" i="14" s="1"/>
  <c r="J475" i="14" s="1"/>
  <c r="F476" i="14"/>
  <c r="H476" i="14" s="1"/>
  <c r="J476" i="14" s="1"/>
  <c r="F477" i="14"/>
  <c r="H477" i="14" s="1"/>
  <c r="J477" i="14" s="1"/>
  <c r="F478" i="14"/>
  <c r="H478" i="14" s="1"/>
  <c r="J478" i="14" s="1"/>
  <c r="F479" i="14"/>
  <c r="H479" i="14" s="1"/>
  <c r="J479" i="14" s="1"/>
  <c r="F480" i="14"/>
  <c r="H480" i="14" s="1"/>
  <c r="J480" i="14" s="1"/>
  <c r="F481" i="14"/>
  <c r="H481" i="14" s="1"/>
  <c r="J481" i="14" s="1"/>
  <c r="F482" i="14"/>
  <c r="H482" i="14" s="1"/>
  <c r="J482" i="14" s="1"/>
  <c r="F483" i="14"/>
  <c r="H483" i="14" s="1"/>
  <c r="J483" i="14" s="1"/>
  <c r="F484" i="14"/>
  <c r="H484" i="14" s="1"/>
  <c r="J484" i="14" s="1"/>
  <c r="F485" i="14"/>
  <c r="H485" i="14" s="1"/>
  <c r="J485" i="14" s="1"/>
  <c r="F486" i="14"/>
  <c r="H486" i="14" s="1"/>
  <c r="J486" i="14" s="1"/>
  <c r="F487" i="14"/>
  <c r="H487" i="14" s="1"/>
  <c r="J487" i="14" s="1"/>
  <c r="F488" i="14"/>
  <c r="H488" i="14" s="1"/>
  <c r="J488" i="14" s="1"/>
  <c r="F489" i="14"/>
  <c r="H489" i="14" s="1"/>
  <c r="J489" i="14" s="1"/>
  <c r="F490" i="14"/>
  <c r="H490" i="14" s="1"/>
  <c r="J490" i="14" s="1"/>
  <c r="F491" i="14"/>
  <c r="H491" i="14" s="1"/>
  <c r="J491" i="14" s="1"/>
  <c r="F492" i="14"/>
  <c r="H492" i="14" s="1"/>
  <c r="J492" i="14" s="1"/>
  <c r="F493" i="14"/>
  <c r="H493" i="14" s="1"/>
  <c r="J493" i="14" s="1"/>
  <c r="F494" i="14"/>
  <c r="H494" i="14" s="1"/>
  <c r="J494" i="14" s="1"/>
  <c r="F495" i="14"/>
  <c r="H495" i="14" s="1"/>
  <c r="J495" i="14" s="1"/>
  <c r="F496" i="14"/>
  <c r="H496" i="14" s="1"/>
  <c r="J496" i="14" s="1"/>
  <c r="F497" i="14"/>
  <c r="H497" i="14" s="1"/>
  <c r="J497" i="14" s="1"/>
  <c r="F498" i="14"/>
  <c r="H498" i="14" s="1"/>
  <c r="J498" i="14" s="1"/>
  <c r="F499" i="14"/>
  <c r="H499" i="14" s="1"/>
  <c r="J499" i="14" s="1"/>
  <c r="F500" i="14"/>
  <c r="H500" i="14" s="1"/>
  <c r="J500" i="14" s="1"/>
  <c r="F501" i="14"/>
  <c r="H501" i="14" s="1"/>
  <c r="J501" i="14" s="1"/>
  <c r="F502" i="14"/>
  <c r="H502" i="14" s="1"/>
  <c r="J502" i="14" s="1"/>
  <c r="F503" i="14"/>
  <c r="H503" i="14" s="1"/>
  <c r="J503" i="14" s="1"/>
  <c r="F504" i="14"/>
  <c r="H504" i="14" s="1"/>
  <c r="J504" i="14" s="1"/>
  <c r="F505" i="14"/>
  <c r="H505" i="14" s="1"/>
  <c r="J505" i="14" s="1"/>
  <c r="F506" i="14"/>
  <c r="H506" i="14" s="1"/>
  <c r="J506" i="14" s="1"/>
  <c r="F507" i="14"/>
  <c r="H507" i="14" s="1"/>
  <c r="J507" i="14" s="1"/>
  <c r="F508" i="14"/>
  <c r="H508" i="14" s="1"/>
  <c r="J508" i="14" s="1"/>
  <c r="F509" i="14"/>
  <c r="H509" i="14" s="1"/>
  <c r="J509" i="14" s="1"/>
  <c r="F510" i="14"/>
  <c r="H510" i="14" s="1"/>
  <c r="J510" i="14" s="1"/>
  <c r="F511" i="14"/>
  <c r="H511" i="14" s="1"/>
  <c r="J511" i="14" s="1"/>
  <c r="F512" i="14"/>
  <c r="H512" i="14" s="1"/>
  <c r="J512" i="14" s="1"/>
  <c r="F513" i="14"/>
  <c r="H513" i="14" s="1"/>
  <c r="J513" i="14" s="1"/>
  <c r="F514" i="14"/>
  <c r="H514" i="14" s="1"/>
  <c r="J514" i="14" s="1"/>
  <c r="F515" i="14"/>
  <c r="H515" i="14" s="1"/>
  <c r="J515" i="14" s="1"/>
  <c r="F516" i="14"/>
  <c r="H516" i="14" s="1"/>
  <c r="J516" i="14" s="1"/>
  <c r="F517" i="14"/>
  <c r="H517" i="14" s="1"/>
  <c r="J517" i="14" s="1"/>
  <c r="F518" i="14"/>
  <c r="H518" i="14" s="1"/>
  <c r="J518" i="14" s="1"/>
  <c r="F519" i="14"/>
  <c r="H519" i="14" s="1"/>
  <c r="J519" i="14" s="1"/>
  <c r="F520" i="14"/>
  <c r="H520" i="14" s="1"/>
  <c r="J520" i="14" s="1"/>
  <c r="F521" i="14"/>
  <c r="H521" i="14" s="1"/>
  <c r="J521" i="14" s="1"/>
  <c r="F522" i="14"/>
  <c r="H522" i="14" s="1"/>
  <c r="J522" i="14" s="1"/>
  <c r="F523" i="14"/>
  <c r="H523" i="14" s="1"/>
  <c r="J523" i="14" s="1"/>
  <c r="F524" i="14"/>
  <c r="H524" i="14" s="1"/>
  <c r="J524" i="14" s="1"/>
  <c r="F525" i="14"/>
  <c r="H525" i="14" s="1"/>
  <c r="J525" i="14" s="1"/>
  <c r="F526" i="14"/>
  <c r="H526" i="14" s="1"/>
  <c r="J526" i="14" s="1"/>
  <c r="F527" i="14"/>
  <c r="H527" i="14" s="1"/>
  <c r="J527" i="14" s="1"/>
  <c r="F528" i="14"/>
  <c r="H528" i="14" s="1"/>
  <c r="J528" i="14" s="1"/>
  <c r="F529" i="14"/>
  <c r="H529" i="14" s="1"/>
  <c r="J529" i="14" s="1"/>
  <c r="F530" i="14"/>
  <c r="H530" i="14" s="1"/>
  <c r="J530" i="14" s="1"/>
  <c r="F531" i="14"/>
  <c r="H531" i="14" s="1"/>
  <c r="J531" i="14" s="1"/>
  <c r="F532" i="14"/>
  <c r="H532" i="14" s="1"/>
  <c r="J532" i="14" s="1"/>
  <c r="F533" i="14"/>
  <c r="H533" i="14" s="1"/>
  <c r="J533" i="14" s="1"/>
  <c r="F534" i="14"/>
  <c r="H534" i="14" s="1"/>
  <c r="J534" i="14" s="1"/>
  <c r="F535" i="14"/>
  <c r="H535" i="14" s="1"/>
  <c r="J535" i="14" s="1"/>
  <c r="F536" i="14"/>
  <c r="H536" i="14" s="1"/>
  <c r="J536" i="14" s="1"/>
  <c r="F537" i="14"/>
  <c r="H537" i="14" s="1"/>
  <c r="J537" i="14" s="1"/>
  <c r="F538" i="14"/>
  <c r="H538" i="14" s="1"/>
  <c r="J538" i="14" s="1"/>
  <c r="F539" i="14"/>
  <c r="H539" i="14" s="1"/>
  <c r="J539" i="14" s="1"/>
  <c r="F540" i="14"/>
  <c r="H540" i="14" s="1"/>
  <c r="J540" i="14" s="1"/>
  <c r="F541" i="14"/>
  <c r="H541" i="14" s="1"/>
  <c r="J541" i="14" s="1"/>
  <c r="F542" i="14"/>
  <c r="H542" i="14" s="1"/>
  <c r="J542" i="14" s="1"/>
  <c r="F543" i="14"/>
  <c r="H543" i="14" s="1"/>
  <c r="J543" i="14" s="1"/>
  <c r="F544" i="14"/>
  <c r="H544" i="14" s="1"/>
  <c r="J544" i="14" s="1"/>
  <c r="F545" i="14"/>
  <c r="H545" i="14" s="1"/>
  <c r="J545" i="14" s="1"/>
  <c r="F546" i="14"/>
  <c r="H546" i="14" s="1"/>
  <c r="J546" i="14" s="1"/>
  <c r="F547" i="14"/>
  <c r="H547" i="14" s="1"/>
  <c r="J547" i="14" s="1"/>
  <c r="F548" i="14"/>
  <c r="H548" i="14" s="1"/>
  <c r="J548" i="14" s="1"/>
  <c r="F549" i="14"/>
  <c r="H549" i="14" s="1"/>
  <c r="J549" i="14" s="1"/>
  <c r="F550" i="14"/>
  <c r="H550" i="14" s="1"/>
  <c r="J550" i="14" s="1"/>
  <c r="F551" i="14"/>
  <c r="H551" i="14" s="1"/>
  <c r="J551" i="14" s="1"/>
  <c r="F552" i="14"/>
  <c r="H552" i="14" s="1"/>
  <c r="J552" i="14" s="1"/>
  <c r="F553" i="14"/>
  <c r="H553" i="14" s="1"/>
  <c r="J553" i="14" s="1"/>
  <c r="F554" i="14"/>
  <c r="H554" i="14" s="1"/>
  <c r="J554" i="14" s="1"/>
  <c r="F555" i="14"/>
  <c r="H555" i="14" s="1"/>
  <c r="J555" i="14" s="1"/>
  <c r="F556" i="14"/>
  <c r="H556" i="14" s="1"/>
  <c r="J556" i="14" s="1"/>
  <c r="F557" i="14"/>
  <c r="H557" i="14" s="1"/>
  <c r="J557" i="14" s="1"/>
  <c r="F558" i="14"/>
  <c r="H558" i="14" s="1"/>
  <c r="J558" i="14" s="1"/>
  <c r="F559" i="14"/>
  <c r="H559" i="14" s="1"/>
  <c r="J559" i="14" s="1"/>
  <c r="F560" i="14"/>
  <c r="H560" i="14" s="1"/>
  <c r="J560" i="14" s="1"/>
  <c r="F561" i="14"/>
  <c r="H561" i="14" s="1"/>
  <c r="J561" i="14" s="1"/>
  <c r="F562" i="14"/>
  <c r="H562" i="14" s="1"/>
  <c r="J562" i="14" s="1"/>
  <c r="F563" i="14"/>
  <c r="H563" i="14" s="1"/>
  <c r="J563" i="14" s="1"/>
  <c r="F564" i="14"/>
  <c r="H564" i="14" s="1"/>
  <c r="J564" i="14" s="1"/>
  <c r="F565" i="14"/>
  <c r="H565" i="14" s="1"/>
  <c r="J565" i="14" s="1"/>
  <c r="F566" i="14"/>
  <c r="H566" i="14" s="1"/>
  <c r="J566" i="14" s="1"/>
  <c r="F567" i="14"/>
  <c r="H567" i="14" s="1"/>
  <c r="J567" i="14" s="1"/>
  <c r="F568" i="14"/>
  <c r="H568" i="14" s="1"/>
  <c r="J568" i="14" s="1"/>
  <c r="F569" i="14"/>
  <c r="H569" i="14" s="1"/>
  <c r="J569" i="14" s="1"/>
  <c r="F570" i="14"/>
  <c r="H570" i="14" s="1"/>
  <c r="J570" i="14" s="1"/>
  <c r="F571" i="14"/>
  <c r="H571" i="14" s="1"/>
  <c r="J571" i="14" s="1"/>
  <c r="F572" i="14"/>
  <c r="H572" i="14" s="1"/>
  <c r="J572" i="14" s="1"/>
  <c r="F573" i="14"/>
  <c r="H573" i="14" s="1"/>
  <c r="J573" i="14" s="1"/>
  <c r="F574" i="14"/>
  <c r="H574" i="14" s="1"/>
  <c r="J574" i="14" s="1"/>
  <c r="F575" i="14"/>
  <c r="H575" i="14" s="1"/>
  <c r="J575" i="14" s="1"/>
  <c r="F576" i="14"/>
  <c r="H576" i="14" s="1"/>
  <c r="J576" i="14" s="1"/>
  <c r="F577" i="14"/>
  <c r="H577" i="14" s="1"/>
  <c r="J577" i="14" s="1"/>
  <c r="F578" i="14"/>
  <c r="H578" i="14" s="1"/>
  <c r="J578" i="14" s="1"/>
  <c r="F579" i="14"/>
  <c r="H579" i="14" s="1"/>
  <c r="J579" i="14" s="1"/>
  <c r="F580" i="14"/>
  <c r="H580" i="14" s="1"/>
  <c r="J580" i="14" s="1"/>
  <c r="F581" i="14"/>
  <c r="H581" i="14" s="1"/>
  <c r="J581" i="14" s="1"/>
  <c r="F582" i="14"/>
  <c r="H582" i="14" s="1"/>
  <c r="J582" i="14" s="1"/>
  <c r="F583" i="14"/>
  <c r="H583" i="14" s="1"/>
  <c r="J583" i="14" s="1"/>
  <c r="F584" i="14"/>
  <c r="H584" i="14" s="1"/>
  <c r="J584" i="14" s="1"/>
  <c r="F585" i="14"/>
  <c r="H585" i="14" s="1"/>
  <c r="J585" i="14" s="1"/>
  <c r="F586" i="14"/>
  <c r="H586" i="14" s="1"/>
  <c r="J586" i="14" s="1"/>
  <c r="F587" i="14"/>
  <c r="H587" i="14" s="1"/>
  <c r="J587" i="14" s="1"/>
  <c r="F588" i="14"/>
  <c r="H588" i="14" s="1"/>
  <c r="J588" i="14" s="1"/>
  <c r="F589" i="14"/>
  <c r="H589" i="14" s="1"/>
  <c r="J589" i="14" s="1"/>
  <c r="F590" i="14"/>
  <c r="H590" i="14" s="1"/>
  <c r="J590" i="14" s="1"/>
  <c r="F591" i="14"/>
  <c r="H591" i="14" s="1"/>
  <c r="J591" i="14" s="1"/>
  <c r="F592" i="14"/>
  <c r="H592" i="14" s="1"/>
  <c r="J592" i="14" s="1"/>
  <c r="F593" i="14"/>
  <c r="H593" i="14" s="1"/>
  <c r="J593" i="14" s="1"/>
  <c r="F594" i="14"/>
  <c r="H594" i="14" s="1"/>
  <c r="F595" i="14"/>
  <c r="H595" i="14" s="1"/>
  <c r="J595" i="14" s="1"/>
  <c r="F596" i="14"/>
  <c r="H596" i="14" s="1"/>
  <c r="J596" i="14" s="1"/>
  <c r="F597" i="14"/>
  <c r="H597" i="14" s="1"/>
  <c r="J597" i="14" s="1"/>
  <c r="F598" i="14"/>
  <c r="H598" i="14" s="1"/>
  <c r="J598" i="14" s="1"/>
  <c r="F599" i="14"/>
  <c r="H599" i="14" s="1"/>
  <c r="J599" i="14" s="1"/>
  <c r="F600" i="14"/>
  <c r="H600" i="14" s="1"/>
  <c r="J600" i="14" s="1"/>
  <c r="F601" i="14"/>
  <c r="H601" i="14" s="1"/>
  <c r="J601" i="14" s="1"/>
  <c r="F602" i="14"/>
  <c r="H602" i="14" s="1"/>
  <c r="J602" i="14" s="1"/>
  <c r="F603" i="14"/>
  <c r="H603" i="14" s="1"/>
  <c r="J603" i="14" s="1"/>
  <c r="F604" i="14"/>
  <c r="H604" i="14" s="1"/>
  <c r="J604" i="14" s="1"/>
  <c r="F605" i="14"/>
  <c r="H605" i="14" s="1"/>
  <c r="J605" i="14" s="1"/>
  <c r="F606" i="14"/>
  <c r="H606" i="14" s="1"/>
  <c r="J606" i="14" s="1"/>
  <c r="F607" i="14"/>
  <c r="H607" i="14" s="1"/>
  <c r="J607" i="14" s="1"/>
  <c r="F608" i="14"/>
  <c r="H608" i="14" s="1"/>
  <c r="J608" i="14" s="1"/>
  <c r="F609" i="14"/>
  <c r="H609" i="14" s="1"/>
  <c r="J609" i="14" s="1"/>
  <c r="F610" i="14"/>
  <c r="H610" i="14" s="1"/>
  <c r="J610" i="14" s="1"/>
  <c r="F611" i="14"/>
  <c r="H611" i="14" s="1"/>
  <c r="J611" i="14" s="1"/>
  <c r="F612" i="14"/>
  <c r="H612" i="14" s="1"/>
  <c r="J612" i="14" s="1"/>
  <c r="F613" i="14"/>
  <c r="H613" i="14" s="1"/>
  <c r="J613" i="14" s="1"/>
  <c r="F614" i="14"/>
  <c r="H614" i="14" s="1"/>
  <c r="J614" i="14" s="1"/>
  <c r="F615" i="14"/>
  <c r="H615" i="14" s="1"/>
  <c r="J615" i="14" s="1"/>
  <c r="F616" i="14"/>
  <c r="H616" i="14" s="1"/>
  <c r="J616" i="14" s="1"/>
  <c r="F617" i="14"/>
  <c r="H617" i="14" s="1"/>
  <c r="J617" i="14" s="1"/>
  <c r="F618" i="14"/>
  <c r="H618" i="14" s="1"/>
  <c r="J618" i="14" s="1"/>
  <c r="F619" i="14"/>
  <c r="H619" i="14" s="1"/>
  <c r="J619" i="14" s="1"/>
  <c r="F620" i="14"/>
  <c r="H620" i="14" s="1"/>
  <c r="J620" i="14" s="1"/>
  <c r="F621" i="14"/>
  <c r="H621" i="14" s="1"/>
  <c r="J621" i="14" s="1"/>
  <c r="F622" i="14"/>
  <c r="H622" i="14" s="1"/>
  <c r="J622" i="14" s="1"/>
  <c r="F623" i="14"/>
  <c r="H623" i="14" s="1"/>
  <c r="J623" i="14" s="1"/>
  <c r="F624" i="14"/>
  <c r="H624" i="14" s="1"/>
  <c r="J624" i="14" s="1"/>
  <c r="F625" i="14"/>
  <c r="H625" i="14" s="1"/>
  <c r="J625" i="14" s="1"/>
  <c r="F626" i="14"/>
  <c r="H626" i="14" s="1"/>
  <c r="J626" i="14" s="1"/>
  <c r="F627" i="14"/>
  <c r="H627" i="14" s="1"/>
  <c r="J627" i="14" s="1"/>
  <c r="F628" i="14"/>
  <c r="H628" i="14" s="1"/>
  <c r="J628" i="14" s="1"/>
  <c r="F629" i="14"/>
  <c r="H629" i="14" s="1"/>
  <c r="J629" i="14" s="1"/>
  <c r="F630" i="14"/>
  <c r="H630" i="14" s="1"/>
  <c r="J630" i="14" s="1"/>
  <c r="F631" i="14"/>
  <c r="H631" i="14" s="1"/>
  <c r="J631" i="14" s="1"/>
  <c r="F632" i="14"/>
  <c r="H632" i="14" s="1"/>
  <c r="J632" i="14" s="1"/>
  <c r="F633" i="14"/>
  <c r="H633" i="14" s="1"/>
  <c r="J633" i="14" s="1"/>
  <c r="F634" i="14"/>
  <c r="H634" i="14" s="1"/>
  <c r="J634" i="14" s="1"/>
  <c r="F635" i="14"/>
  <c r="H635" i="14" s="1"/>
  <c r="J635" i="14" s="1"/>
  <c r="F636" i="14"/>
  <c r="H636" i="14" s="1"/>
  <c r="J636" i="14" s="1"/>
  <c r="F637" i="14"/>
  <c r="H637" i="14" s="1"/>
  <c r="J637" i="14" s="1"/>
  <c r="F638" i="14"/>
  <c r="H638" i="14" s="1"/>
  <c r="J638" i="14" s="1"/>
  <c r="F639" i="14"/>
  <c r="H639" i="14" s="1"/>
  <c r="J639" i="14" s="1"/>
  <c r="F640" i="14"/>
  <c r="H640" i="14" s="1"/>
  <c r="J640" i="14" s="1"/>
  <c r="F641" i="14"/>
  <c r="H641" i="14" s="1"/>
  <c r="J641" i="14" s="1"/>
  <c r="F642" i="14"/>
  <c r="H642" i="14" s="1"/>
  <c r="J642" i="14" s="1"/>
  <c r="F643" i="14"/>
  <c r="H643" i="14" s="1"/>
  <c r="J643" i="14" s="1"/>
  <c r="F644" i="14"/>
  <c r="H644" i="14" s="1"/>
  <c r="J644" i="14" s="1"/>
  <c r="F645" i="14"/>
  <c r="H645" i="14" s="1"/>
  <c r="J645" i="14" s="1"/>
  <c r="F646" i="14"/>
  <c r="H646" i="14" s="1"/>
  <c r="J646" i="14" s="1"/>
  <c r="F647" i="14"/>
  <c r="H647" i="14" s="1"/>
  <c r="J647" i="14" s="1"/>
  <c r="F648" i="14"/>
  <c r="H648" i="14" s="1"/>
  <c r="J648" i="14" s="1"/>
  <c r="F649" i="14"/>
  <c r="H649" i="14" s="1"/>
  <c r="J649" i="14" s="1"/>
  <c r="F650" i="14"/>
  <c r="H650" i="14" s="1"/>
  <c r="J650" i="14" s="1"/>
  <c r="F651" i="14"/>
  <c r="H651" i="14" s="1"/>
  <c r="J651" i="14" s="1"/>
  <c r="F652" i="14"/>
  <c r="H652" i="14" s="1"/>
  <c r="J652" i="14" s="1"/>
  <c r="F653" i="14"/>
  <c r="H653" i="14" s="1"/>
  <c r="J653" i="14" s="1"/>
  <c r="F654" i="14"/>
  <c r="H654" i="14" s="1"/>
  <c r="J654" i="14" s="1"/>
  <c r="F655" i="14"/>
  <c r="H655" i="14" s="1"/>
  <c r="J655" i="14" s="1"/>
  <c r="F656" i="14"/>
  <c r="H656" i="14" s="1"/>
  <c r="J656" i="14" s="1"/>
  <c r="F657" i="14"/>
  <c r="H657" i="14" s="1"/>
  <c r="J657" i="14" s="1"/>
  <c r="F658" i="14"/>
  <c r="H658" i="14" s="1"/>
  <c r="J658" i="14" s="1"/>
  <c r="F659" i="14"/>
  <c r="H659" i="14" s="1"/>
  <c r="J659" i="14" s="1"/>
  <c r="F660" i="14"/>
  <c r="H660" i="14" s="1"/>
  <c r="J660" i="14" s="1"/>
  <c r="F661" i="14"/>
  <c r="H661" i="14" s="1"/>
  <c r="J661" i="14" s="1"/>
  <c r="F662" i="14"/>
  <c r="H662" i="14" s="1"/>
  <c r="J662" i="14" s="1"/>
  <c r="F663" i="14"/>
  <c r="H663" i="14" s="1"/>
  <c r="J663" i="14" s="1"/>
  <c r="F664" i="14"/>
  <c r="H664" i="14" s="1"/>
  <c r="J664" i="14" s="1"/>
  <c r="F665" i="14"/>
  <c r="H665" i="14" s="1"/>
  <c r="J665" i="14" s="1"/>
  <c r="F666" i="14"/>
  <c r="H666" i="14" s="1"/>
  <c r="J666" i="14" s="1"/>
  <c r="F667" i="14"/>
  <c r="H667" i="14" s="1"/>
  <c r="J667" i="14" s="1"/>
  <c r="F668" i="14"/>
  <c r="H668" i="14" s="1"/>
  <c r="J668" i="14" s="1"/>
  <c r="F669" i="14"/>
  <c r="H669" i="14" s="1"/>
  <c r="J669" i="14" s="1"/>
  <c r="F670" i="14"/>
  <c r="H670" i="14" s="1"/>
  <c r="J670" i="14" s="1"/>
  <c r="F671" i="14"/>
  <c r="H671" i="14" s="1"/>
  <c r="J671" i="14" s="1"/>
  <c r="F672" i="14"/>
  <c r="H672" i="14" s="1"/>
  <c r="J672" i="14" s="1"/>
  <c r="F673" i="14"/>
  <c r="H673" i="14" s="1"/>
  <c r="J673" i="14" s="1"/>
  <c r="F674" i="14"/>
  <c r="H674" i="14" s="1"/>
  <c r="J674" i="14" s="1"/>
  <c r="F675" i="14"/>
  <c r="H675" i="14" s="1"/>
  <c r="J675" i="14" s="1"/>
  <c r="F676" i="14"/>
  <c r="H676" i="14" s="1"/>
  <c r="J676" i="14" s="1"/>
  <c r="F677" i="14"/>
  <c r="H677" i="14" s="1"/>
  <c r="J677" i="14" s="1"/>
  <c r="F678" i="14"/>
  <c r="H678" i="14" s="1"/>
  <c r="F679" i="14"/>
  <c r="H679" i="14" s="1"/>
  <c r="J679" i="14" s="1"/>
  <c r="F680" i="14"/>
  <c r="H680" i="14" s="1"/>
  <c r="J680" i="14" s="1"/>
  <c r="F681" i="14"/>
  <c r="H681" i="14" s="1"/>
  <c r="J681" i="14" s="1"/>
  <c r="F682" i="14"/>
  <c r="H682" i="14" s="1"/>
  <c r="J682" i="14" s="1"/>
  <c r="F683" i="14"/>
  <c r="H683" i="14" s="1"/>
  <c r="J683" i="14" s="1"/>
  <c r="F684" i="14"/>
  <c r="H684" i="14" s="1"/>
  <c r="J684" i="14" s="1"/>
  <c r="F685" i="14"/>
  <c r="H685" i="14" s="1"/>
  <c r="J685" i="14" s="1"/>
  <c r="F686" i="14"/>
  <c r="H686" i="14" s="1"/>
  <c r="J686" i="14" s="1"/>
  <c r="F687" i="14"/>
  <c r="H687" i="14" s="1"/>
  <c r="J687" i="14" s="1"/>
  <c r="F688" i="14"/>
  <c r="H688" i="14" s="1"/>
  <c r="J688" i="14" s="1"/>
  <c r="F689" i="14"/>
  <c r="H689" i="14" s="1"/>
  <c r="J689" i="14" s="1"/>
  <c r="F690" i="14"/>
  <c r="H690" i="14" s="1"/>
  <c r="J690" i="14" s="1"/>
  <c r="F691" i="14"/>
  <c r="H691" i="14" s="1"/>
  <c r="J691" i="14" s="1"/>
  <c r="F692" i="14"/>
  <c r="H692" i="14" s="1"/>
  <c r="J692" i="14" s="1"/>
  <c r="F693" i="14"/>
  <c r="H693" i="14" s="1"/>
  <c r="J693" i="14" s="1"/>
  <c r="F694" i="14"/>
  <c r="H694" i="14" s="1"/>
  <c r="J694" i="14" s="1"/>
  <c r="F695" i="14"/>
  <c r="H695" i="14" s="1"/>
  <c r="J695" i="14" s="1"/>
  <c r="F696" i="14"/>
  <c r="H696" i="14" s="1"/>
  <c r="J696" i="14" s="1"/>
  <c r="F697" i="14"/>
  <c r="H697" i="14" s="1"/>
  <c r="J697" i="14" s="1"/>
  <c r="F698" i="14"/>
  <c r="H698" i="14" s="1"/>
  <c r="J698" i="14" s="1"/>
  <c r="F699" i="14"/>
  <c r="H699" i="14" s="1"/>
  <c r="J699" i="14" s="1"/>
  <c r="F700" i="14"/>
  <c r="H700" i="14" s="1"/>
  <c r="J700" i="14" s="1"/>
  <c r="F701" i="14"/>
  <c r="H701" i="14" s="1"/>
  <c r="J701" i="14" s="1"/>
  <c r="F702" i="14"/>
  <c r="H702" i="14" s="1"/>
  <c r="F703" i="14"/>
  <c r="H703" i="14" s="1"/>
  <c r="J703" i="14" s="1"/>
  <c r="F704" i="14"/>
  <c r="H704" i="14" s="1"/>
  <c r="J704" i="14" s="1"/>
  <c r="F705" i="14"/>
  <c r="H705" i="14" s="1"/>
  <c r="J705" i="14" s="1"/>
  <c r="F706" i="14"/>
  <c r="H706" i="14" s="1"/>
  <c r="J706" i="14" s="1"/>
  <c r="F707" i="14"/>
  <c r="H707" i="14" s="1"/>
  <c r="J707" i="14" s="1"/>
  <c r="F708" i="14"/>
  <c r="H708" i="14" s="1"/>
  <c r="J708" i="14" s="1"/>
  <c r="F709" i="14"/>
  <c r="H709" i="14" s="1"/>
  <c r="J709" i="14" s="1"/>
  <c r="F710" i="14"/>
  <c r="H710" i="14" s="1"/>
  <c r="J710" i="14" s="1"/>
  <c r="F711" i="14"/>
  <c r="H711" i="14" s="1"/>
  <c r="J711" i="14" s="1"/>
  <c r="F712" i="14"/>
  <c r="H712" i="14" s="1"/>
  <c r="J712" i="14" s="1"/>
  <c r="F713" i="14"/>
  <c r="H713" i="14" s="1"/>
  <c r="J713" i="14" s="1"/>
  <c r="F714" i="14"/>
  <c r="H714" i="14" s="1"/>
  <c r="J714" i="14" s="1"/>
  <c r="F715" i="14"/>
  <c r="H715" i="14" s="1"/>
  <c r="J715" i="14" s="1"/>
  <c r="F716" i="14"/>
  <c r="H716" i="14" s="1"/>
  <c r="J716" i="14" s="1"/>
  <c r="F717" i="14"/>
  <c r="H717" i="14" s="1"/>
  <c r="J717" i="14" s="1"/>
  <c r="F718" i="14"/>
  <c r="H718" i="14" s="1"/>
  <c r="J718" i="14" s="1"/>
  <c r="F719" i="14"/>
  <c r="H719" i="14" s="1"/>
  <c r="J719" i="14" s="1"/>
  <c r="F720" i="14"/>
  <c r="H720" i="14" s="1"/>
  <c r="J720" i="14" s="1"/>
  <c r="F721" i="14"/>
  <c r="H721" i="14" s="1"/>
  <c r="J721" i="14" s="1"/>
  <c r="F722" i="14"/>
  <c r="H722" i="14" s="1"/>
  <c r="J722" i="14" s="1"/>
  <c r="F723" i="14"/>
  <c r="H723" i="14" s="1"/>
  <c r="J723" i="14" s="1"/>
  <c r="F724" i="14"/>
  <c r="H724" i="14" s="1"/>
  <c r="J724" i="14" s="1"/>
  <c r="F725" i="14"/>
  <c r="H725" i="14" s="1"/>
  <c r="J725" i="14" s="1"/>
  <c r="F726" i="14"/>
  <c r="H726" i="14" s="1"/>
  <c r="F727" i="14"/>
  <c r="H727" i="14" s="1"/>
  <c r="J727" i="14" s="1"/>
  <c r="F728" i="14"/>
  <c r="H728" i="14" s="1"/>
  <c r="J728" i="14" s="1"/>
  <c r="F729" i="14"/>
  <c r="H729" i="14" s="1"/>
  <c r="J729" i="14" s="1"/>
  <c r="F730" i="14"/>
  <c r="H730" i="14" s="1"/>
  <c r="J730" i="14" s="1"/>
  <c r="F731" i="14"/>
  <c r="H731" i="14" s="1"/>
  <c r="J731" i="14" s="1"/>
  <c r="F732" i="14"/>
  <c r="H732" i="14" s="1"/>
  <c r="J732" i="14" s="1"/>
  <c r="F733" i="14"/>
  <c r="H733" i="14" s="1"/>
  <c r="J733" i="14" s="1"/>
  <c r="F734" i="14"/>
  <c r="H734" i="14" s="1"/>
  <c r="J734" i="14" s="1"/>
  <c r="F735" i="14"/>
  <c r="H735" i="14" s="1"/>
  <c r="J735" i="14" s="1"/>
  <c r="F736" i="14"/>
  <c r="H736" i="14" s="1"/>
  <c r="J736" i="14" s="1"/>
  <c r="F737" i="14"/>
  <c r="H737" i="14" s="1"/>
  <c r="J737" i="14" s="1"/>
  <c r="F738" i="14"/>
  <c r="H738" i="14" s="1"/>
  <c r="J738" i="14" s="1"/>
  <c r="F739" i="14"/>
  <c r="H739" i="14" s="1"/>
  <c r="J739" i="14" s="1"/>
  <c r="F740" i="14"/>
  <c r="H740" i="14" s="1"/>
  <c r="J740" i="14" s="1"/>
  <c r="F741" i="14"/>
  <c r="H741" i="14" s="1"/>
  <c r="J741" i="14" s="1"/>
  <c r="F742" i="14"/>
  <c r="H742" i="14" s="1"/>
  <c r="J742" i="14" s="1"/>
  <c r="F743" i="14"/>
  <c r="H743" i="14" s="1"/>
  <c r="J743" i="14" s="1"/>
  <c r="F744" i="14"/>
  <c r="H744" i="14" s="1"/>
  <c r="J744" i="14" s="1"/>
  <c r="F745" i="14"/>
  <c r="H745" i="14" s="1"/>
  <c r="J745" i="14" s="1"/>
  <c r="F746" i="14"/>
  <c r="H746" i="14" s="1"/>
  <c r="J746" i="14" s="1"/>
  <c r="F747" i="14"/>
  <c r="H747" i="14" s="1"/>
  <c r="J747" i="14" s="1"/>
  <c r="F748" i="14"/>
  <c r="H748" i="14" s="1"/>
  <c r="F749" i="14"/>
  <c r="H749" i="14" s="1"/>
  <c r="J749" i="14" s="1"/>
  <c r="F750" i="14"/>
  <c r="H750" i="14" s="1"/>
  <c r="J750" i="14" s="1"/>
  <c r="F751" i="14"/>
  <c r="H751" i="14" s="1"/>
  <c r="J751" i="14" s="1"/>
  <c r="F752" i="14"/>
  <c r="H752" i="14" s="1"/>
  <c r="J752" i="14" s="1"/>
  <c r="F753" i="14"/>
  <c r="H753" i="14" s="1"/>
  <c r="J753" i="14" s="1"/>
  <c r="F754" i="14"/>
  <c r="H754" i="14" s="1"/>
  <c r="J754" i="14" s="1"/>
  <c r="F755" i="14"/>
  <c r="H755" i="14" s="1"/>
  <c r="J755" i="14" s="1"/>
  <c r="F756" i="14"/>
  <c r="H756" i="14" s="1"/>
  <c r="J756" i="14" s="1"/>
  <c r="F757" i="14"/>
  <c r="H757" i="14" s="1"/>
  <c r="J757" i="14" s="1"/>
  <c r="F758" i="14"/>
  <c r="H758" i="14" s="1"/>
  <c r="J758" i="14" s="1"/>
  <c r="F759" i="14"/>
  <c r="H759" i="14" s="1"/>
  <c r="J759" i="14" s="1"/>
  <c r="F760" i="14"/>
  <c r="H760" i="14" s="1"/>
  <c r="J760" i="14" s="1"/>
  <c r="F761" i="14"/>
  <c r="H761" i="14" s="1"/>
  <c r="J761" i="14" s="1"/>
  <c r="F762" i="14"/>
  <c r="H762" i="14" s="1"/>
  <c r="J762" i="14" s="1"/>
  <c r="F763" i="14"/>
  <c r="H763" i="14" s="1"/>
  <c r="J763" i="14" s="1"/>
  <c r="F764" i="14"/>
  <c r="H764" i="14" s="1"/>
  <c r="J764" i="14" s="1"/>
  <c r="F765" i="14"/>
  <c r="H765" i="14" s="1"/>
  <c r="J765" i="14" s="1"/>
  <c r="F766" i="14"/>
  <c r="H766" i="14" s="1"/>
  <c r="J766" i="14" s="1"/>
  <c r="F767" i="14"/>
  <c r="H767" i="14" s="1"/>
  <c r="J767" i="14" s="1"/>
  <c r="F768" i="14"/>
  <c r="H768" i="14" s="1"/>
  <c r="J768" i="14" s="1"/>
  <c r="F769" i="14"/>
  <c r="H769" i="14" s="1"/>
  <c r="J769" i="14" s="1"/>
  <c r="F770" i="14"/>
  <c r="H770" i="14" s="1"/>
  <c r="J770" i="14" s="1"/>
  <c r="F771" i="14"/>
  <c r="H771" i="14" s="1"/>
  <c r="J771" i="14" s="1"/>
  <c r="F772" i="14"/>
  <c r="H772" i="14" s="1"/>
  <c r="J772" i="14" s="1"/>
  <c r="F773" i="14"/>
  <c r="H773" i="14" s="1"/>
  <c r="J773" i="14" s="1"/>
  <c r="F774" i="14"/>
  <c r="H774" i="14" s="1"/>
  <c r="J774" i="14" s="1"/>
  <c r="F775" i="14"/>
  <c r="H775" i="14" s="1"/>
  <c r="J775" i="14" s="1"/>
  <c r="F776" i="14"/>
  <c r="H776" i="14" s="1"/>
  <c r="J776" i="14" s="1"/>
  <c r="F777" i="14"/>
  <c r="H777" i="14" s="1"/>
  <c r="J777" i="14" s="1"/>
  <c r="F778" i="14"/>
  <c r="H778" i="14" s="1"/>
  <c r="J778" i="14" s="1"/>
  <c r="F779" i="14"/>
  <c r="H779" i="14" s="1"/>
  <c r="J779" i="14" s="1"/>
  <c r="F780" i="14"/>
  <c r="H780" i="14" s="1"/>
  <c r="J780" i="14" s="1"/>
  <c r="F781" i="14"/>
  <c r="H781" i="14" s="1"/>
  <c r="J781" i="14" s="1"/>
  <c r="F782" i="14"/>
  <c r="H782" i="14" s="1"/>
  <c r="J782" i="14" s="1"/>
  <c r="F783" i="14"/>
  <c r="H783" i="14" s="1"/>
  <c r="J783" i="14" s="1"/>
  <c r="F784" i="14"/>
  <c r="H784" i="14" s="1"/>
  <c r="J784" i="14" s="1"/>
  <c r="F785" i="14"/>
  <c r="H785" i="14" s="1"/>
  <c r="J785" i="14" s="1"/>
  <c r="F786" i="14"/>
  <c r="H786" i="14" s="1"/>
  <c r="J786" i="14" s="1"/>
  <c r="F787" i="14"/>
  <c r="H787" i="14" s="1"/>
  <c r="J787" i="14" s="1"/>
  <c r="F788" i="14"/>
  <c r="H788" i="14" s="1"/>
  <c r="F789" i="14"/>
  <c r="H789" i="14" s="1"/>
  <c r="J789" i="14" s="1"/>
  <c r="F790" i="14"/>
  <c r="H790" i="14" s="1"/>
  <c r="J790" i="14" s="1"/>
  <c r="F791" i="14"/>
  <c r="H791" i="14" s="1"/>
  <c r="J791" i="14" s="1"/>
  <c r="F792" i="14"/>
  <c r="H792" i="14" s="1"/>
  <c r="J792" i="14" s="1"/>
  <c r="F793" i="14"/>
  <c r="H793" i="14" s="1"/>
  <c r="J793" i="14" s="1"/>
  <c r="F794" i="14"/>
  <c r="H794" i="14" s="1"/>
  <c r="J794" i="14" s="1"/>
  <c r="F795" i="14"/>
  <c r="H795" i="14" s="1"/>
  <c r="J795" i="14" s="1"/>
  <c r="F796" i="14"/>
  <c r="H796" i="14" s="1"/>
  <c r="J796" i="14" s="1"/>
  <c r="F797" i="14"/>
  <c r="H797" i="14" s="1"/>
  <c r="J797" i="14" s="1"/>
  <c r="F798" i="14"/>
  <c r="H798" i="14" s="1"/>
  <c r="J798" i="14" s="1"/>
  <c r="F799" i="14"/>
  <c r="H799" i="14" s="1"/>
  <c r="J799" i="14" s="1"/>
  <c r="F800" i="14"/>
  <c r="H800" i="14" s="1"/>
  <c r="J800" i="14" s="1"/>
  <c r="F801" i="14"/>
  <c r="H801" i="14" s="1"/>
  <c r="J801" i="14" s="1"/>
  <c r="F802" i="14"/>
  <c r="H802" i="14" s="1"/>
  <c r="J802" i="14" s="1"/>
  <c r="F803" i="14"/>
  <c r="H803" i="14" s="1"/>
  <c r="J803" i="14" s="1"/>
  <c r="F804" i="14"/>
  <c r="H804" i="14" s="1"/>
  <c r="J804" i="14" s="1"/>
  <c r="F805" i="14"/>
  <c r="H805" i="14" s="1"/>
  <c r="J805" i="14" s="1"/>
  <c r="F806" i="14"/>
  <c r="H806" i="14" s="1"/>
  <c r="J806" i="14" s="1"/>
  <c r="F807" i="14"/>
  <c r="H807" i="14" s="1"/>
  <c r="J807" i="14" s="1"/>
  <c r="F808" i="14"/>
  <c r="H808" i="14" s="1"/>
  <c r="J808" i="14" s="1"/>
  <c r="F809" i="14"/>
  <c r="H809" i="14" s="1"/>
  <c r="J809" i="14" s="1"/>
  <c r="F810" i="14"/>
  <c r="H810" i="14" s="1"/>
  <c r="F811" i="14"/>
  <c r="H811" i="14" s="1"/>
  <c r="J811" i="14" s="1"/>
  <c r="F812" i="14"/>
  <c r="H812" i="14" s="1"/>
  <c r="J812" i="14" s="1"/>
  <c r="F813" i="14"/>
  <c r="H813" i="14" s="1"/>
  <c r="J813" i="14" s="1"/>
  <c r="F814" i="14"/>
  <c r="H814" i="14" s="1"/>
  <c r="J814" i="14" s="1"/>
  <c r="F815" i="14"/>
  <c r="H815" i="14" s="1"/>
  <c r="J815" i="14" s="1"/>
  <c r="F816" i="14"/>
  <c r="H816" i="14" s="1"/>
  <c r="J816" i="14" s="1"/>
  <c r="F817" i="14"/>
  <c r="H817" i="14" s="1"/>
  <c r="J817" i="14" s="1"/>
  <c r="F818" i="14"/>
  <c r="H818" i="14" s="1"/>
  <c r="J818" i="14" s="1"/>
  <c r="F819" i="14"/>
  <c r="H819" i="14" s="1"/>
  <c r="J819" i="14" s="1"/>
  <c r="F820" i="14"/>
  <c r="H820" i="14" s="1"/>
  <c r="J820" i="14" s="1"/>
  <c r="F821" i="14"/>
  <c r="H821" i="14" s="1"/>
  <c r="J821" i="14" s="1"/>
  <c r="F822" i="14"/>
  <c r="H822" i="14" s="1"/>
  <c r="J822" i="14" s="1"/>
  <c r="F823" i="14"/>
  <c r="H823" i="14" s="1"/>
  <c r="J823" i="14" s="1"/>
  <c r="F824" i="14"/>
  <c r="H824" i="14" s="1"/>
  <c r="J824" i="14" s="1"/>
  <c r="F825" i="14"/>
  <c r="H825" i="14" s="1"/>
  <c r="J825" i="14" s="1"/>
  <c r="F826" i="14"/>
  <c r="H826" i="14" s="1"/>
  <c r="J826" i="14" s="1"/>
  <c r="F827" i="14"/>
  <c r="H827" i="14" s="1"/>
  <c r="J827" i="14" s="1"/>
  <c r="F828" i="14"/>
  <c r="H828" i="14" s="1"/>
  <c r="J828" i="14" s="1"/>
  <c r="F829" i="14"/>
  <c r="H829" i="14" s="1"/>
  <c r="J829" i="14" s="1"/>
  <c r="F830" i="14"/>
  <c r="H830" i="14" s="1"/>
  <c r="J830" i="14" s="1"/>
  <c r="F831" i="14"/>
  <c r="H831" i="14" s="1"/>
  <c r="J831" i="14" s="1"/>
  <c r="F832" i="14"/>
  <c r="H832" i="14" s="1"/>
  <c r="J832" i="14" s="1"/>
  <c r="F833" i="14"/>
  <c r="H833" i="14" s="1"/>
  <c r="J833" i="14" s="1"/>
  <c r="F834" i="14"/>
  <c r="H834" i="14" s="1"/>
  <c r="J834" i="14" s="1"/>
  <c r="F835" i="14"/>
  <c r="H835" i="14" s="1"/>
  <c r="J835" i="14" s="1"/>
  <c r="F836" i="14"/>
  <c r="H836" i="14" s="1"/>
  <c r="J836" i="14" s="1"/>
  <c r="F837" i="14"/>
  <c r="H837" i="14" s="1"/>
  <c r="J837" i="14" s="1"/>
  <c r="F838" i="14"/>
  <c r="H838" i="14" s="1"/>
  <c r="J838" i="14" s="1"/>
  <c r="F839" i="14"/>
  <c r="H839" i="14" s="1"/>
  <c r="J839" i="14" s="1"/>
  <c r="F840" i="14"/>
  <c r="H840" i="14" s="1"/>
  <c r="J840" i="14" s="1"/>
  <c r="F841" i="14"/>
  <c r="H841" i="14" s="1"/>
  <c r="J841" i="14" s="1"/>
  <c r="F842" i="14"/>
  <c r="H842" i="14" s="1"/>
  <c r="J842" i="14" s="1"/>
  <c r="F843" i="14"/>
  <c r="H843" i="14" s="1"/>
  <c r="J843" i="14" s="1"/>
  <c r="F844" i="14"/>
  <c r="H844" i="14" s="1"/>
  <c r="J844" i="14" s="1"/>
  <c r="F845" i="14"/>
  <c r="H845" i="14" s="1"/>
  <c r="J845" i="14" s="1"/>
  <c r="F846" i="14"/>
  <c r="H846" i="14" s="1"/>
  <c r="J846" i="14" s="1"/>
  <c r="F847" i="14"/>
  <c r="H847" i="14" s="1"/>
  <c r="J847" i="14" s="1"/>
  <c r="F848" i="14"/>
  <c r="H848" i="14" s="1"/>
  <c r="J848" i="14" s="1"/>
  <c r="F849" i="14"/>
  <c r="H849" i="14" s="1"/>
  <c r="J849" i="14" s="1"/>
  <c r="F850" i="14"/>
  <c r="H850" i="14" s="1"/>
  <c r="J850" i="14" s="1"/>
  <c r="F851" i="14"/>
  <c r="H851" i="14" s="1"/>
  <c r="J851" i="14" s="1"/>
  <c r="F852" i="14"/>
  <c r="H852" i="14" s="1"/>
  <c r="J852" i="14" s="1"/>
  <c r="F853" i="14"/>
  <c r="H853" i="14" s="1"/>
  <c r="J853" i="14" s="1"/>
  <c r="F854" i="14"/>
  <c r="H854" i="14" s="1"/>
  <c r="J854" i="14" s="1"/>
  <c r="F855" i="14"/>
  <c r="H855" i="14" s="1"/>
  <c r="J855" i="14" s="1"/>
  <c r="F856" i="14"/>
  <c r="H856" i="14" s="1"/>
  <c r="J856" i="14" s="1"/>
  <c r="F857" i="14"/>
  <c r="H857" i="14" s="1"/>
  <c r="J857" i="14" s="1"/>
  <c r="F858" i="14"/>
  <c r="H858" i="14" s="1"/>
  <c r="J858" i="14" s="1"/>
  <c r="F859" i="14"/>
  <c r="H859" i="14" s="1"/>
  <c r="J859" i="14" s="1"/>
  <c r="F860" i="14"/>
  <c r="H860" i="14" s="1"/>
  <c r="J860" i="14" s="1"/>
  <c r="F861" i="14"/>
  <c r="H861" i="14" s="1"/>
  <c r="J861" i="14" s="1"/>
  <c r="F862" i="14"/>
  <c r="H862" i="14" s="1"/>
  <c r="J862" i="14" s="1"/>
  <c r="F863" i="14"/>
  <c r="H863" i="14" s="1"/>
  <c r="J863" i="14" s="1"/>
  <c r="F864" i="14"/>
  <c r="H864" i="14" s="1"/>
  <c r="J864" i="14" s="1"/>
  <c r="F865" i="14"/>
  <c r="H865" i="14" s="1"/>
  <c r="J865" i="14" s="1"/>
  <c r="F866" i="14"/>
  <c r="H866" i="14" s="1"/>
  <c r="J866" i="14" s="1"/>
  <c r="F867" i="14"/>
  <c r="H867" i="14" s="1"/>
  <c r="J867" i="14" s="1"/>
  <c r="F868" i="14"/>
  <c r="H868" i="14" s="1"/>
  <c r="J868" i="14" s="1"/>
  <c r="F869" i="14"/>
  <c r="H869" i="14" s="1"/>
  <c r="J869" i="14" s="1"/>
  <c r="F870" i="14"/>
  <c r="H870" i="14" s="1"/>
  <c r="J870" i="14" s="1"/>
  <c r="F871" i="14"/>
  <c r="H871" i="14" s="1"/>
  <c r="J871" i="14" s="1"/>
  <c r="F872" i="14"/>
  <c r="H872" i="14" s="1"/>
  <c r="J872" i="14" s="1"/>
  <c r="F873" i="14"/>
  <c r="H873" i="14" s="1"/>
  <c r="J873" i="14" s="1"/>
  <c r="F874" i="14"/>
  <c r="H874" i="14" s="1"/>
  <c r="J874" i="14" s="1"/>
  <c r="F875" i="14"/>
  <c r="H875" i="14" s="1"/>
  <c r="J875" i="14" s="1"/>
  <c r="F876" i="14"/>
  <c r="H876" i="14" s="1"/>
  <c r="J876" i="14" s="1"/>
  <c r="F877" i="14"/>
  <c r="H877" i="14" s="1"/>
  <c r="J877" i="14" s="1"/>
  <c r="F878" i="14"/>
  <c r="H878" i="14" s="1"/>
  <c r="J878" i="14" s="1"/>
  <c r="F879" i="14"/>
  <c r="H879" i="14" s="1"/>
  <c r="J879" i="14" s="1"/>
  <c r="F880" i="14"/>
  <c r="H880" i="14" s="1"/>
  <c r="J880" i="14" s="1"/>
  <c r="F881" i="14"/>
  <c r="H881" i="14" s="1"/>
  <c r="J881" i="14" s="1"/>
  <c r="F882" i="14"/>
  <c r="H882" i="14" s="1"/>
  <c r="J882" i="14" s="1"/>
  <c r="F883" i="14"/>
  <c r="H883" i="14" s="1"/>
  <c r="J883" i="14" s="1"/>
  <c r="F884" i="14"/>
  <c r="H884" i="14" s="1"/>
  <c r="J884" i="14" s="1"/>
  <c r="F885" i="14"/>
  <c r="H885" i="14" s="1"/>
  <c r="J885" i="14" s="1"/>
  <c r="F886" i="14"/>
  <c r="H886" i="14" s="1"/>
  <c r="J886" i="14" s="1"/>
  <c r="F887" i="14"/>
  <c r="H887" i="14" s="1"/>
  <c r="J887" i="14" s="1"/>
  <c r="F888" i="14"/>
  <c r="H888" i="14" s="1"/>
  <c r="J888" i="14" s="1"/>
  <c r="F889" i="14"/>
  <c r="H889" i="14" s="1"/>
  <c r="J889" i="14" s="1"/>
  <c r="F890" i="14"/>
  <c r="H890" i="14" s="1"/>
  <c r="J890" i="14" s="1"/>
  <c r="F891" i="14"/>
  <c r="H891" i="14" s="1"/>
  <c r="J891" i="14" s="1"/>
  <c r="F892" i="14"/>
  <c r="H892" i="14" s="1"/>
  <c r="F893" i="14"/>
  <c r="H893" i="14" s="1"/>
  <c r="J893" i="14" s="1"/>
  <c r="F894" i="14"/>
  <c r="H894" i="14" s="1"/>
  <c r="J894" i="14" s="1"/>
  <c r="F895" i="14"/>
  <c r="H895" i="14" s="1"/>
  <c r="J895" i="14" s="1"/>
  <c r="F896" i="14"/>
  <c r="H896" i="14" s="1"/>
  <c r="J896" i="14" s="1"/>
  <c r="F897" i="14"/>
  <c r="H897" i="14" s="1"/>
  <c r="J897" i="14" s="1"/>
  <c r="F898" i="14"/>
  <c r="H898" i="14" s="1"/>
  <c r="J898" i="14" s="1"/>
  <c r="F899" i="14"/>
  <c r="H899" i="14" s="1"/>
  <c r="J899" i="14" s="1"/>
  <c r="F900" i="14"/>
  <c r="H900" i="14" s="1"/>
  <c r="J900" i="14" s="1"/>
  <c r="F901" i="14"/>
  <c r="H901" i="14" s="1"/>
  <c r="J901" i="14" s="1"/>
  <c r="F902" i="14"/>
  <c r="H902" i="14" s="1"/>
  <c r="J902" i="14" s="1"/>
  <c r="F903" i="14"/>
  <c r="H903" i="14" s="1"/>
  <c r="J903" i="14" s="1"/>
  <c r="F904" i="14"/>
  <c r="H904" i="14" s="1"/>
  <c r="J904" i="14" s="1"/>
  <c r="F905" i="14"/>
  <c r="H905" i="14" s="1"/>
  <c r="J905" i="14" s="1"/>
  <c r="F906" i="14"/>
  <c r="H906" i="14" s="1"/>
  <c r="J906" i="14" s="1"/>
  <c r="F907" i="14"/>
  <c r="H907" i="14" s="1"/>
  <c r="J907" i="14" s="1"/>
  <c r="F908" i="14"/>
  <c r="H908" i="14" s="1"/>
  <c r="J908" i="14" s="1"/>
  <c r="F909" i="14"/>
  <c r="H909" i="14" s="1"/>
  <c r="J909" i="14" s="1"/>
  <c r="F910" i="14"/>
  <c r="H910" i="14" s="1"/>
  <c r="J910" i="14" s="1"/>
  <c r="F911" i="14"/>
  <c r="H911" i="14" s="1"/>
  <c r="J911" i="14" s="1"/>
  <c r="F912" i="14"/>
  <c r="H912" i="14" s="1"/>
  <c r="J912" i="14" s="1"/>
  <c r="F913" i="14"/>
  <c r="H913" i="14" s="1"/>
  <c r="J913" i="14" s="1"/>
  <c r="F914" i="14"/>
  <c r="H914" i="14" s="1"/>
  <c r="J914" i="14" s="1"/>
  <c r="F915" i="14"/>
  <c r="H915" i="14" s="1"/>
  <c r="J915" i="14" s="1"/>
  <c r="F916" i="14"/>
  <c r="H916" i="14" s="1"/>
  <c r="J916" i="14" s="1"/>
  <c r="F917" i="14"/>
  <c r="H917" i="14" s="1"/>
  <c r="J917" i="14" s="1"/>
  <c r="F918" i="14"/>
  <c r="H918" i="14" s="1"/>
  <c r="J918" i="14" s="1"/>
  <c r="F919" i="14"/>
  <c r="H919" i="14" s="1"/>
  <c r="J919" i="14" s="1"/>
  <c r="F920" i="14"/>
  <c r="H920" i="14" s="1"/>
  <c r="J920" i="14" s="1"/>
  <c r="F921" i="14"/>
  <c r="H921" i="14" s="1"/>
  <c r="J921" i="14" s="1"/>
  <c r="F922" i="14"/>
  <c r="H922" i="14" s="1"/>
  <c r="J922" i="14" s="1"/>
  <c r="F923" i="14"/>
  <c r="H923" i="14" s="1"/>
  <c r="J923" i="14" s="1"/>
  <c r="F924" i="14"/>
  <c r="H924" i="14" s="1"/>
  <c r="J924" i="14" s="1"/>
  <c r="F925" i="14"/>
  <c r="H925" i="14" s="1"/>
  <c r="J925" i="14" s="1"/>
  <c r="F926" i="14"/>
  <c r="H926" i="14" s="1"/>
  <c r="J926" i="14" s="1"/>
  <c r="F927" i="14"/>
  <c r="H927" i="14" s="1"/>
  <c r="J927" i="14" s="1"/>
  <c r="F928" i="14"/>
  <c r="H928" i="14" s="1"/>
  <c r="J928" i="14" s="1"/>
  <c r="F929" i="14"/>
  <c r="H929" i="14" s="1"/>
  <c r="J929" i="14" s="1"/>
  <c r="F930" i="14"/>
  <c r="H930" i="14" s="1"/>
  <c r="J930" i="14" s="1"/>
  <c r="F931" i="14"/>
  <c r="H931" i="14" s="1"/>
  <c r="J931" i="14" s="1"/>
  <c r="F932" i="14"/>
  <c r="H932" i="14" s="1"/>
  <c r="F933" i="14"/>
  <c r="H933" i="14" s="1"/>
  <c r="J933" i="14" s="1"/>
  <c r="F934" i="14"/>
  <c r="H934" i="14" s="1"/>
  <c r="J934" i="14" s="1"/>
  <c r="F935" i="14"/>
  <c r="H935" i="14" s="1"/>
  <c r="J935" i="14" s="1"/>
  <c r="F936" i="14"/>
  <c r="H936" i="14" s="1"/>
  <c r="J936" i="14" s="1"/>
  <c r="F937" i="14"/>
  <c r="H937" i="14" s="1"/>
  <c r="J937" i="14" s="1"/>
  <c r="F938" i="14"/>
  <c r="H938" i="14" s="1"/>
  <c r="J938" i="14" s="1"/>
  <c r="F939" i="14"/>
  <c r="H939" i="14" s="1"/>
  <c r="J939" i="14" s="1"/>
  <c r="F940" i="14"/>
  <c r="H940" i="14" s="1"/>
  <c r="J940" i="14" s="1"/>
  <c r="F941" i="14"/>
  <c r="H941" i="14" s="1"/>
  <c r="J941" i="14" s="1"/>
  <c r="F942" i="14"/>
  <c r="H942" i="14" s="1"/>
  <c r="J942" i="14" s="1"/>
  <c r="F943" i="14"/>
  <c r="H943" i="14" s="1"/>
  <c r="J943" i="14" s="1"/>
  <c r="F944" i="14"/>
  <c r="H944" i="14" s="1"/>
  <c r="J944" i="14" s="1"/>
  <c r="F945" i="14"/>
  <c r="H945" i="14" s="1"/>
  <c r="J945" i="14" s="1"/>
  <c r="F946" i="14"/>
  <c r="H946" i="14" s="1"/>
  <c r="J946" i="14" s="1"/>
  <c r="F947" i="14"/>
  <c r="H947" i="14" s="1"/>
  <c r="J947" i="14" s="1"/>
  <c r="F948" i="14"/>
  <c r="H948" i="14" s="1"/>
  <c r="J948" i="14" s="1"/>
  <c r="F949" i="14"/>
  <c r="H949" i="14" s="1"/>
  <c r="J949" i="14" s="1"/>
  <c r="F950" i="14"/>
  <c r="H950" i="14" s="1"/>
  <c r="J950" i="14" s="1"/>
  <c r="F951" i="14"/>
  <c r="H951" i="14" s="1"/>
  <c r="J951" i="14" s="1"/>
  <c r="F952" i="14"/>
  <c r="H952" i="14" s="1"/>
  <c r="J952" i="14" s="1"/>
  <c r="F953" i="14"/>
  <c r="H953" i="14" s="1"/>
  <c r="J953" i="14" s="1"/>
  <c r="F954" i="14"/>
  <c r="H954" i="14" s="1"/>
  <c r="J954" i="14" s="1"/>
  <c r="F955" i="14"/>
  <c r="H955" i="14" s="1"/>
  <c r="J955" i="14" s="1"/>
  <c r="F956" i="14"/>
  <c r="H956" i="14" s="1"/>
  <c r="J956" i="14" s="1"/>
  <c r="F957" i="14"/>
  <c r="H957" i="14" s="1"/>
  <c r="J957" i="14" s="1"/>
  <c r="F958" i="14"/>
  <c r="H958" i="14" s="1"/>
  <c r="J958" i="14" s="1"/>
  <c r="F959" i="14"/>
  <c r="H959" i="14" s="1"/>
  <c r="J959" i="14" s="1"/>
  <c r="F960" i="14"/>
  <c r="H960" i="14" s="1"/>
  <c r="J960" i="14" s="1"/>
  <c r="F961" i="14"/>
  <c r="H961" i="14" s="1"/>
  <c r="J961" i="14" s="1"/>
  <c r="F962" i="14"/>
  <c r="H962" i="14" s="1"/>
  <c r="J962" i="14" s="1"/>
  <c r="F963" i="14"/>
  <c r="H963" i="14" s="1"/>
  <c r="J963" i="14" s="1"/>
  <c r="F964" i="14"/>
  <c r="H964" i="14" s="1"/>
  <c r="J964" i="14" s="1"/>
  <c r="F965" i="14"/>
  <c r="H965" i="14" s="1"/>
  <c r="J965" i="14" s="1"/>
  <c r="F966" i="14"/>
  <c r="H966" i="14" s="1"/>
  <c r="J966" i="14" s="1"/>
  <c r="F967" i="14"/>
  <c r="H967" i="14" s="1"/>
  <c r="J967" i="14" s="1"/>
  <c r="F968" i="14"/>
  <c r="H968" i="14" s="1"/>
  <c r="J968" i="14" s="1"/>
  <c r="F969" i="14"/>
  <c r="H969" i="14" s="1"/>
  <c r="J969" i="14" s="1"/>
  <c r="F970" i="14"/>
  <c r="H970" i="14" s="1"/>
  <c r="J970" i="14" s="1"/>
  <c r="F971" i="14"/>
  <c r="H971" i="14" s="1"/>
  <c r="J971" i="14" s="1"/>
  <c r="F972" i="14"/>
  <c r="H972" i="14" s="1"/>
  <c r="J972" i="14" s="1"/>
  <c r="F973" i="14"/>
  <c r="H973" i="14" s="1"/>
  <c r="J973" i="14" s="1"/>
  <c r="F974" i="14"/>
  <c r="H974" i="14" s="1"/>
  <c r="J974" i="14" s="1"/>
  <c r="F975" i="14"/>
  <c r="H975" i="14" s="1"/>
  <c r="J975" i="14" s="1"/>
  <c r="F976" i="14"/>
  <c r="H976" i="14" s="1"/>
  <c r="J976" i="14" s="1"/>
  <c r="F977" i="14"/>
  <c r="H977" i="14" s="1"/>
  <c r="J977" i="14" s="1"/>
  <c r="F978" i="14"/>
  <c r="H978" i="14" s="1"/>
  <c r="J978" i="14" s="1"/>
  <c r="F979" i="14"/>
  <c r="H979" i="14" s="1"/>
  <c r="J979" i="14" s="1"/>
  <c r="F980" i="14"/>
  <c r="H980" i="14" s="1"/>
  <c r="J980" i="14" s="1"/>
  <c r="F981" i="14"/>
  <c r="H981" i="14" s="1"/>
  <c r="J981" i="14" s="1"/>
  <c r="F982" i="14"/>
  <c r="H982" i="14" s="1"/>
  <c r="J982" i="14" s="1"/>
  <c r="F983" i="14"/>
  <c r="H983" i="14" s="1"/>
  <c r="J983" i="14" s="1"/>
  <c r="F984" i="14"/>
  <c r="H984" i="14" s="1"/>
  <c r="J984" i="14" s="1"/>
  <c r="F985" i="14"/>
  <c r="H985" i="14" s="1"/>
  <c r="J985" i="14" s="1"/>
  <c r="F986" i="14"/>
  <c r="H986" i="14" s="1"/>
  <c r="J986" i="14" s="1"/>
  <c r="F987" i="14"/>
  <c r="H987" i="14" s="1"/>
  <c r="J987" i="14" s="1"/>
  <c r="F988" i="14"/>
  <c r="H988" i="14" s="1"/>
  <c r="J988" i="14" s="1"/>
  <c r="F989" i="14"/>
  <c r="H989" i="14" s="1"/>
  <c r="J989" i="14" s="1"/>
  <c r="F990" i="14"/>
  <c r="H990" i="14" s="1"/>
  <c r="J990" i="14" s="1"/>
  <c r="F991" i="14"/>
  <c r="H991" i="14" s="1"/>
  <c r="J991" i="14" s="1"/>
  <c r="F992" i="14"/>
  <c r="H992" i="14" s="1"/>
  <c r="F993" i="14"/>
  <c r="H993" i="14" s="1"/>
  <c r="J993" i="14" s="1"/>
  <c r="F994" i="14"/>
  <c r="H994" i="14" s="1"/>
  <c r="J994" i="14" s="1"/>
  <c r="F995" i="14"/>
  <c r="H995" i="14" s="1"/>
  <c r="J995" i="14" s="1"/>
  <c r="F996" i="14"/>
  <c r="H996" i="14" s="1"/>
  <c r="J996" i="14" s="1"/>
  <c r="F997" i="14"/>
  <c r="H997" i="14" s="1"/>
  <c r="J997" i="14" s="1"/>
  <c r="F998" i="14"/>
  <c r="H998" i="14" s="1"/>
  <c r="J998" i="14" s="1"/>
  <c r="F999" i="14"/>
  <c r="H999" i="14" s="1"/>
  <c r="J999" i="14" s="1"/>
  <c r="F1000" i="14"/>
  <c r="H1000" i="14" s="1"/>
  <c r="J1000" i="14" s="1"/>
  <c r="F1001" i="14"/>
  <c r="H1001" i="14" s="1"/>
  <c r="J1001" i="14" s="1"/>
  <c r="F1002" i="14"/>
  <c r="H1002" i="14" s="1"/>
  <c r="J1002" i="14" s="1"/>
  <c r="F1003" i="14"/>
  <c r="H1003" i="14" s="1"/>
  <c r="J1003" i="14" s="1"/>
  <c r="F1004" i="14"/>
  <c r="H1004" i="14" s="1"/>
  <c r="J1004" i="14" s="1"/>
  <c r="F1005" i="14"/>
  <c r="H1005" i="14" s="1"/>
  <c r="J1005" i="14" s="1"/>
  <c r="F1006" i="14"/>
  <c r="H1006" i="14" s="1"/>
  <c r="J1006" i="14" s="1"/>
  <c r="F1007" i="14"/>
  <c r="H1007" i="14" s="1"/>
  <c r="J1007" i="14" s="1"/>
  <c r="F1008" i="14"/>
  <c r="H1008" i="14" s="1"/>
  <c r="J1008" i="14" s="1"/>
  <c r="F1009" i="14"/>
  <c r="H1009" i="14" s="1"/>
  <c r="J1009" i="14" s="1"/>
  <c r="F1010" i="14"/>
  <c r="H1010" i="14" s="1"/>
  <c r="J1010" i="14" s="1"/>
  <c r="F1011" i="14"/>
  <c r="H1011" i="14" s="1"/>
  <c r="J1011" i="14" s="1"/>
  <c r="F1012" i="14"/>
  <c r="H1012" i="14" s="1"/>
  <c r="J1012" i="14" s="1"/>
  <c r="F1013" i="14"/>
  <c r="H1013" i="14" s="1"/>
  <c r="J1013" i="14" s="1"/>
  <c r="F1014" i="14"/>
  <c r="H1014" i="14" s="1"/>
  <c r="J1014" i="14" s="1"/>
  <c r="F1015" i="14"/>
  <c r="H1015" i="14" s="1"/>
  <c r="J1015" i="14" s="1"/>
  <c r="F1016" i="14"/>
  <c r="H1016" i="14" s="1"/>
  <c r="J1016" i="14" s="1"/>
  <c r="F1017" i="14"/>
  <c r="H1017" i="14" s="1"/>
  <c r="J1017" i="14" s="1"/>
  <c r="F1018" i="14"/>
  <c r="H1018" i="14" s="1"/>
  <c r="J1018" i="14" s="1"/>
  <c r="F1019" i="14"/>
  <c r="H1019" i="14" s="1"/>
  <c r="J1019" i="14" s="1"/>
  <c r="F1020" i="14"/>
  <c r="H1020" i="14" s="1"/>
  <c r="J1020" i="14" s="1"/>
  <c r="F1021" i="14"/>
  <c r="H1021" i="14" s="1"/>
  <c r="J1021" i="14" s="1"/>
  <c r="F1022" i="14"/>
  <c r="H1022" i="14" s="1"/>
  <c r="J1022" i="14" s="1"/>
  <c r="F1023" i="14"/>
  <c r="H1023" i="14" s="1"/>
  <c r="J1023" i="14" s="1"/>
  <c r="F1024" i="14"/>
  <c r="H1024" i="14" s="1"/>
  <c r="J1024" i="14" s="1"/>
  <c r="F1025" i="14"/>
  <c r="H1025" i="14" s="1"/>
  <c r="J1025" i="14" s="1"/>
  <c r="F1026" i="14"/>
  <c r="H1026" i="14" s="1"/>
  <c r="J1026" i="14" s="1"/>
  <c r="F1027" i="14"/>
  <c r="H1027" i="14" s="1"/>
  <c r="J1027" i="14" s="1"/>
  <c r="F1028" i="14"/>
  <c r="H1028" i="14" s="1"/>
  <c r="J1028" i="14" s="1"/>
  <c r="F1029" i="14"/>
  <c r="H1029" i="14" s="1"/>
  <c r="J1029" i="14" s="1"/>
  <c r="F1030" i="14"/>
  <c r="H1030" i="14" s="1"/>
  <c r="J1030" i="14" s="1"/>
  <c r="F1031" i="14"/>
  <c r="H1031" i="14" s="1"/>
  <c r="J1031" i="14" s="1"/>
  <c r="F1032" i="14"/>
  <c r="H1032" i="14" s="1"/>
  <c r="J1032" i="14" s="1"/>
  <c r="F1033" i="14"/>
  <c r="H1033" i="14" s="1"/>
  <c r="J1033" i="14" s="1"/>
  <c r="F1034" i="14"/>
  <c r="H1034" i="14" s="1"/>
  <c r="J1034" i="14" s="1"/>
  <c r="F1035" i="14"/>
  <c r="H1035" i="14" s="1"/>
  <c r="J1035" i="14" s="1"/>
  <c r="F1036" i="14"/>
  <c r="H1036" i="14" s="1"/>
  <c r="J1036" i="14" s="1"/>
  <c r="F1037" i="14"/>
  <c r="H1037" i="14" s="1"/>
  <c r="J1037" i="14" s="1"/>
  <c r="F1038" i="14"/>
  <c r="H1038" i="14" s="1"/>
  <c r="J1038" i="14" s="1"/>
  <c r="F1039" i="14"/>
  <c r="H1039" i="14" s="1"/>
  <c r="J1039" i="14" s="1"/>
  <c r="F1040" i="14"/>
  <c r="H1040" i="14" s="1"/>
  <c r="J1040" i="14" s="1"/>
  <c r="F1041" i="14"/>
  <c r="H1041" i="14" s="1"/>
  <c r="J1041" i="14" s="1"/>
  <c r="F1042" i="14"/>
  <c r="H1042" i="14" s="1"/>
  <c r="J1042" i="14" s="1"/>
  <c r="F1043" i="14"/>
  <c r="H1043" i="14" s="1"/>
  <c r="J1043" i="14" s="1"/>
  <c r="F1044" i="14"/>
  <c r="H1044" i="14" s="1"/>
  <c r="J1044" i="14" s="1"/>
  <c r="F1045" i="14"/>
  <c r="H1045" i="14" s="1"/>
  <c r="J1045" i="14" s="1"/>
  <c r="F1046" i="14"/>
  <c r="H1046" i="14" s="1"/>
  <c r="J1046" i="14" s="1"/>
  <c r="F1047" i="14"/>
  <c r="H1047" i="14" s="1"/>
  <c r="J1047" i="14" s="1"/>
  <c r="F1048" i="14"/>
  <c r="H1048" i="14" s="1"/>
  <c r="J1048" i="14" s="1"/>
  <c r="F1049" i="14"/>
  <c r="H1049" i="14" s="1"/>
  <c r="J1049" i="14" s="1"/>
  <c r="F1050" i="14"/>
  <c r="H1050" i="14" s="1"/>
  <c r="J1050" i="14" s="1"/>
  <c r="F1051" i="14"/>
  <c r="H1051" i="14" s="1"/>
  <c r="J1051" i="14" s="1"/>
  <c r="F1052" i="14"/>
  <c r="H1052" i="14" s="1"/>
  <c r="J1052" i="14" s="1"/>
  <c r="F1053" i="14"/>
  <c r="H1053" i="14" s="1"/>
  <c r="J1053" i="14" s="1"/>
  <c r="F1054" i="14"/>
  <c r="H1054" i="14" s="1"/>
  <c r="J1054" i="14" s="1"/>
  <c r="F1055" i="14"/>
  <c r="H1055" i="14" s="1"/>
  <c r="J1055" i="14" s="1"/>
  <c r="F1056" i="14"/>
  <c r="H1056" i="14" s="1"/>
  <c r="J1056" i="14" s="1"/>
  <c r="F1057" i="14"/>
  <c r="H1057" i="14" s="1"/>
  <c r="J1057" i="14" s="1"/>
  <c r="F1058" i="14"/>
  <c r="H1058" i="14" s="1"/>
  <c r="J1058" i="14" s="1"/>
  <c r="F1059" i="14"/>
  <c r="H1059" i="14" s="1"/>
  <c r="J1059" i="14" s="1"/>
  <c r="F1060" i="14"/>
  <c r="H1060" i="14" s="1"/>
  <c r="J1060" i="14" s="1"/>
  <c r="F1061" i="14"/>
  <c r="H1061" i="14" s="1"/>
  <c r="J1061" i="14" s="1"/>
  <c r="F1062" i="14"/>
  <c r="H1062" i="14" s="1"/>
  <c r="J1062" i="14" s="1"/>
  <c r="F1063" i="14"/>
  <c r="H1063" i="14" s="1"/>
  <c r="J1063" i="14" s="1"/>
  <c r="F1064" i="14"/>
  <c r="H1064" i="14" s="1"/>
  <c r="J1064" i="14" s="1"/>
  <c r="F1065" i="14"/>
  <c r="H1065" i="14" s="1"/>
  <c r="J1065" i="14" s="1"/>
  <c r="F1066" i="14"/>
  <c r="H1066" i="14" s="1"/>
  <c r="J1066" i="14" s="1"/>
  <c r="F1067" i="14"/>
  <c r="H1067" i="14" s="1"/>
  <c r="J1067" i="14" s="1"/>
  <c r="F1068" i="14"/>
  <c r="H1068" i="14" s="1"/>
  <c r="J1068" i="14" s="1"/>
  <c r="F1069" i="14"/>
  <c r="H1069" i="14" s="1"/>
  <c r="J1069" i="14" s="1"/>
  <c r="F1070" i="14"/>
  <c r="H1070" i="14" s="1"/>
  <c r="J1070" i="14" s="1"/>
  <c r="F1071" i="14"/>
  <c r="H1071" i="14" s="1"/>
  <c r="J1071" i="14" s="1"/>
  <c r="F1072" i="14"/>
  <c r="H1072" i="14" s="1"/>
  <c r="J1072" i="14" s="1"/>
  <c r="F1073" i="14"/>
  <c r="H1073" i="14" s="1"/>
  <c r="J1073" i="14" s="1"/>
  <c r="F1074" i="14"/>
  <c r="H1074" i="14" s="1"/>
  <c r="J1074" i="14" s="1"/>
  <c r="F1075" i="14"/>
  <c r="H1075" i="14" s="1"/>
  <c r="J1075" i="14" s="1"/>
  <c r="F1076" i="14"/>
  <c r="H1076" i="14" s="1"/>
  <c r="J1076" i="14" s="1"/>
  <c r="F1077" i="14"/>
  <c r="H1077" i="14" s="1"/>
  <c r="J1077" i="14" s="1"/>
  <c r="F1078" i="14"/>
  <c r="H1078" i="14" s="1"/>
  <c r="J1078" i="14" s="1"/>
  <c r="F1079" i="14"/>
  <c r="H1079" i="14" s="1"/>
  <c r="J1079" i="14" s="1"/>
  <c r="F1080" i="14"/>
  <c r="H1080" i="14" s="1"/>
  <c r="J1080" i="14" s="1"/>
  <c r="F1081" i="14"/>
  <c r="H1081" i="14" s="1"/>
  <c r="J1081" i="14" s="1"/>
  <c r="F1082" i="14"/>
  <c r="H1082" i="14" s="1"/>
  <c r="J1082" i="14" s="1"/>
  <c r="F1083" i="14"/>
  <c r="H1083" i="14" s="1"/>
  <c r="J1083" i="14" s="1"/>
  <c r="F1084" i="14"/>
  <c r="H1084" i="14" s="1"/>
  <c r="J1084" i="14" s="1"/>
  <c r="F1085" i="14"/>
  <c r="H1085" i="14" s="1"/>
  <c r="J1085" i="14" s="1"/>
  <c r="F1086" i="14"/>
  <c r="H1086" i="14" s="1"/>
  <c r="J1086" i="14" s="1"/>
  <c r="F1087" i="14"/>
  <c r="H1087" i="14" s="1"/>
  <c r="J1087" i="14" s="1"/>
  <c r="F1088" i="14"/>
  <c r="H1088" i="14" s="1"/>
  <c r="J1088" i="14" s="1"/>
  <c r="F1089" i="14"/>
  <c r="H1089" i="14" s="1"/>
  <c r="J1089" i="14" s="1"/>
  <c r="F1090" i="14"/>
  <c r="H1090" i="14" s="1"/>
  <c r="J1090" i="14" s="1"/>
  <c r="F1091" i="14"/>
  <c r="H1091" i="14" s="1"/>
  <c r="J1091" i="14" s="1"/>
  <c r="F1092" i="14"/>
  <c r="H1092" i="14" s="1"/>
  <c r="J1092" i="14" s="1"/>
  <c r="F1093" i="14"/>
  <c r="H1093" i="14" s="1"/>
  <c r="J1093" i="14" s="1"/>
  <c r="F1094" i="14"/>
  <c r="H1094" i="14" s="1"/>
  <c r="J1094" i="14" s="1"/>
  <c r="F1095" i="14"/>
  <c r="H1095" i="14" s="1"/>
  <c r="J1095" i="14" s="1"/>
  <c r="F1096" i="14"/>
  <c r="H1096" i="14" s="1"/>
  <c r="J1096" i="14" s="1"/>
  <c r="F1097" i="14"/>
  <c r="H1097" i="14" s="1"/>
  <c r="J1097" i="14" s="1"/>
  <c r="F1098" i="14"/>
  <c r="H1098" i="14" s="1"/>
  <c r="J1098" i="14" s="1"/>
  <c r="F1099" i="14"/>
  <c r="H1099" i="14" s="1"/>
  <c r="J1099" i="14" s="1"/>
  <c r="F1100" i="14"/>
  <c r="H1100" i="14" s="1"/>
  <c r="J1100" i="14" s="1"/>
  <c r="F1101" i="14"/>
  <c r="H1101" i="14" s="1"/>
  <c r="J1101" i="14" s="1"/>
  <c r="F1102" i="14"/>
  <c r="H1102" i="14" s="1"/>
  <c r="J1102" i="14" s="1"/>
  <c r="F1103" i="14"/>
  <c r="H1103" i="14" s="1"/>
  <c r="J1103" i="14" s="1"/>
  <c r="F1104" i="14"/>
  <c r="H1104" i="14" s="1"/>
  <c r="J1104" i="14" s="1"/>
  <c r="F1105" i="14"/>
  <c r="H1105" i="14" s="1"/>
  <c r="J1105" i="14" s="1"/>
  <c r="F1106" i="14"/>
  <c r="H1106" i="14" s="1"/>
  <c r="J1106" i="14" s="1"/>
  <c r="F1107" i="14"/>
  <c r="H1107" i="14" s="1"/>
  <c r="J1107" i="14" s="1"/>
  <c r="F1108" i="14"/>
  <c r="H1108" i="14" s="1"/>
  <c r="J1108" i="14" s="1"/>
  <c r="F1109" i="14"/>
  <c r="H1109" i="14" s="1"/>
  <c r="J1109" i="14" s="1"/>
  <c r="F1110" i="14"/>
  <c r="H1110" i="14" s="1"/>
  <c r="J1110" i="14" s="1"/>
  <c r="F1111" i="14"/>
  <c r="H1111" i="14" s="1"/>
  <c r="J1111" i="14" s="1"/>
  <c r="F1112" i="14"/>
  <c r="H1112" i="14" s="1"/>
  <c r="J1112" i="14" s="1"/>
  <c r="F1113" i="14"/>
  <c r="H1113" i="14" s="1"/>
  <c r="J1113" i="14" s="1"/>
  <c r="F1114" i="14"/>
  <c r="H1114" i="14" s="1"/>
  <c r="J1114" i="14" s="1"/>
  <c r="F1115" i="14"/>
  <c r="H1115" i="14" s="1"/>
  <c r="J1115" i="14" s="1"/>
  <c r="F1116" i="14"/>
  <c r="H1116" i="14" s="1"/>
  <c r="J1116" i="14" s="1"/>
  <c r="F1117" i="14"/>
  <c r="H1117" i="14" s="1"/>
  <c r="J1117" i="14" s="1"/>
  <c r="F1118" i="14"/>
  <c r="H1118" i="14" s="1"/>
  <c r="J1118" i="14" s="1"/>
  <c r="F1119" i="14"/>
  <c r="H1119" i="14" s="1"/>
  <c r="J1119" i="14" s="1"/>
  <c r="F1120" i="14"/>
  <c r="H1120" i="14" s="1"/>
  <c r="J1120" i="14" s="1"/>
  <c r="F1121" i="14"/>
  <c r="H1121" i="14" s="1"/>
  <c r="J1121" i="14" s="1"/>
  <c r="F1122" i="14"/>
  <c r="H1122" i="14" s="1"/>
  <c r="J1122" i="14" s="1"/>
  <c r="F1123" i="14"/>
  <c r="H1123" i="14" s="1"/>
  <c r="J1123" i="14" s="1"/>
  <c r="F1124" i="14"/>
  <c r="H1124" i="14" s="1"/>
  <c r="J1124" i="14" s="1"/>
  <c r="F1125" i="14"/>
  <c r="H1125" i="14" s="1"/>
  <c r="J1125" i="14" s="1"/>
  <c r="F1126" i="14"/>
  <c r="H1126" i="14" s="1"/>
  <c r="J1126" i="14" s="1"/>
  <c r="F1127" i="14"/>
  <c r="H1127" i="14" s="1"/>
  <c r="J1127" i="14" s="1"/>
  <c r="F1128" i="14"/>
  <c r="H1128" i="14" s="1"/>
  <c r="J1128" i="14" s="1"/>
  <c r="F1129" i="14"/>
  <c r="H1129" i="14" s="1"/>
  <c r="J1129" i="14" s="1"/>
  <c r="F1130" i="14"/>
  <c r="H1130" i="14" s="1"/>
  <c r="J1130" i="14" s="1"/>
  <c r="F1131" i="14"/>
  <c r="H1131" i="14" s="1"/>
  <c r="J1131" i="14" s="1"/>
  <c r="F1132" i="14"/>
  <c r="H1132" i="14" s="1"/>
  <c r="J1132" i="14" s="1"/>
  <c r="F1133" i="14"/>
  <c r="H1133" i="14" s="1"/>
  <c r="J1133" i="14" s="1"/>
  <c r="F1134" i="14"/>
  <c r="H1134" i="14" s="1"/>
  <c r="J1134" i="14" s="1"/>
  <c r="F1135" i="14"/>
  <c r="H1135" i="14" s="1"/>
  <c r="J1135" i="14" s="1"/>
  <c r="F1136" i="14"/>
  <c r="H1136" i="14" s="1"/>
  <c r="J1136" i="14" s="1"/>
  <c r="F1137" i="14"/>
  <c r="H1137" i="14" s="1"/>
  <c r="J1137" i="14" s="1"/>
  <c r="F1138" i="14"/>
  <c r="H1138" i="14" s="1"/>
  <c r="J1138" i="14" s="1"/>
  <c r="F1139" i="14"/>
  <c r="H1139" i="14" s="1"/>
  <c r="J1139" i="14" s="1"/>
  <c r="F1140" i="14"/>
  <c r="H1140" i="14" s="1"/>
  <c r="J1140" i="14" s="1"/>
  <c r="F1141" i="14"/>
  <c r="H1141" i="14" s="1"/>
  <c r="J1141" i="14" s="1"/>
  <c r="F1142" i="14"/>
  <c r="H1142" i="14" s="1"/>
  <c r="J1142" i="14" s="1"/>
  <c r="F1143" i="14"/>
  <c r="H1143" i="14" s="1"/>
  <c r="J1143" i="14" s="1"/>
  <c r="F1144" i="14"/>
  <c r="H1144" i="14" s="1"/>
  <c r="J1144" i="14" s="1"/>
  <c r="F1145" i="14"/>
  <c r="H1145" i="14" s="1"/>
  <c r="J1145" i="14" s="1"/>
  <c r="F1146" i="14"/>
  <c r="H1146" i="14" s="1"/>
  <c r="J1146" i="14" s="1"/>
  <c r="F1147" i="14"/>
  <c r="H1147" i="14" s="1"/>
  <c r="J1147" i="14" s="1"/>
  <c r="F1148" i="14"/>
  <c r="H1148" i="14" s="1"/>
  <c r="J1148" i="14" s="1"/>
  <c r="F1149" i="14"/>
  <c r="H1149" i="14" s="1"/>
  <c r="J1149" i="14" s="1"/>
  <c r="F1150" i="14"/>
  <c r="H1150" i="14" s="1"/>
  <c r="J1150" i="14" s="1"/>
  <c r="F1151" i="14"/>
  <c r="H1151" i="14" s="1"/>
  <c r="J1151" i="14" s="1"/>
  <c r="F1152" i="14"/>
  <c r="H1152" i="14" s="1"/>
  <c r="J1152" i="14" s="1"/>
  <c r="F1153" i="14"/>
  <c r="H1153" i="14" s="1"/>
  <c r="J1153" i="14" s="1"/>
  <c r="F1154" i="14"/>
  <c r="H1154" i="14" s="1"/>
  <c r="J1154" i="14" s="1"/>
  <c r="F1155" i="14"/>
  <c r="H1155" i="14" s="1"/>
  <c r="J1155" i="14" s="1"/>
  <c r="F1156" i="14"/>
  <c r="H1156" i="14" s="1"/>
  <c r="J1156" i="14" s="1"/>
  <c r="F1157" i="14"/>
  <c r="H1157" i="14" s="1"/>
  <c r="J1157" i="14" s="1"/>
  <c r="F1158" i="14"/>
  <c r="H1158" i="14" s="1"/>
  <c r="J1158" i="14" s="1"/>
  <c r="F1159" i="14"/>
  <c r="H1159" i="14" s="1"/>
  <c r="J1159" i="14" s="1"/>
  <c r="F1160" i="14"/>
  <c r="H1160" i="14" s="1"/>
  <c r="J1160" i="14" s="1"/>
  <c r="F1161" i="14"/>
  <c r="H1161" i="14" s="1"/>
  <c r="J1161" i="14" s="1"/>
  <c r="F1162" i="14"/>
  <c r="H1162" i="14" s="1"/>
  <c r="J1162" i="14" s="1"/>
  <c r="F1163" i="14"/>
  <c r="H1163" i="14" s="1"/>
  <c r="J1163" i="14" s="1"/>
  <c r="F1164" i="14"/>
  <c r="H1164" i="14" s="1"/>
  <c r="J1164" i="14" s="1"/>
  <c r="F1165" i="14"/>
  <c r="H1165" i="14" s="1"/>
  <c r="J1165" i="14" s="1"/>
  <c r="F1166" i="14"/>
  <c r="H1166" i="14" s="1"/>
  <c r="J1166" i="14" s="1"/>
  <c r="F1167" i="14"/>
  <c r="H1167" i="14" s="1"/>
  <c r="J1167" i="14" s="1"/>
  <c r="F1168" i="14"/>
  <c r="H1168" i="14" s="1"/>
  <c r="J1168" i="14" s="1"/>
  <c r="F1169" i="14"/>
  <c r="H1169" i="14" s="1"/>
  <c r="J1169" i="14" s="1"/>
  <c r="F1170" i="14"/>
  <c r="H1170" i="14" s="1"/>
  <c r="J1170" i="14" s="1"/>
  <c r="F1171" i="14"/>
  <c r="H1171" i="14" s="1"/>
  <c r="J1171" i="14" s="1"/>
  <c r="F1172" i="14"/>
  <c r="H1172" i="14" s="1"/>
  <c r="J1172" i="14" s="1"/>
  <c r="F1173" i="14"/>
  <c r="H1173" i="14" s="1"/>
  <c r="J1173" i="14" s="1"/>
  <c r="F1174" i="14"/>
  <c r="H1174" i="14" s="1"/>
  <c r="J1174" i="14" s="1"/>
  <c r="F1175" i="14"/>
  <c r="H1175" i="14" s="1"/>
  <c r="J1175" i="14" s="1"/>
  <c r="F1176" i="14"/>
  <c r="H1176" i="14" s="1"/>
  <c r="J1176" i="14" s="1"/>
  <c r="F1177" i="14"/>
  <c r="H1177" i="14" s="1"/>
  <c r="J1177" i="14" s="1"/>
  <c r="F1178" i="14"/>
  <c r="H1178" i="14" s="1"/>
  <c r="J1178" i="14" s="1"/>
  <c r="F1179" i="14"/>
  <c r="H1179" i="14" s="1"/>
  <c r="J1179" i="14" s="1"/>
  <c r="F1180" i="14"/>
  <c r="H1180" i="14" s="1"/>
  <c r="J1180" i="14" s="1"/>
  <c r="F1181" i="14"/>
  <c r="H1181" i="14" s="1"/>
  <c r="J1181" i="14" s="1"/>
  <c r="F1182" i="14"/>
  <c r="H1182" i="14" s="1"/>
  <c r="J1182" i="14" s="1"/>
  <c r="F1183" i="14"/>
  <c r="H1183" i="14" s="1"/>
  <c r="J1183" i="14" s="1"/>
  <c r="F1184" i="14"/>
  <c r="H1184" i="14" s="1"/>
  <c r="J1184" i="14" s="1"/>
  <c r="F1185" i="14"/>
  <c r="H1185" i="14" s="1"/>
  <c r="J1185" i="14" s="1"/>
  <c r="F1186" i="14"/>
  <c r="H1186" i="14" s="1"/>
  <c r="J1186" i="14" s="1"/>
  <c r="F1187" i="14"/>
  <c r="H1187" i="14" s="1"/>
  <c r="J1187" i="14" s="1"/>
  <c r="F1188" i="14"/>
  <c r="H1188" i="14" s="1"/>
  <c r="J1188" i="14" s="1"/>
  <c r="F1189" i="14"/>
  <c r="H1189" i="14" s="1"/>
  <c r="J1189" i="14" s="1"/>
  <c r="F1190" i="14"/>
  <c r="H1190" i="14" s="1"/>
  <c r="J1190" i="14" s="1"/>
  <c r="F1191" i="14"/>
  <c r="H1191" i="14" s="1"/>
  <c r="J1191" i="14" s="1"/>
  <c r="F1192" i="14"/>
  <c r="H1192" i="14" s="1"/>
  <c r="J1192" i="14" s="1"/>
  <c r="F1193" i="14"/>
  <c r="H1193" i="14" s="1"/>
  <c r="J1193" i="14" s="1"/>
  <c r="F1194" i="14"/>
  <c r="H1194" i="14" s="1"/>
  <c r="J1194" i="14" s="1"/>
  <c r="F1195" i="14"/>
  <c r="H1195" i="14" s="1"/>
  <c r="J1195" i="14" s="1"/>
  <c r="F1196" i="14"/>
  <c r="H1196" i="14" s="1"/>
  <c r="J1196" i="14" s="1"/>
  <c r="F1197" i="14"/>
  <c r="H1197" i="14" s="1"/>
  <c r="J1197" i="14" s="1"/>
  <c r="F1198" i="14"/>
  <c r="H1198" i="14" s="1"/>
  <c r="J1198" i="14" s="1"/>
  <c r="F1199" i="14"/>
  <c r="H1199" i="14" s="1"/>
  <c r="J1199" i="14" s="1"/>
  <c r="F1200" i="14"/>
  <c r="H1200" i="14" s="1"/>
  <c r="J1200" i="14" s="1"/>
  <c r="F1201" i="14"/>
  <c r="H1201" i="14" s="1"/>
  <c r="J1201" i="14" s="1"/>
  <c r="F1202" i="14"/>
  <c r="H1202" i="14" s="1"/>
  <c r="J1202" i="14" s="1"/>
  <c r="F1203" i="14"/>
  <c r="H1203" i="14" s="1"/>
  <c r="J1203" i="14" s="1"/>
  <c r="F1204" i="14"/>
  <c r="H1204" i="14" s="1"/>
  <c r="J1204" i="14" s="1"/>
  <c r="F1205" i="14"/>
  <c r="H1205" i="14" s="1"/>
  <c r="J1205" i="14" s="1"/>
  <c r="F1206" i="14"/>
  <c r="H1206" i="14" s="1"/>
  <c r="J1206" i="14" s="1"/>
  <c r="F1207" i="14"/>
  <c r="H1207" i="14" s="1"/>
  <c r="J1207" i="14" s="1"/>
  <c r="F1208" i="14"/>
  <c r="H1208" i="14" s="1"/>
  <c r="J1208" i="14" s="1"/>
  <c r="F1209" i="14"/>
  <c r="H1209" i="14" s="1"/>
  <c r="J1209" i="14" s="1"/>
  <c r="F1210" i="14"/>
  <c r="H1210" i="14" s="1"/>
  <c r="J1210" i="14" s="1"/>
  <c r="F1211" i="14"/>
  <c r="H1211" i="14" s="1"/>
  <c r="J1211" i="14" s="1"/>
  <c r="F1212" i="14"/>
  <c r="H1212" i="14" s="1"/>
  <c r="J1212" i="14" s="1"/>
  <c r="F1213" i="14"/>
  <c r="H1213" i="14" s="1"/>
  <c r="J1213" i="14" s="1"/>
  <c r="F1214" i="14"/>
  <c r="H1214" i="14" s="1"/>
  <c r="J1214" i="14" s="1"/>
  <c r="F1215" i="14"/>
  <c r="H1215" i="14" s="1"/>
  <c r="J1215" i="14" s="1"/>
  <c r="F1216" i="14"/>
  <c r="H1216" i="14" s="1"/>
  <c r="J1216" i="14" s="1"/>
  <c r="F1217" i="14"/>
  <c r="H1217" i="14" s="1"/>
  <c r="J1217" i="14" s="1"/>
  <c r="F1218" i="14"/>
  <c r="H1218" i="14" s="1"/>
  <c r="J1218" i="14" s="1"/>
  <c r="F1219" i="14"/>
  <c r="H1219" i="14" s="1"/>
  <c r="J1219" i="14" s="1"/>
  <c r="F1220" i="14"/>
  <c r="H1220" i="14" s="1"/>
  <c r="J1220" i="14" s="1"/>
  <c r="F1221" i="14"/>
  <c r="H1221" i="14" s="1"/>
  <c r="J1221" i="14" s="1"/>
  <c r="F1222" i="14"/>
  <c r="H1222" i="14" s="1"/>
  <c r="J1222" i="14" s="1"/>
  <c r="F1223" i="14"/>
  <c r="H1223" i="14" s="1"/>
  <c r="J1223" i="14" s="1"/>
  <c r="F1224" i="14"/>
  <c r="H1224" i="14" s="1"/>
  <c r="J1224" i="14" s="1"/>
  <c r="F1225" i="14"/>
  <c r="H1225" i="14" s="1"/>
  <c r="J1225" i="14" s="1"/>
  <c r="F1226" i="14"/>
  <c r="H1226" i="14" s="1"/>
  <c r="J1226" i="14" s="1"/>
  <c r="F1227" i="14"/>
  <c r="H1227" i="14" s="1"/>
  <c r="J1227" i="14" s="1"/>
  <c r="F1228" i="14"/>
  <c r="H1228" i="14" s="1"/>
  <c r="J1228" i="14" s="1"/>
  <c r="F1229" i="14"/>
  <c r="H1229" i="14" s="1"/>
  <c r="J1229" i="14" s="1"/>
  <c r="F1230" i="14"/>
  <c r="H1230" i="14" s="1"/>
  <c r="J1230" i="14" s="1"/>
  <c r="F1231" i="14"/>
  <c r="H1231" i="14" s="1"/>
  <c r="J1231" i="14" s="1"/>
  <c r="F1232" i="14"/>
  <c r="H1232" i="14" s="1"/>
  <c r="J1232" i="14" s="1"/>
  <c r="F1233" i="14"/>
  <c r="H1233" i="14" s="1"/>
  <c r="J1233" i="14" s="1"/>
  <c r="F1234" i="14"/>
  <c r="H1234" i="14" s="1"/>
  <c r="J1234" i="14" s="1"/>
  <c r="F1235" i="14"/>
  <c r="H1235" i="14" s="1"/>
  <c r="J1235" i="14" s="1"/>
  <c r="F1236" i="14"/>
  <c r="H1236" i="14" s="1"/>
  <c r="J1236" i="14" s="1"/>
  <c r="F1237" i="14"/>
  <c r="H1237" i="14" s="1"/>
  <c r="J1237" i="14" s="1"/>
  <c r="F1238" i="14"/>
  <c r="H1238" i="14" s="1"/>
  <c r="J1238" i="14" s="1"/>
  <c r="F1239" i="14"/>
  <c r="H1239" i="14" s="1"/>
  <c r="J1239" i="14" s="1"/>
  <c r="F1240" i="14"/>
  <c r="H1240" i="14" s="1"/>
  <c r="J1240" i="14" s="1"/>
  <c r="F1241" i="14"/>
  <c r="H1241" i="14" s="1"/>
  <c r="J1241" i="14" s="1"/>
  <c r="F1242" i="14"/>
  <c r="H1242" i="14" s="1"/>
  <c r="J1242" i="14" s="1"/>
  <c r="F1243" i="14"/>
  <c r="H1243" i="14" s="1"/>
  <c r="J1243" i="14" s="1"/>
  <c r="F1244" i="14"/>
  <c r="H1244" i="14" s="1"/>
  <c r="J1244" i="14" s="1"/>
  <c r="F1245" i="14"/>
  <c r="H1245" i="14" s="1"/>
  <c r="J1245" i="14" s="1"/>
  <c r="F1246" i="14"/>
  <c r="H1246" i="14" s="1"/>
  <c r="J1246" i="14" s="1"/>
  <c r="F1247" i="14"/>
  <c r="H1247" i="14" s="1"/>
  <c r="J1247" i="14" s="1"/>
  <c r="F1248" i="14"/>
  <c r="H1248" i="14" s="1"/>
  <c r="J1248" i="14" s="1"/>
  <c r="F1249" i="14"/>
  <c r="H1249" i="14" s="1"/>
  <c r="J1249" i="14" s="1"/>
  <c r="F1250" i="14"/>
  <c r="H1250" i="14" s="1"/>
  <c r="J1250" i="14" s="1"/>
  <c r="F1251" i="14"/>
  <c r="H1251" i="14" s="1"/>
  <c r="J1251" i="14" s="1"/>
  <c r="F1252" i="14"/>
  <c r="H1252" i="14" s="1"/>
  <c r="J1252" i="14" s="1"/>
  <c r="F1253" i="14"/>
  <c r="H1253" i="14" s="1"/>
  <c r="J1253" i="14" s="1"/>
  <c r="F1254" i="14"/>
  <c r="H1254" i="14" s="1"/>
  <c r="J1254" i="14" s="1"/>
  <c r="F1255" i="14"/>
  <c r="H1255" i="14" s="1"/>
  <c r="J1255" i="14" s="1"/>
  <c r="F1256" i="14"/>
  <c r="H1256" i="14" s="1"/>
  <c r="J1256" i="14" s="1"/>
  <c r="F1257" i="14"/>
  <c r="H1257" i="14" s="1"/>
  <c r="J1257" i="14" s="1"/>
  <c r="F1258" i="14"/>
  <c r="H1258" i="14" s="1"/>
  <c r="J1258" i="14" s="1"/>
  <c r="F1259" i="14"/>
  <c r="H1259" i="14" s="1"/>
  <c r="J1259" i="14" s="1"/>
  <c r="F1260" i="14"/>
  <c r="H1260" i="14" s="1"/>
  <c r="J1260" i="14" s="1"/>
  <c r="F1261" i="14"/>
  <c r="H1261" i="14" s="1"/>
  <c r="J1261" i="14" s="1"/>
  <c r="F1262" i="14"/>
  <c r="H1262" i="14" s="1"/>
  <c r="J1262" i="14" s="1"/>
  <c r="F1263" i="14"/>
  <c r="H1263" i="14" s="1"/>
  <c r="J1263" i="14" s="1"/>
  <c r="F1264" i="14"/>
  <c r="H1264" i="14" s="1"/>
  <c r="J1264" i="14" s="1"/>
  <c r="F1265" i="14"/>
  <c r="H1265" i="14" s="1"/>
  <c r="J1265" i="14" s="1"/>
  <c r="F1266" i="14"/>
  <c r="H1266" i="14" s="1"/>
  <c r="J1266" i="14" s="1"/>
  <c r="F1267" i="14"/>
  <c r="H1267" i="14" s="1"/>
  <c r="J1267" i="14" s="1"/>
  <c r="F1268" i="14"/>
  <c r="H1268" i="14" s="1"/>
  <c r="J1268" i="14" s="1"/>
  <c r="F1269" i="14"/>
  <c r="H1269" i="14" s="1"/>
  <c r="J1269" i="14" s="1"/>
  <c r="F1270" i="14"/>
  <c r="H1270" i="14" s="1"/>
  <c r="J1270" i="14" s="1"/>
  <c r="F1271" i="14"/>
  <c r="H1271" i="14" s="1"/>
  <c r="J1271" i="14" s="1"/>
  <c r="F1272" i="14"/>
  <c r="H1272" i="14" s="1"/>
  <c r="J1272" i="14" s="1"/>
  <c r="F1273" i="14"/>
  <c r="H1273" i="14" s="1"/>
  <c r="J1273" i="14" s="1"/>
  <c r="F1274" i="14"/>
  <c r="H1274" i="14" s="1"/>
  <c r="J1274" i="14" s="1"/>
  <c r="F1275" i="14"/>
  <c r="H1275" i="14" s="1"/>
  <c r="J1275" i="14" s="1"/>
  <c r="F1276" i="14"/>
  <c r="H1276" i="14" s="1"/>
  <c r="J1276" i="14" s="1"/>
  <c r="F1277" i="14"/>
  <c r="H1277" i="14" s="1"/>
  <c r="J1277" i="14" s="1"/>
  <c r="F1278" i="14"/>
  <c r="H1278" i="14" s="1"/>
  <c r="J1278" i="14" s="1"/>
  <c r="F1279" i="14"/>
  <c r="H1279" i="14" s="1"/>
  <c r="J1279" i="14" s="1"/>
  <c r="F1280" i="14"/>
  <c r="H1280" i="14" s="1"/>
  <c r="J1280" i="14" s="1"/>
  <c r="F1281" i="14"/>
  <c r="H1281" i="14" s="1"/>
  <c r="J1281" i="14" s="1"/>
  <c r="F1282" i="14"/>
  <c r="H1282" i="14" s="1"/>
  <c r="J1282" i="14" s="1"/>
  <c r="F1283" i="14"/>
  <c r="H1283" i="14" s="1"/>
  <c r="J1283" i="14" s="1"/>
  <c r="F1284" i="14"/>
  <c r="H1284" i="14" s="1"/>
  <c r="J1284" i="14" s="1"/>
  <c r="F1285" i="14"/>
  <c r="H1285" i="14" s="1"/>
  <c r="J1285" i="14" s="1"/>
  <c r="F1286" i="14"/>
  <c r="H1286" i="14" s="1"/>
  <c r="J1286" i="14" s="1"/>
  <c r="F1287" i="14"/>
  <c r="H1287" i="14" s="1"/>
  <c r="J1287" i="14" s="1"/>
  <c r="F1288" i="14"/>
  <c r="H1288" i="14" s="1"/>
  <c r="J1288" i="14" s="1"/>
  <c r="F1289" i="14"/>
  <c r="H1289" i="14" s="1"/>
  <c r="J1289" i="14" s="1"/>
  <c r="F1290" i="14"/>
  <c r="H1290" i="14" s="1"/>
  <c r="J1290" i="14" s="1"/>
  <c r="F1291" i="14"/>
  <c r="H1291" i="14" s="1"/>
  <c r="J1291" i="14" s="1"/>
  <c r="F1292" i="14"/>
  <c r="H1292" i="14" s="1"/>
  <c r="J1292" i="14" s="1"/>
  <c r="F1293" i="14"/>
  <c r="H1293" i="14" s="1"/>
  <c r="J1293" i="14" s="1"/>
  <c r="F1294" i="14"/>
  <c r="H1294" i="14" s="1"/>
  <c r="J1294" i="14" s="1"/>
  <c r="F1295" i="14"/>
  <c r="H1295" i="14" s="1"/>
  <c r="J1295" i="14" s="1"/>
  <c r="F1296" i="14"/>
  <c r="H1296" i="14" s="1"/>
  <c r="J1296" i="14" s="1"/>
  <c r="F1297" i="14"/>
  <c r="H1297" i="14" s="1"/>
  <c r="J1297" i="14" s="1"/>
  <c r="F1298" i="14"/>
  <c r="H1298" i="14" s="1"/>
  <c r="J1298" i="14" s="1"/>
  <c r="F1299" i="14"/>
  <c r="H1299" i="14" s="1"/>
  <c r="J1299" i="14" s="1"/>
  <c r="F1300" i="14"/>
  <c r="H1300" i="14" s="1"/>
  <c r="J1300" i="14" s="1"/>
  <c r="F1301" i="14"/>
  <c r="H1301" i="14" s="1"/>
  <c r="J1301" i="14" s="1"/>
  <c r="F1302" i="14"/>
  <c r="H1302" i="14" s="1"/>
  <c r="J1302" i="14" s="1"/>
  <c r="F1303" i="14"/>
  <c r="H1303" i="14" s="1"/>
  <c r="J1303" i="14" s="1"/>
  <c r="F1304" i="14"/>
  <c r="H1304" i="14" s="1"/>
  <c r="J1304" i="14" s="1"/>
  <c r="F1305" i="14"/>
  <c r="H1305" i="14" s="1"/>
  <c r="J1305" i="14" s="1"/>
  <c r="F1306" i="14"/>
  <c r="H1306" i="14" s="1"/>
  <c r="J1306" i="14" s="1"/>
  <c r="F1307" i="14"/>
  <c r="H1307" i="14" s="1"/>
  <c r="J1307" i="14" s="1"/>
  <c r="F1308" i="14"/>
  <c r="H1308" i="14" s="1"/>
  <c r="J1308" i="14" s="1"/>
  <c r="F1309" i="14"/>
  <c r="H1309" i="14" s="1"/>
  <c r="J1309" i="14" s="1"/>
  <c r="F1310" i="14"/>
  <c r="H1310" i="14" s="1"/>
  <c r="J1310" i="14" s="1"/>
  <c r="F1311" i="14"/>
  <c r="H1311" i="14" s="1"/>
  <c r="J1311" i="14" s="1"/>
  <c r="F1312" i="14"/>
  <c r="H1312" i="14" s="1"/>
  <c r="J1312" i="14" s="1"/>
  <c r="F1313" i="14"/>
  <c r="H1313" i="14" s="1"/>
  <c r="J1313" i="14" s="1"/>
  <c r="F1314" i="14"/>
  <c r="H1314" i="14" s="1"/>
  <c r="J1314" i="14" s="1"/>
  <c r="F1315" i="14"/>
  <c r="H1315" i="14" s="1"/>
  <c r="J1315" i="14" s="1"/>
  <c r="F1316" i="14"/>
  <c r="H1316" i="14" s="1"/>
  <c r="J1316" i="14" s="1"/>
  <c r="F1317" i="14"/>
  <c r="H1317" i="14" s="1"/>
  <c r="J1317" i="14" s="1"/>
  <c r="F1318" i="14"/>
  <c r="H1318" i="14" s="1"/>
  <c r="J1318" i="14" s="1"/>
  <c r="F1319" i="14"/>
  <c r="H1319" i="14" s="1"/>
  <c r="J1319" i="14" s="1"/>
  <c r="F1320" i="14"/>
  <c r="H1320" i="14" s="1"/>
  <c r="J1320" i="14" s="1"/>
  <c r="F1321" i="14"/>
  <c r="H1321" i="14" s="1"/>
  <c r="J1321" i="14" s="1"/>
  <c r="F1322" i="14"/>
  <c r="H1322" i="14" s="1"/>
  <c r="J1322" i="14" s="1"/>
  <c r="F1323" i="14"/>
  <c r="H1323" i="14" s="1"/>
  <c r="J1323" i="14" s="1"/>
  <c r="F1324" i="14"/>
  <c r="H1324" i="14" s="1"/>
  <c r="J1324" i="14" s="1"/>
  <c r="F1325" i="14"/>
  <c r="H1325" i="14" s="1"/>
  <c r="J1325" i="14" s="1"/>
  <c r="F1326" i="14"/>
  <c r="H1326" i="14" s="1"/>
  <c r="J1326" i="14" s="1"/>
  <c r="F1327" i="14"/>
  <c r="H1327" i="14" s="1"/>
  <c r="J1327" i="14" s="1"/>
  <c r="F1328" i="14"/>
  <c r="H1328" i="14" s="1"/>
  <c r="J1328" i="14" s="1"/>
  <c r="F1329" i="14"/>
  <c r="H1329" i="14" s="1"/>
  <c r="J1329" i="14" s="1"/>
  <c r="F1330" i="14"/>
  <c r="H1330" i="14" s="1"/>
  <c r="J1330" i="14" s="1"/>
  <c r="F1331" i="14"/>
  <c r="H1331" i="14" s="1"/>
  <c r="J1331" i="14" s="1"/>
  <c r="F1332" i="14"/>
  <c r="H1332" i="14" s="1"/>
  <c r="J1332" i="14" s="1"/>
  <c r="F1333" i="14"/>
  <c r="H1333" i="14" s="1"/>
  <c r="J1333" i="14" s="1"/>
  <c r="F1334" i="14"/>
  <c r="H1334" i="14" s="1"/>
  <c r="J1334" i="14" s="1"/>
  <c r="F1335" i="14"/>
  <c r="H1335" i="14" s="1"/>
  <c r="J1335" i="14" s="1"/>
  <c r="F1336" i="14"/>
  <c r="H1336" i="14" s="1"/>
  <c r="J1336" i="14" s="1"/>
  <c r="F1337" i="14"/>
  <c r="H1337" i="14" s="1"/>
  <c r="J1337" i="14" s="1"/>
  <c r="F1338" i="14"/>
  <c r="H1338" i="14" s="1"/>
  <c r="J1338" i="14" s="1"/>
  <c r="F1339" i="14"/>
  <c r="H1339" i="14" s="1"/>
  <c r="J1339" i="14" s="1"/>
  <c r="F1340" i="14"/>
  <c r="H1340" i="14" s="1"/>
  <c r="J1340" i="14" s="1"/>
  <c r="F1341" i="14"/>
  <c r="H1341" i="14" s="1"/>
  <c r="J1341" i="14" s="1"/>
  <c r="F1342" i="14"/>
  <c r="H1342" i="14" s="1"/>
  <c r="J1342" i="14" s="1"/>
  <c r="F1343" i="14"/>
  <c r="H1343" i="14" s="1"/>
  <c r="J1343" i="14" s="1"/>
  <c r="F1344" i="14"/>
  <c r="H1344" i="14" s="1"/>
  <c r="J1344" i="14" s="1"/>
  <c r="F1345" i="14"/>
  <c r="H1345" i="14" s="1"/>
  <c r="J1345" i="14" s="1"/>
  <c r="F1346" i="14"/>
  <c r="H1346" i="14" s="1"/>
  <c r="J1346" i="14" s="1"/>
  <c r="F1347" i="14"/>
  <c r="H1347" i="14" s="1"/>
  <c r="J1347" i="14" s="1"/>
  <c r="F1348" i="14"/>
  <c r="H1348" i="14" s="1"/>
  <c r="J1348" i="14" s="1"/>
  <c r="F1349" i="14"/>
  <c r="H1349" i="14" s="1"/>
  <c r="J1349" i="14" s="1"/>
  <c r="F1350" i="14"/>
  <c r="H1350" i="14" s="1"/>
  <c r="J1350" i="14" s="1"/>
  <c r="F1351" i="14"/>
  <c r="H1351" i="14" s="1"/>
  <c r="J1351" i="14" s="1"/>
  <c r="F1352" i="14"/>
  <c r="H1352" i="14" s="1"/>
  <c r="J1352" i="14" s="1"/>
  <c r="F1353" i="14"/>
  <c r="H1353" i="14" s="1"/>
  <c r="J1353" i="14" s="1"/>
  <c r="F1354" i="14"/>
  <c r="H1354" i="14" s="1"/>
  <c r="J1354" i="14" s="1"/>
  <c r="F1355" i="14"/>
  <c r="H1355" i="14" s="1"/>
  <c r="J1355" i="14" s="1"/>
  <c r="F1356" i="14"/>
  <c r="H1356" i="14" s="1"/>
  <c r="J1356" i="14" s="1"/>
  <c r="F1357" i="14"/>
  <c r="H1357" i="14" s="1"/>
  <c r="J1357" i="14" s="1"/>
  <c r="F1358" i="14"/>
  <c r="H1358" i="14" s="1"/>
  <c r="J1358" i="14" s="1"/>
  <c r="F1359" i="14"/>
  <c r="H1359" i="14" s="1"/>
  <c r="J1359" i="14" s="1"/>
  <c r="F1360" i="14"/>
  <c r="H1360" i="14" s="1"/>
  <c r="J1360" i="14" s="1"/>
  <c r="F1361" i="14"/>
  <c r="H1361" i="14" s="1"/>
  <c r="J1361" i="14" s="1"/>
  <c r="F1362" i="14"/>
  <c r="H1362" i="14" s="1"/>
  <c r="J1362" i="14" s="1"/>
  <c r="F1363" i="14"/>
  <c r="H1363" i="14" s="1"/>
  <c r="J1363" i="14" s="1"/>
  <c r="F1364" i="14"/>
  <c r="H1364" i="14" s="1"/>
  <c r="J1364" i="14" s="1"/>
  <c r="F1365" i="14"/>
  <c r="H1365" i="14" s="1"/>
  <c r="J1365" i="14" s="1"/>
  <c r="F1366" i="14"/>
  <c r="H1366" i="14" s="1"/>
  <c r="J1366" i="14" s="1"/>
  <c r="F1367" i="14"/>
  <c r="H1367" i="14" s="1"/>
  <c r="J1367" i="14" s="1"/>
  <c r="F1368" i="14"/>
  <c r="H1368" i="14" s="1"/>
  <c r="J1368" i="14" s="1"/>
  <c r="F1369" i="14"/>
  <c r="H1369" i="14" s="1"/>
  <c r="J1369" i="14" s="1"/>
  <c r="F1370" i="14"/>
  <c r="H1370" i="14" s="1"/>
  <c r="J1370" i="14" s="1"/>
  <c r="F1371" i="14"/>
  <c r="H1371" i="14" s="1"/>
  <c r="J1371" i="14" s="1"/>
  <c r="F1372" i="14"/>
  <c r="H1372" i="14" s="1"/>
  <c r="J1372" i="14" s="1"/>
  <c r="F1373" i="14"/>
  <c r="H1373" i="14" s="1"/>
  <c r="J1373" i="14" s="1"/>
  <c r="F1374" i="14"/>
  <c r="H1374" i="14" s="1"/>
  <c r="J1374" i="14" s="1"/>
  <c r="F1375" i="14"/>
  <c r="H1375" i="14" s="1"/>
  <c r="J1375" i="14" s="1"/>
  <c r="F1376" i="14"/>
  <c r="H1376" i="14" s="1"/>
  <c r="J1376" i="14" s="1"/>
  <c r="F1377" i="14"/>
  <c r="H1377" i="14" s="1"/>
  <c r="J1377" i="14" s="1"/>
  <c r="F1378" i="14"/>
  <c r="H1378" i="14" s="1"/>
  <c r="J1378" i="14" s="1"/>
  <c r="F1379" i="14"/>
  <c r="H1379" i="14" s="1"/>
  <c r="J1379" i="14" s="1"/>
  <c r="F1380" i="14"/>
  <c r="H1380" i="14" s="1"/>
  <c r="J1380" i="14" s="1"/>
  <c r="F1381" i="14"/>
  <c r="H1381" i="14" s="1"/>
  <c r="J1381" i="14" s="1"/>
  <c r="F1382" i="14"/>
  <c r="H1382" i="14" s="1"/>
  <c r="J1382" i="14" s="1"/>
  <c r="F1383" i="14"/>
  <c r="H1383" i="14" s="1"/>
  <c r="J1383" i="14" s="1"/>
  <c r="F1384" i="14"/>
  <c r="H1384" i="14" s="1"/>
  <c r="J1384" i="14" s="1"/>
  <c r="F1385" i="14"/>
  <c r="H1385" i="14" s="1"/>
  <c r="J1385" i="14" s="1"/>
  <c r="F1386" i="14"/>
  <c r="H1386" i="14" s="1"/>
  <c r="J1386" i="14" s="1"/>
  <c r="F1387" i="14"/>
  <c r="H1387" i="14" s="1"/>
  <c r="J1387" i="14" s="1"/>
  <c r="F1388" i="14"/>
  <c r="H1388" i="14" s="1"/>
  <c r="J1388" i="14" s="1"/>
  <c r="F1389" i="14"/>
  <c r="H1389" i="14" s="1"/>
  <c r="J1389" i="14" s="1"/>
  <c r="F1390" i="14"/>
  <c r="H1390" i="14" s="1"/>
  <c r="J1390" i="14" s="1"/>
  <c r="F1391" i="14"/>
  <c r="H1391" i="14" s="1"/>
  <c r="J1391" i="14" s="1"/>
  <c r="F1392" i="14"/>
  <c r="H1392" i="14" s="1"/>
  <c r="J1392" i="14" s="1"/>
  <c r="F1393" i="14"/>
  <c r="H1393" i="14" s="1"/>
  <c r="J1393" i="14" s="1"/>
  <c r="F1394" i="14"/>
  <c r="H1394" i="14" s="1"/>
  <c r="J1394" i="14" s="1"/>
  <c r="F1395" i="14"/>
  <c r="H1395" i="14" s="1"/>
  <c r="J1395" i="14" s="1"/>
  <c r="F1396" i="14"/>
  <c r="H1396" i="14" s="1"/>
  <c r="J1396" i="14" s="1"/>
  <c r="F1397" i="14"/>
  <c r="H1397" i="14" s="1"/>
  <c r="J1397" i="14" s="1"/>
  <c r="F1398" i="14"/>
  <c r="H1398" i="14" s="1"/>
  <c r="J1398" i="14" s="1"/>
  <c r="F1399" i="14"/>
  <c r="H1399" i="14" s="1"/>
  <c r="J1399" i="14" s="1"/>
  <c r="F1400" i="14"/>
  <c r="H1400" i="14" s="1"/>
  <c r="J1400" i="14" s="1"/>
  <c r="F1401" i="14"/>
  <c r="H1401" i="14" s="1"/>
  <c r="J1401" i="14" s="1"/>
  <c r="F1402" i="14"/>
  <c r="H1402" i="14" s="1"/>
  <c r="J1402" i="14" s="1"/>
  <c r="F1403" i="14"/>
  <c r="H1403" i="14" s="1"/>
  <c r="J1403" i="14" s="1"/>
  <c r="F1404" i="14"/>
  <c r="H1404" i="14" s="1"/>
  <c r="J1404" i="14" s="1"/>
  <c r="F1405" i="14"/>
  <c r="H1405" i="14" s="1"/>
  <c r="J1405" i="14" s="1"/>
  <c r="F1406" i="14"/>
  <c r="H1406" i="14" s="1"/>
  <c r="J1406" i="14" s="1"/>
  <c r="F1407" i="14"/>
  <c r="H1407" i="14" s="1"/>
  <c r="J1407" i="14" s="1"/>
  <c r="F1408" i="14"/>
  <c r="H1408" i="14" s="1"/>
  <c r="J1408" i="14" s="1"/>
  <c r="F1409" i="14"/>
  <c r="H1409" i="14" s="1"/>
  <c r="J1409" i="14" s="1"/>
  <c r="F1410" i="14"/>
  <c r="H1410" i="14" s="1"/>
  <c r="J1410" i="14" s="1"/>
  <c r="F1411" i="14"/>
  <c r="H1411" i="14" s="1"/>
  <c r="J1411" i="14" s="1"/>
  <c r="F1412" i="14"/>
  <c r="H1412" i="14" s="1"/>
  <c r="J1412" i="14" s="1"/>
  <c r="F1413" i="14"/>
  <c r="H1413" i="14" s="1"/>
  <c r="J1413" i="14" s="1"/>
  <c r="F1414" i="14"/>
  <c r="H1414" i="14" s="1"/>
  <c r="J1414" i="14" s="1"/>
  <c r="F1415" i="14"/>
  <c r="H1415" i="14" s="1"/>
  <c r="J1415" i="14" s="1"/>
  <c r="F1416" i="14"/>
  <c r="H1416" i="14" s="1"/>
  <c r="J1416" i="14" s="1"/>
  <c r="F1417" i="14"/>
  <c r="H1417" i="14" s="1"/>
  <c r="J1417" i="14" s="1"/>
  <c r="F1418" i="14"/>
  <c r="H1418" i="14" s="1"/>
  <c r="J1418" i="14" s="1"/>
  <c r="F1419" i="14"/>
  <c r="H1419" i="14" s="1"/>
  <c r="J1419" i="14" s="1"/>
  <c r="F1420" i="14"/>
  <c r="H1420" i="14" s="1"/>
  <c r="J1420" i="14" s="1"/>
  <c r="F1421" i="14"/>
  <c r="H1421" i="14" s="1"/>
  <c r="J1421" i="14" s="1"/>
  <c r="F1422" i="14"/>
  <c r="H1422" i="14" s="1"/>
  <c r="J1422" i="14" s="1"/>
  <c r="F1423" i="14"/>
  <c r="H1423" i="14" s="1"/>
  <c r="J1423" i="14" s="1"/>
  <c r="F1424" i="14"/>
  <c r="H1424" i="14" s="1"/>
  <c r="J1424" i="14" s="1"/>
  <c r="F1425" i="14"/>
  <c r="H1425" i="14" s="1"/>
  <c r="J1425" i="14" s="1"/>
  <c r="F1426" i="14"/>
  <c r="H1426" i="14" s="1"/>
  <c r="J1426" i="14" s="1"/>
  <c r="F1427" i="14"/>
  <c r="H1427" i="14" s="1"/>
  <c r="J1427" i="14" s="1"/>
  <c r="F1428" i="14"/>
  <c r="H1428" i="14" s="1"/>
  <c r="J1428" i="14" s="1"/>
  <c r="F1429" i="14"/>
  <c r="H1429" i="14" s="1"/>
  <c r="J1429" i="14" s="1"/>
  <c r="F1430" i="14"/>
  <c r="H1430" i="14" s="1"/>
  <c r="J1430" i="14" s="1"/>
  <c r="F1431" i="14"/>
  <c r="H1431" i="14" s="1"/>
  <c r="J1431" i="14" s="1"/>
  <c r="F1432" i="14"/>
  <c r="H1432" i="14" s="1"/>
  <c r="J1432" i="14" s="1"/>
  <c r="F1433" i="14"/>
  <c r="H1433" i="14" s="1"/>
  <c r="J1433" i="14" s="1"/>
  <c r="F1434" i="14"/>
  <c r="H1434" i="14" s="1"/>
  <c r="J1434" i="14" s="1"/>
  <c r="F1435" i="14"/>
  <c r="H1435" i="14" s="1"/>
  <c r="J1435" i="14" s="1"/>
  <c r="F1436" i="14"/>
  <c r="H1436" i="14" s="1"/>
  <c r="J1436" i="14" s="1"/>
  <c r="F1437" i="14"/>
  <c r="H1437" i="14" s="1"/>
  <c r="J1437" i="14" s="1"/>
  <c r="F1438" i="14"/>
  <c r="H1438" i="14" s="1"/>
  <c r="J1438" i="14" s="1"/>
  <c r="F1439" i="14"/>
  <c r="H1439" i="14" s="1"/>
  <c r="J1439" i="14" s="1"/>
  <c r="F1440" i="14"/>
  <c r="H1440" i="14" s="1"/>
  <c r="J1440" i="14" s="1"/>
  <c r="F1441" i="14"/>
  <c r="H1441" i="14" s="1"/>
  <c r="J1441" i="14" s="1"/>
  <c r="F1442" i="14"/>
  <c r="H1442" i="14" s="1"/>
  <c r="J1442" i="14" s="1"/>
  <c r="F1443" i="14"/>
  <c r="H1443" i="14" s="1"/>
  <c r="J1443" i="14" s="1"/>
  <c r="F1444" i="14"/>
  <c r="H1444" i="14" s="1"/>
  <c r="J1444" i="14" s="1"/>
  <c r="F1445" i="14"/>
  <c r="H1445" i="14" s="1"/>
  <c r="J1445" i="14" s="1"/>
  <c r="F1446" i="14"/>
  <c r="H1446" i="14" s="1"/>
  <c r="J1446" i="14" s="1"/>
  <c r="F1447" i="14"/>
  <c r="H1447" i="14" s="1"/>
  <c r="J1447" i="14" s="1"/>
  <c r="F1448" i="14"/>
  <c r="H1448" i="14" s="1"/>
  <c r="J1448" i="14" s="1"/>
  <c r="F1449" i="14"/>
  <c r="H1449" i="14" s="1"/>
  <c r="J1449" i="14" s="1"/>
  <c r="F1450" i="14"/>
  <c r="H1450" i="14" s="1"/>
  <c r="J1450" i="14" s="1"/>
  <c r="F1451" i="14"/>
  <c r="H1451" i="14" s="1"/>
  <c r="J1451" i="14" s="1"/>
  <c r="F1452" i="14"/>
  <c r="H1452" i="14" s="1"/>
  <c r="J1452" i="14" s="1"/>
  <c r="F1453" i="14"/>
  <c r="H1453" i="14" s="1"/>
  <c r="J1453" i="14" s="1"/>
  <c r="F1454" i="14"/>
  <c r="H1454" i="14" s="1"/>
  <c r="J1454" i="14" s="1"/>
  <c r="F1455" i="14"/>
  <c r="H1455" i="14" s="1"/>
  <c r="J1455" i="14" s="1"/>
  <c r="F1456" i="14"/>
  <c r="H1456" i="14" s="1"/>
  <c r="J1456" i="14" s="1"/>
  <c r="F1457" i="14"/>
  <c r="H1457" i="14" s="1"/>
  <c r="J1457" i="14" s="1"/>
  <c r="F1458" i="14"/>
  <c r="H1458" i="14" s="1"/>
  <c r="J1458" i="14" s="1"/>
  <c r="F1459" i="14"/>
  <c r="H1459" i="14" s="1"/>
  <c r="J1459" i="14" s="1"/>
  <c r="F1460" i="14"/>
  <c r="H1460" i="14" s="1"/>
  <c r="J1460" i="14" s="1"/>
  <c r="F1461" i="14"/>
  <c r="H1461" i="14" s="1"/>
  <c r="J1461" i="14" s="1"/>
  <c r="F1462" i="14"/>
  <c r="H1462" i="14" s="1"/>
  <c r="J1462" i="14" s="1"/>
  <c r="F1463" i="14"/>
  <c r="H1463" i="14" s="1"/>
  <c r="J1463" i="14" s="1"/>
  <c r="F1464" i="14"/>
  <c r="H1464" i="14" s="1"/>
  <c r="J1464" i="14" s="1"/>
  <c r="F1465" i="14"/>
  <c r="H1465" i="14" s="1"/>
  <c r="J1465" i="14" s="1"/>
  <c r="F1466" i="14"/>
  <c r="H1466" i="14" s="1"/>
  <c r="J1466" i="14" s="1"/>
  <c r="F1467" i="14"/>
  <c r="H1467" i="14" s="1"/>
  <c r="J1467" i="14" s="1"/>
  <c r="F1468" i="14"/>
  <c r="H1468" i="14" s="1"/>
  <c r="J1468" i="14" s="1"/>
  <c r="F1469" i="14"/>
  <c r="H1469" i="14" s="1"/>
  <c r="J1469" i="14" s="1"/>
  <c r="F1470" i="14"/>
  <c r="H1470" i="14" s="1"/>
  <c r="J1470" i="14" s="1"/>
  <c r="F1471" i="14"/>
  <c r="H1471" i="14" s="1"/>
  <c r="J1471" i="14" s="1"/>
  <c r="F1472" i="14"/>
  <c r="H1472" i="14" s="1"/>
  <c r="J1472" i="14" s="1"/>
  <c r="F1473" i="14"/>
  <c r="H1473" i="14" s="1"/>
  <c r="J1473" i="14" s="1"/>
  <c r="F1474" i="14"/>
  <c r="H1474" i="14" s="1"/>
  <c r="J1474" i="14" s="1"/>
  <c r="F1475" i="14"/>
  <c r="H1475" i="14" s="1"/>
  <c r="J1475" i="14" s="1"/>
  <c r="F1476" i="14"/>
  <c r="H1476" i="14" s="1"/>
  <c r="J1476" i="14" s="1"/>
  <c r="F1477" i="14"/>
  <c r="H1477" i="14" s="1"/>
  <c r="J1477" i="14" s="1"/>
  <c r="F1478" i="14"/>
  <c r="H1478" i="14" s="1"/>
  <c r="J1478" i="14" s="1"/>
  <c r="F1479" i="14"/>
  <c r="H1479" i="14" s="1"/>
  <c r="J1479" i="14" s="1"/>
  <c r="F1480" i="14"/>
  <c r="H1480" i="14" s="1"/>
  <c r="J1480" i="14" s="1"/>
  <c r="F1481" i="14"/>
  <c r="H1481" i="14" s="1"/>
  <c r="J1481" i="14" s="1"/>
  <c r="F1482" i="14"/>
  <c r="H1482" i="14" s="1"/>
  <c r="J1482" i="14" s="1"/>
  <c r="F1483" i="14"/>
  <c r="H1483" i="14" s="1"/>
  <c r="J1483" i="14" s="1"/>
  <c r="F1484" i="14"/>
  <c r="H1484" i="14" s="1"/>
  <c r="J1484" i="14" s="1"/>
  <c r="F1485" i="14"/>
  <c r="H1485" i="14" s="1"/>
  <c r="J1485" i="14" s="1"/>
  <c r="F1486" i="14"/>
  <c r="H1486" i="14" s="1"/>
  <c r="J1486" i="14" s="1"/>
  <c r="F1487" i="14"/>
  <c r="H1487" i="14" s="1"/>
  <c r="J1487" i="14" s="1"/>
  <c r="F1488" i="14"/>
  <c r="H1488" i="14" s="1"/>
  <c r="J1488" i="14" s="1"/>
  <c r="F1489" i="14"/>
  <c r="H1489" i="14" s="1"/>
  <c r="J1489" i="14" s="1"/>
  <c r="F1490" i="14"/>
  <c r="H1490" i="14" s="1"/>
  <c r="J1490" i="14" s="1"/>
  <c r="F1491" i="14"/>
  <c r="H1491" i="14" s="1"/>
  <c r="J1491" i="14" s="1"/>
  <c r="F1492" i="14"/>
  <c r="H1492" i="14" s="1"/>
  <c r="J1492" i="14" s="1"/>
  <c r="F1493" i="14"/>
  <c r="H1493" i="14" s="1"/>
  <c r="J1493" i="14" s="1"/>
  <c r="F1494" i="14"/>
  <c r="H1494" i="14" s="1"/>
  <c r="J1494" i="14" s="1"/>
  <c r="F1495" i="14"/>
  <c r="H1495" i="14" s="1"/>
  <c r="J1495" i="14" s="1"/>
  <c r="F1496" i="14"/>
  <c r="H1496" i="14" s="1"/>
  <c r="J1496" i="14" s="1"/>
  <c r="F1497" i="14"/>
  <c r="H1497" i="14" s="1"/>
  <c r="J1497" i="14" s="1"/>
  <c r="F1498" i="14"/>
  <c r="H1498" i="14" s="1"/>
  <c r="J1498" i="14" s="1"/>
  <c r="F1499" i="14"/>
  <c r="H1499" i="14" s="1"/>
  <c r="J1499" i="14" s="1"/>
  <c r="F1500" i="14"/>
  <c r="H1500" i="14" s="1"/>
  <c r="J1500" i="14" s="1"/>
  <c r="F1501" i="14"/>
  <c r="H1501" i="14" s="1"/>
  <c r="J1501" i="14" s="1"/>
  <c r="F1502" i="14"/>
  <c r="H1502" i="14" s="1"/>
  <c r="J1502" i="14" s="1"/>
  <c r="F1503" i="14"/>
  <c r="H1503" i="14" s="1"/>
  <c r="J1503" i="14" s="1"/>
  <c r="F1504" i="14"/>
  <c r="H1504" i="14" s="1"/>
  <c r="J1504" i="14" s="1"/>
  <c r="F1505" i="14"/>
  <c r="H1505" i="14" s="1"/>
  <c r="J1505" i="14" s="1"/>
  <c r="F1506" i="14"/>
  <c r="H1506" i="14" s="1"/>
  <c r="J1506" i="14" s="1"/>
  <c r="F1507" i="14"/>
  <c r="H1507" i="14" s="1"/>
  <c r="J1507" i="14" s="1"/>
  <c r="F1508" i="14"/>
  <c r="H1508" i="14" s="1"/>
  <c r="J1508" i="14" s="1"/>
  <c r="F1509" i="14"/>
  <c r="H1509" i="14" s="1"/>
  <c r="J1509" i="14" s="1"/>
  <c r="F1510" i="14"/>
  <c r="H1510" i="14" s="1"/>
  <c r="J1510" i="14" s="1"/>
  <c r="F1511" i="14"/>
  <c r="H1511" i="14" s="1"/>
  <c r="J1511" i="14" s="1"/>
  <c r="F1512" i="14"/>
  <c r="H1512" i="14" s="1"/>
  <c r="J1512" i="14" s="1"/>
  <c r="F1513" i="14"/>
  <c r="H1513" i="14" s="1"/>
  <c r="J1513" i="14" s="1"/>
  <c r="F1514" i="14"/>
  <c r="H1514" i="14" s="1"/>
  <c r="J1514" i="14" s="1"/>
  <c r="F1515" i="14"/>
  <c r="H1515" i="14" s="1"/>
  <c r="J1515" i="14" s="1"/>
  <c r="F1516" i="14"/>
  <c r="H1516" i="14" s="1"/>
  <c r="J1516" i="14" s="1"/>
  <c r="F1517" i="14"/>
  <c r="H1517" i="14" s="1"/>
  <c r="J1517" i="14" s="1"/>
  <c r="F1518" i="14"/>
  <c r="H1518" i="14" s="1"/>
  <c r="J1518" i="14" s="1"/>
  <c r="F1519" i="14"/>
  <c r="H1519" i="14" s="1"/>
  <c r="J1519" i="14" s="1"/>
  <c r="F1520" i="14"/>
  <c r="H1520" i="14" s="1"/>
  <c r="J1520" i="14" s="1"/>
  <c r="F1521" i="14"/>
  <c r="H1521" i="14" s="1"/>
  <c r="J1521" i="14" s="1"/>
  <c r="F1522" i="14"/>
  <c r="H1522" i="14" s="1"/>
  <c r="J1522" i="14" s="1"/>
  <c r="F1523" i="14"/>
  <c r="H1523" i="14" s="1"/>
  <c r="J1523" i="14" s="1"/>
  <c r="F1524" i="14"/>
  <c r="H1524" i="14" s="1"/>
  <c r="J1524" i="14" s="1"/>
  <c r="F1525" i="14"/>
  <c r="H1525" i="14" s="1"/>
  <c r="J1525" i="14" s="1"/>
  <c r="F1526" i="14"/>
  <c r="H1526" i="14" s="1"/>
  <c r="J1526" i="14" s="1"/>
  <c r="F1527" i="14"/>
  <c r="H1527" i="14" s="1"/>
  <c r="J1527" i="14" s="1"/>
  <c r="F1528" i="14"/>
  <c r="H1528" i="14" s="1"/>
  <c r="J1528" i="14" s="1"/>
  <c r="F1529" i="14"/>
  <c r="H1529" i="14" s="1"/>
  <c r="J1529" i="14" s="1"/>
  <c r="F1530" i="14"/>
  <c r="H1530" i="14" s="1"/>
  <c r="J1530" i="14" s="1"/>
  <c r="F1531" i="14"/>
  <c r="H1531" i="14" s="1"/>
  <c r="J1531" i="14" s="1"/>
  <c r="F1532" i="14"/>
  <c r="H1532" i="14" s="1"/>
  <c r="J1532" i="14" s="1"/>
  <c r="F1533" i="14"/>
  <c r="H1533" i="14" s="1"/>
  <c r="J1533" i="14" s="1"/>
  <c r="F1534" i="14"/>
  <c r="H1534" i="14" s="1"/>
  <c r="J1534" i="14" s="1"/>
  <c r="F1535" i="14"/>
  <c r="H1535" i="14" s="1"/>
  <c r="J1535" i="14" s="1"/>
  <c r="F1536" i="14"/>
  <c r="H1536" i="14" s="1"/>
  <c r="J1536" i="14" s="1"/>
  <c r="F1537" i="14"/>
  <c r="H1537" i="14" s="1"/>
  <c r="J1537" i="14" s="1"/>
  <c r="F1538" i="14"/>
  <c r="H1538" i="14" s="1"/>
  <c r="J1538" i="14" s="1"/>
  <c r="F1539" i="14"/>
  <c r="H1539" i="14" s="1"/>
  <c r="J1539" i="14" s="1"/>
  <c r="F1540" i="14"/>
  <c r="H1540" i="14" s="1"/>
  <c r="J1540" i="14" s="1"/>
  <c r="F1541" i="14"/>
  <c r="H1541" i="14" s="1"/>
  <c r="J1541" i="14" s="1"/>
  <c r="F1542" i="14"/>
  <c r="H1542" i="14" s="1"/>
  <c r="J1542" i="14" s="1"/>
  <c r="F1543" i="14"/>
  <c r="H1543" i="14" s="1"/>
  <c r="J1543" i="14" s="1"/>
  <c r="F1544" i="14"/>
  <c r="H1544" i="14" s="1"/>
  <c r="J1544" i="14" s="1"/>
  <c r="F1545" i="14"/>
  <c r="H1545" i="14" s="1"/>
  <c r="J1545" i="14" s="1"/>
  <c r="F1546" i="14"/>
  <c r="H1546" i="14" s="1"/>
  <c r="J1546" i="14" s="1"/>
  <c r="F1547" i="14"/>
  <c r="H1547" i="14" s="1"/>
  <c r="J1547" i="14" s="1"/>
  <c r="F1548" i="14"/>
  <c r="H1548" i="14" s="1"/>
  <c r="J1548" i="14" s="1"/>
  <c r="F1549" i="14"/>
  <c r="H1549" i="14" s="1"/>
  <c r="J1549" i="14" s="1"/>
  <c r="F1550" i="14"/>
  <c r="H1550" i="14" s="1"/>
  <c r="J1550" i="14" s="1"/>
  <c r="F1551" i="14"/>
  <c r="H1551" i="14" s="1"/>
  <c r="J1551" i="14" s="1"/>
  <c r="F1552" i="14"/>
  <c r="H1552" i="14" s="1"/>
  <c r="J1552" i="14" s="1"/>
  <c r="F1553" i="14"/>
  <c r="H1553" i="14" s="1"/>
  <c r="J1553" i="14" s="1"/>
  <c r="F1554" i="14"/>
  <c r="H1554" i="14" s="1"/>
  <c r="J1554" i="14" s="1"/>
  <c r="F1555" i="14"/>
  <c r="H1555" i="14" s="1"/>
  <c r="J1555" i="14" s="1"/>
  <c r="F1556" i="14"/>
  <c r="H1556" i="14" s="1"/>
  <c r="J1556" i="14" s="1"/>
  <c r="F1557" i="14"/>
  <c r="H1557" i="14" s="1"/>
  <c r="J1557" i="14" s="1"/>
  <c r="F1558" i="14"/>
  <c r="H1558" i="14" s="1"/>
  <c r="J1558" i="14" s="1"/>
  <c r="F1559" i="14"/>
  <c r="H1559" i="14" s="1"/>
  <c r="J1559" i="14" s="1"/>
  <c r="F1560" i="14"/>
  <c r="H1560" i="14" s="1"/>
  <c r="J1560" i="14" s="1"/>
  <c r="F1561" i="14"/>
  <c r="H1561" i="14" s="1"/>
  <c r="J1561" i="14" s="1"/>
  <c r="F1562" i="14"/>
  <c r="H1562" i="14" s="1"/>
  <c r="J1562" i="14" s="1"/>
  <c r="F1563" i="14"/>
  <c r="H1563" i="14" s="1"/>
  <c r="J1563" i="14" s="1"/>
  <c r="F1564" i="14"/>
  <c r="H1564" i="14" s="1"/>
  <c r="J1564" i="14" s="1"/>
  <c r="F1565" i="14"/>
  <c r="H1565" i="14" s="1"/>
  <c r="J1565" i="14" s="1"/>
  <c r="F1566" i="14"/>
  <c r="H1566" i="14" s="1"/>
  <c r="J1566" i="14" s="1"/>
  <c r="F1567" i="14"/>
  <c r="H1567" i="14" s="1"/>
  <c r="J1567" i="14" s="1"/>
  <c r="F1568" i="14"/>
  <c r="H1568" i="14" s="1"/>
  <c r="J1568" i="14" s="1"/>
  <c r="F1569" i="14"/>
  <c r="H1569" i="14" s="1"/>
  <c r="J1569" i="14" s="1"/>
  <c r="F1570" i="14"/>
  <c r="H1570" i="14" s="1"/>
  <c r="J1570" i="14" s="1"/>
  <c r="F1571" i="14"/>
  <c r="H1571" i="14" s="1"/>
  <c r="J1571" i="14" s="1"/>
  <c r="F1572" i="14"/>
  <c r="H1572" i="14" s="1"/>
  <c r="J1572" i="14" s="1"/>
  <c r="F1573" i="14"/>
  <c r="H1573" i="14" s="1"/>
  <c r="J1573" i="14" s="1"/>
  <c r="F1574" i="14"/>
  <c r="H1574" i="14" s="1"/>
  <c r="J1574" i="14" s="1"/>
  <c r="F1575" i="14"/>
  <c r="H1575" i="14" s="1"/>
  <c r="J1575" i="14" s="1"/>
  <c r="F1576" i="14"/>
  <c r="H1576" i="14" s="1"/>
  <c r="J1576" i="14" s="1"/>
  <c r="F1577" i="14"/>
  <c r="H1577" i="14" s="1"/>
  <c r="J1577" i="14" s="1"/>
  <c r="F1578" i="14"/>
  <c r="H1578" i="14" s="1"/>
  <c r="J1578" i="14" s="1"/>
  <c r="F1579" i="14"/>
  <c r="H1579" i="14" s="1"/>
  <c r="J1579" i="14" s="1"/>
  <c r="F1580" i="14"/>
  <c r="H1580" i="14" s="1"/>
  <c r="J1580" i="14" s="1"/>
  <c r="F1581" i="14"/>
  <c r="H1581" i="14" s="1"/>
  <c r="J1581" i="14" s="1"/>
  <c r="F1582" i="14"/>
  <c r="H1582" i="14" s="1"/>
  <c r="J1582" i="14" s="1"/>
  <c r="F1583" i="14"/>
  <c r="H1583" i="14" s="1"/>
  <c r="J1583" i="14" s="1"/>
  <c r="F1584" i="14"/>
  <c r="H1584" i="14" s="1"/>
  <c r="J1584" i="14" s="1"/>
  <c r="F1585" i="14"/>
  <c r="H1585" i="14" s="1"/>
  <c r="J1585" i="14" s="1"/>
  <c r="F1586" i="14"/>
  <c r="H1586" i="14" s="1"/>
  <c r="J1586" i="14" s="1"/>
  <c r="F1587" i="14"/>
  <c r="H1587" i="14" s="1"/>
  <c r="J1587" i="14" s="1"/>
  <c r="F1588" i="14"/>
  <c r="H1588" i="14" s="1"/>
  <c r="J1588" i="14" s="1"/>
  <c r="F1589" i="14"/>
  <c r="H1589" i="14" s="1"/>
  <c r="J1589" i="14" s="1"/>
  <c r="F1590" i="14"/>
  <c r="H1590" i="14" s="1"/>
  <c r="J1590" i="14" s="1"/>
  <c r="F1591" i="14"/>
  <c r="H1591" i="14" s="1"/>
  <c r="J1591" i="14" s="1"/>
  <c r="F1592" i="14"/>
  <c r="H1592" i="14" s="1"/>
  <c r="J1592" i="14" s="1"/>
  <c r="F1593" i="14"/>
  <c r="H1593" i="14" s="1"/>
  <c r="J1593" i="14" s="1"/>
  <c r="F1594" i="14"/>
  <c r="H1594" i="14" s="1"/>
  <c r="J1594" i="14" s="1"/>
  <c r="F1595" i="14"/>
  <c r="H1595" i="14" s="1"/>
  <c r="J1595" i="14" s="1"/>
  <c r="F1596" i="14"/>
  <c r="H1596" i="14" s="1"/>
  <c r="J1596" i="14" s="1"/>
  <c r="F1597" i="14"/>
  <c r="H1597" i="14" s="1"/>
  <c r="J1597" i="14" s="1"/>
  <c r="F1598" i="14"/>
  <c r="H1598" i="14" s="1"/>
  <c r="J1598" i="14" s="1"/>
  <c r="F1599" i="14"/>
  <c r="H1599" i="14" s="1"/>
  <c r="J1599" i="14" s="1"/>
  <c r="F1600" i="14"/>
  <c r="H1600" i="14" s="1"/>
  <c r="J1600" i="14" s="1"/>
  <c r="F1601" i="14"/>
  <c r="H1601" i="14" s="1"/>
  <c r="J1601" i="14" s="1"/>
  <c r="F1602" i="14"/>
  <c r="H1602" i="14" s="1"/>
  <c r="J1602" i="14" s="1"/>
  <c r="F1603" i="14"/>
  <c r="H1603" i="14" s="1"/>
  <c r="J1603" i="14" s="1"/>
  <c r="F1604" i="14"/>
  <c r="H1604" i="14" s="1"/>
  <c r="J1604" i="14" s="1"/>
  <c r="F1605" i="14"/>
  <c r="H1605" i="14" s="1"/>
  <c r="J1605" i="14" s="1"/>
  <c r="F1606" i="14"/>
  <c r="H1606" i="14" s="1"/>
  <c r="J1606" i="14" s="1"/>
  <c r="F1607" i="14"/>
  <c r="H1607" i="14" s="1"/>
  <c r="J1607" i="14" s="1"/>
  <c r="F1608" i="14"/>
  <c r="H1608" i="14" s="1"/>
  <c r="J1608" i="14" s="1"/>
  <c r="F1609" i="14"/>
  <c r="H1609" i="14" s="1"/>
  <c r="J1609" i="14" s="1"/>
  <c r="F1610" i="14"/>
  <c r="H1610" i="14" s="1"/>
  <c r="J1610" i="14" s="1"/>
  <c r="F1611" i="14"/>
  <c r="H1611" i="14" s="1"/>
  <c r="J1611" i="14" s="1"/>
  <c r="F1612" i="14"/>
  <c r="H1612" i="14" s="1"/>
  <c r="J1612" i="14" s="1"/>
  <c r="F1613" i="14"/>
  <c r="H1613" i="14" s="1"/>
  <c r="J1613" i="14" s="1"/>
  <c r="F1614" i="14"/>
  <c r="H1614" i="14" s="1"/>
  <c r="J1614" i="14" s="1"/>
  <c r="F1615" i="14"/>
  <c r="H1615" i="14" s="1"/>
  <c r="J1615" i="14" s="1"/>
  <c r="F1616" i="14"/>
  <c r="H1616" i="14" s="1"/>
  <c r="J1616" i="14" s="1"/>
  <c r="F1617" i="14"/>
  <c r="H1617" i="14" s="1"/>
  <c r="J1617" i="14" s="1"/>
  <c r="F1618" i="14"/>
  <c r="H1618" i="14" s="1"/>
  <c r="J1618" i="14" s="1"/>
  <c r="F1619" i="14"/>
  <c r="H1619" i="14" s="1"/>
  <c r="J1619" i="14" s="1"/>
  <c r="F1620" i="14"/>
  <c r="H1620" i="14" s="1"/>
  <c r="J1620" i="14" s="1"/>
  <c r="F1621" i="14"/>
  <c r="H1621" i="14" s="1"/>
  <c r="J1621" i="14" s="1"/>
  <c r="F1622" i="14"/>
  <c r="H1622" i="14" s="1"/>
  <c r="J1622" i="14" s="1"/>
  <c r="F1623" i="14"/>
  <c r="H1623" i="14" s="1"/>
  <c r="J1623" i="14" s="1"/>
  <c r="F1624" i="14"/>
  <c r="H1624" i="14" s="1"/>
  <c r="J1624" i="14" s="1"/>
  <c r="F1625" i="14"/>
  <c r="H1625" i="14" s="1"/>
  <c r="J1625" i="14" s="1"/>
  <c r="F1626" i="14"/>
  <c r="H1626" i="14" s="1"/>
  <c r="J1626" i="14" s="1"/>
  <c r="F1627" i="14"/>
  <c r="H1627" i="14" s="1"/>
  <c r="J1627" i="14" s="1"/>
  <c r="F1628" i="14"/>
  <c r="H1628" i="14" s="1"/>
  <c r="J1628" i="14" s="1"/>
  <c r="F1629" i="14"/>
  <c r="H1629" i="14" s="1"/>
  <c r="J1629" i="14" s="1"/>
  <c r="F1630" i="14"/>
  <c r="H1630" i="14" s="1"/>
  <c r="J1630" i="14" s="1"/>
  <c r="F1631" i="14"/>
  <c r="H1631" i="14" s="1"/>
  <c r="J1631" i="14" s="1"/>
  <c r="F1632" i="14"/>
  <c r="H1632" i="14" s="1"/>
  <c r="J1632" i="14" s="1"/>
  <c r="F1633" i="14"/>
  <c r="H1633" i="14" s="1"/>
  <c r="J1633" i="14" s="1"/>
  <c r="F1634" i="14"/>
  <c r="H1634" i="14" s="1"/>
  <c r="J1634" i="14" s="1"/>
  <c r="F1635" i="14"/>
  <c r="H1635" i="14" s="1"/>
  <c r="J1635" i="14" s="1"/>
  <c r="F1636" i="14"/>
  <c r="H1636" i="14" s="1"/>
  <c r="J1636" i="14" s="1"/>
  <c r="F1637" i="14"/>
  <c r="H1637" i="14" s="1"/>
  <c r="J1637" i="14" s="1"/>
  <c r="F1638" i="14"/>
  <c r="H1638" i="14" s="1"/>
  <c r="J1638" i="14" s="1"/>
  <c r="F1639" i="14"/>
  <c r="H1639" i="14" s="1"/>
  <c r="J1639" i="14" s="1"/>
  <c r="F1640" i="14"/>
  <c r="H1640" i="14" s="1"/>
  <c r="J1640" i="14" s="1"/>
  <c r="F1641" i="14"/>
  <c r="H1641" i="14" s="1"/>
  <c r="J1641" i="14" s="1"/>
  <c r="F1642" i="14"/>
  <c r="H1642" i="14" s="1"/>
  <c r="J1642" i="14" s="1"/>
  <c r="F1643" i="14"/>
  <c r="H1643" i="14" s="1"/>
  <c r="J1643" i="14" s="1"/>
  <c r="F1644" i="14"/>
  <c r="H1644" i="14" s="1"/>
  <c r="J1644" i="14" s="1"/>
  <c r="F1645" i="14"/>
  <c r="H1645" i="14" s="1"/>
  <c r="J1645" i="14" s="1"/>
  <c r="F1646" i="14"/>
  <c r="H1646" i="14" s="1"/>
  <c r="J1646" i="14" s="1"/>
  <c r="F1647" i="14"/>
  <c r="H1647" i="14" s="1"/>
  <c r="J1647" i="14" s="1"/>
  <c r="F1648" i="14"/>
  <c r="H1648" i="14" s="1"/>
  <c r="J1648" i="14" s="1"/>
  <c r="F1649" i="14"/>
  <c r="H1649" i="14" s="1"/>
  <c r="J1649" i="14" s="1"/>
  <c r="F1650" i="14"/>
  <c r="H1650" i="14" s="1"/>
  <c r="J1650" i="14" s="1"/>
  <c r="F1651" i="14"/>
  <c r="H1651" i="14" s="1"/>
  <c r="J1651" i="14" s="1"/>
  <c r="F1652" i="14"/>
  <c r="H1652" i="14" s="1"/>
  <c r="J1652" i="14" s="1"/>
  <c r="F1653" i="14"/>
  <c r="H1653" i="14" s="1"/>
  <c r="J1653" i="14" s="1"/>
  <c r="F1654" i="14"/>
  <c r="H1654" i="14" s="1"/>
  <c r="J1654" i="14" s="1"/>
  <c r="F1655" i="14"/>
  <c r="H1655" i="14" s="1"/>
  <c r="J1655" i="14" s="1"/>
  <c r="F1656" i="14"/>
  <c r="H1656" i="14" s="1"/>
  <c r="J1656" i="14" s="1"/>
  <c r="F1657" i="14"/>
  <c r="H1657" i="14" s="1"/>
  <c r="J1657" i="14" s="1"/>
  <c r="F2" i="14"/>
  <c r="H2" i="14" s="1"/>
  <c r="J2" i="14" s="1"/>
  <c r="N6" i="11"/>
  <c r="N7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3" i="11"/>
  <c r="K6" i="11"/>
  <c r="K7" i="11"/>
  <c r="K10" i="11"/>
  <c r="K11" i="11"/>
  <c r="K12" i="11"/>
  <c r="K13" i="11"/>
  <c r="K14" i="11"/>
  <c r="K15" i="11"/>
  <c r="K16" i="11"/>
  <c r="K17" i="11"/>
  <c r="K18" i="11"/>
  <c r="K19" i="11"/>
  <c r="K20" i="11"/>
  <c r="K3" i="11"/>
  <c r="J6" i="11"/>
  <c r="J7" i="11"/>
  <c r="J9" i="11"/>
  <c r="K9" i="11" s="1"/>
  <c r="J10" i="11"/>
  <c r="J11" i="11"/>
  <c r="J12" i="11"/>
  <c r="J13" i="11"/>
  <c r="J14" i="11"/>
  <c r="J15" i="11"/>
  <c r="J16" i="11"/>
  <c r="J17" i="11"/>
  <c r="J18" i="11"/>
  <c r="J19" i="11"/>
  <c r="J20" i="11"/>
  <c r="J3" i="11"/>
  <c r="G4" i="11"/>
  <c r="J4" i="11" s="1"/>
  <c r="K4" i="11" s="1"/>
  <c r="N4" i="11" s="1"/>
  <c r="G6" i="11"/>
  <c r="G7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F4" i="11"/>
  <c r="F5" i="11"/>
  <c r="G5" i="11" s="1"/>
  <c r="J5" i="11" s="1"/>
  <c r="K5" i="11" s="1"/>
  <c r="N5" i="11" s="1"/>
  <c r="F6" i="11"/>
  <c r="F7" i="11"/>
  <c r="F8" i="11"/>
  <c r="G8" i="11" s="1"/>
  <c r="J8" i="11" s="1"/>
  <c r="K8" i="11" s="1"/>
  <c r="N8" i="11" s="1"/>
  <c r="F9" i="11"/>
  <c r="F10" i="11"/>
  <c r="F11" i="11"/>
  <c r="F12" i="11"/>
  <c r="F13" i="11"/>
  <c r="F14" i="11"/>
  <c r="F15" i="11"/>
  <c r="F16" i="11"/>
  <c r="F17" i="11"/>
  <c r="F18" i="11"/>
  <c r="F19" i="11"/>
  <c r="F20" i="11"/>
  <c r="F3" i="11"/>
  <c r="G3" i="11" s="1"/>
  <c r="T94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2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B94" i="10"/>
  <c r="A2" i="14" a="1"/>
  <c r="J381" i="14" l="1"/>
  <c r="J992" i="14"/>
  <c r="J932" i="14"/>
  <c r="J788" i="14"/>
  <c r="J810" i="14"/>
  <c r="J726" i="14"/>
  <c r="J702" i="14"/>
  <c r="J678" i="14"/>
  <c r="J594" i="14"/>
  <c r="J892" i="14"/>
  <c r="J748" i="14"/>
  <c r="J263" i="14"/>
  <c r="J131" i="14"/>
  <c r="A2" i="14"/>
  <c r="D2" i="14" s="1"/>
  <c r="D12" i="14"/>
  <c r="D13" i="14"/>
  <c r="D25" i="14"/>
  <c r="D37" i="14"/>
  <c r="D49" i="14"/>
  <c r="D61" i="14"/>
  <c r="D73" i="14"/>
  <c r="D85" i="14"/>
  <c r="D97" i="14"/>
  <c r="D109" i="14"/>
  <c r="D121" i="14"/>
  <c r="D133" i="14"/>
  <c r="D145" i="14"/>
  <c r="D157" i="14"/>
  <c r="D169" i="14"/>
  <c r="D181" i="14"/>
  <c r="D193" i="14"/>
  <c r="D205" i="14"/>
  <c r="D217" i="14"/>
  <c r="D229" i="14"/>
  <c r="D241" i="14"/>
  <c r="D253" i="14"/>
  <c r="D265" i="14"/>
  <c r="D277" i="14"/>
  <c r="D289" i="14"/>
  <c r="D301" i="14"/>
  <c r="D313" i="14"/>
  <c r="D325" i="14"/>
  <c r="D337" i="14"/>
  <c r="D349" i="14"/>
  <c r="D361" i="14"/>
  <c r="D373" i="14"/>
  <c r="D385" i="14"/>
  <c r="D397" i="14"/>
  <c r="D409" i="14"/>
  <c r="D421" i="14"/>
  <c r="D433" i="14"/>
  <c r="D445" i="14"/>
  <c r="D457" i="14"/>
  <c r="D469" i="14"/>
  <c r="D481" i="14"/>
  <c r="D493" i="14"/>
  <c r="D505" i="14"/>
  <c r="D517" i="14"/>
  <c r="D529" i="14"/>
  <c r="D541" i="14"/>
  <c r="D553" i="14"/>
  <c r="D565" i="14"/>
  <c r="D577" i="14"/>
  <c r="D589" i="14"/>
  <c r="D601" i="14"/>
  <c r="D613" i="14"/>
  <c r="D625" i="14"/>
  <c r="D637" i="14"/>
  <c r="D649" i="14"/>
  <c r="D661" i="14"/>
  <c r="D673" i="14"/>
  <c r="D685" i="14"/>
  <c r="D697" i="14"/>
  <c r="D709" i="14"/>
  <c r="D721" i="14"/>
  <c r="D733" i="14"/>
  <c r="D745" i="14"/>
  <c r="D757" i="14"/>
  <c r="D769" i="14"/>
  <c r="D781" i="14"/>
  <c r="D793" i="14"/>
  <c r="D805" i="14"/>
  <c r="D817" i="14"/>
  <c r="D829" i="14"/>
  <c r="D841" i="14"/>
  <c r="D853" i="14"/>
  <c r="D865" i="14"/>
  <c r="D877" i="14"/>
  <c r="D889" i="14"/>
  <c r="D901" i="14"/>
  <c r="D913" i="14"/>
  <c r="D925" i="14"/>
  <c r="D937" i="14"/>
  <c r="D949" i="14"/>
  <c r="D961" i="14"/>
  <c r="D973" i="14"/>
  <c r="D985" i="14"/>
  <c r="D997" i="14"/>
  <c r="D1009" i="14"/>
  <c r="D1021" i="14"/>
  <c r="D7" i="14"/>
  <c r="D15" i="14"/>
  <c r="D28" i="14"/>
  <c r="D41" i="14"/>
  <c r="D54" i="14"/>
  <c r="D67" i="14"/>
  <c r="D80" i="14"/>
  <c r="D93" i="14"/>
  <c r="D106" i="14"/>
  <c r="D119" i="14"/>
  <c r="D132" i="14"/>
  <c r="D146" i="14"/>
  <c r="D159" i="14"/>
  <c r="D172" i="14"/>
  <c r="D185" i="14"/>
  <c r="D198" i="14"/>
  <c r="D211" i="14"/>
  <c r="D224" i="14"/>
  <c r="D237" i="14"/>
  <c r="D250" i="14"/>
  <c r="D263" i="14"/>
  <c r="D276" i="14"/>
  <c r="D290" i="14"/>
  <c r="D303" i="14"/>
  <c r="D316" i="14"/>
  <c r="D329" i="14"/>
  <c r="D342" i="14"/>
  <c r="D355" i="14"/>
  <c r="D368" i="14"/>
  <c r="D381" i="14"/>
  <c r="D394" i="14"/>
  <c r="D407" i="14"/>
  <c r="D420" i="14"/>
  <c r="D434" i="14"/>
  <c r="D447" i="14"/>
  <c r="D460" i="14"/>
  <c r="D473" i="14"/>
  <c r="D486" i="14"/>
  <c r="D499" i="14"/>
  <c r="D512" i="14"/>
  <c r="D525" i="14"/>
  <c r="D538" i="14"/>
  <c r="D551" i="14"/>
  <c r="D564" i="14"/>
  <c r="D578" i="14"/>
  <c r="D591" i="14"/>
  <c r="D604" i="14"/>
  <c r="D617" i="14"/>
  <c r="D630" i="14"/>
  <c r="D643" i="14"/>
  <c r="D656" i="14"/>
  <c r="D669" i="14"/>
  <c r="D682" i="14"/>
  <c r="D695" i="14"/>
  <c r="D708" i="14"/>
  <c r="D722" i="14"/>
  <c r="D735" i="14"/>
  <c r="D748" i="14"/>
  <c r="D761" i="14"/>
  <c r="D774" i="14"/>
  <c r="D787" i="14"/>
  <c r="D800" i="14"/>
  <c r="D813" i="14"/>
  <c r="D826" i="14"/>
  <c r="D839" i="14"/>
  <c r="D852" i="14"/>
  <c r="D866" i="14"/>
  <c r="D879" i="14"/>
  <c r="D892" i="14"/>
  <c r="D905" i="14"/>
  <c r="D918" i="14"/>
  <c r="D931" i="14"/>
  <c r="D944" i="14"/>
  <c r="D957" i="14"/>
  <c r="D970" i="14"/>
  <c r="D983" i="14"/>
  <c r="D996" i="14"/>
  <c r="D1010" i="14"/>
  <c r="D1023" i="14"/>
  <c r="D1035" i="14"/>
  <c r="D1047" i="14"/>
  <c r="D1059" i="14"/>
  <c r="D1071" i="14"/>
  <c r="D1083" i="14"/>
  <c r="D1095" i="14"/>
  <c r="D1107" i="14"/>
  <c r="D16" i="14"/>
  <c r="D29" i="14"/>
  <c r="D42" i="14"/>
  <c r="D55" i="14"/>
  <c r="D68" i="14"/>
  <c r="D81" i="14"/>
  <c r="D94" i="14"/>
  <c r="D107" i="14"/>
  <c r="D120" i="14"/>
  <c r="D134" i="14"/>
  <c r="D147" i="14"/>
  <c r="D160" i="14"/>
  <c r="D173" i="14"/>
  <c r="D186" i="14"/>
  <c r="D199" i="14"/>
  <c r="D212" i="14"/>
  <c r="D225" i="14"/>
  <c r="D238" i="14"/>
  <c r="D251" i="14"/>
  <c r="D264" i="14"/>
  <c r="D278" i="14"/>
  <c r="D291" i="14"/>
  <c r="D304" i="14"/>
  <c r="D317" i="14"/>
  <c r="D330" i="14"/>
  <c r="D343" i="14"/>
  <c r="D356" i="14"/>
  <c r="D369" i="14"/>
  <c r="D382" i="14"/>
  <c r="D395" i="14"/>
  <c r="D408" i="14"/>
  <c r="D422" i="14"/>
  <c r="D435" i="14"/>
  <c r="D448" i="14"/>
  <c r="D461" i="14"/>
  <c r="D474" i="14"/>
  <c r="D487" i="14"/>
  <c r="D500" i="14"/>
  <c r="D513" i="14"/>
  <c r="D526" i="14"/>
  <c r="D539" i="14"/>
  <c r="D552" i="14"/>
  <c r="D566" i="14"/>
  <c r="D579" i="14"/>
  <c r="D592" i="14"/>
  <c r="D605" i="14"/>
  <c r="D618" i="14"/>
  <c r="D631" i="14"/>
  <c r="D644" i="14"/>
  <c r="D657" i="14"/>
  <c r="D670" i="14"/>
  <c r="D683" i="14"/>
  <c r="D696" i="14"/>
  <c r="D710" i="14"/>
  <c r="D723" i="14"/>
  <c r="D736" i="14"/>
  <c r="D749" i="14"/>
  <c r="D762" i="14"/>
  <c r="D775" i="14"/>
  <c r="D788" i="14"/>
  <c r="D801" i="14"/>
  <c r="D814" i="14"/>
  <c r="D827" i="14"/>
  <c r="D840" i="14"/>
  <c r="D854" i="14"/>
  <c r="D867" i="14"/>
  <c r="D880" i="14"/>
  <c r="D893" i="14"/>
  <c r="D906" i="14"/>
  <c r="D919" i="14"/>
  <c r="D932" i="14"/>
  <c r="D945" i="14"/>
  <c r="D958" i="14"/>
  <c r="D971" i="14"/>
  <c r="D984" i="14"/>
  <c r="D998" i="14"/>
  <c r="D1011" i="14"/>
  <c r="D1024" i="14"/>
  <c r="D1036" i="14"/>
  <c r="D1048" i="14"/>
  <c r="D1060" i="14"/>
  <c r="D1072" i="14"/>
  <c r="D1084" i="14"/>
  <c r="D1096" i="14"/>
  <c r="D1108" i="14"/>
  <c r="D1120" i="14"/>
  <c r="D1132" i="14"/>
  <c r="D1144" i="14"/>
  <c r="D1156" i="14"/>
  <c r="D1168" i="14"/>
  <c r="D1180" i="14"/>
  <c r="D1192" i="14"/>
  <c r="D1204" i="14"/>
  <c r="D8" i="14"/>
  <c r="D22" i="14"/>
  <c r="D35" i="14"/>
  <c r="D48" i="14"/>
  <c r="D62" i="14"/>
  <c r="D75" i="14"/>
  <c r="D88" i="14"/>
  <c r="D101" i="14"/>
  <c r="D114" i="14"/>
  <c r="D18" i="14"/>
  <c r="D34" i="14"/>
  <c r="D52" i="14"/>
  <c r="D70" i="14"/>
  <c r="D87" i="14"/>
  <c r="D104" i="14"/>
  <c r="D123" i="14"/>
  <c r="D138" i="14"/>
  <c r="D153" i="14"/>
  <c r="D168" i="14"/>
  <c r="D184" i="14"/>
  <c r="D201" i="14"/>
  <c r="D216" i="14"/>
  <c r="D232" i="14"/>
  <c r="D247" i="14"/>
  <c r="D262" i="14"/>
  <c r="D280" i="14"/>
  <c r="D295" i="14"/>
  <c r="D310" i="14"/>
  <c r="D326" i="14"/>
  <c r="D341" i="14"/>
  <c r="D358" i="14"/>
  <c r="D374" i="14"/>
  <c r="D389" i="14"/>
  <c r="D404" i="14"/>
  <c r="D419" i="14"/>
  <c r="D437" i="14"/>
  <c r="D452" i="14"/>
  <c r="D467" i="14"/>
  <c r="D483" i="14"/>
  <c r="D498" i="14"/>
  <c r="D515" i="14"/>
  <c r="D531" i="14"/>
  <c r="D546" i="14"/>
  <c r="D561" i="14"/>
  <c r="D576" i="14"/>
  <c r="D594" i="14"/>
  <c r="D609" i="14"/>
  <c r="D624" i="14"/>
  <c r="D640" i="14"/>
  <c r="D655" i="14"/>
  <c r="D672" i="14"/>
  <c r="D688" i="14"/>
  <c r="D703" i="14"/>
  <c r="D718" i="14"/>
  <c r="D734" i="14"/>
  <c r="D751" i="14"/>
  <c r="D766" i="14"/>
  <c r="D782" i="14"/>
  <c r="D797" i="14"/>
  <c r="D812" i="14"/>
  <c r="D830" i="14"/>
  <c r="D845" i="14"/>
  <c r="D860" i="14"/>
  <c r="D875" i="14"/>
  <c r="D891" i="14"/>
  <c r="D908" i="14"/>
  <c r="D923" i="14"/>
  <c r="D939" i="14"/>
  <c r="D954" i="14"/>
  <c r="D969" i="14"/>
  <c r="D987" i="14"/>
  <c r="D1002" i="14"/>
  <c r="D1017" i="14"/>
  <c r="D1032" i="14"/>
  <c r="D1046" i="14"/>
  <c r="D1062" i="14"/>
  <c r="D1076" i="14"/>
  <c r="D1090" i="14"/>
  <c r="D1104" i="14"/>
  <c r="D1118" i="14"/>
  <c r="D1131" i="14"/>
  <c r="D1145" i="14"/>
  <c r="D1158" i="14"/>
  <c r="D1171" i="14"/>
  <c r="D1184" i="14"/>
  <c r="D1197" i="14"/>
  <c r="D1210" i="14"/>
  <c r="D1222" i="14"/>
  <c r="D1234" i="14"/>
  <c r="D1246" i="14"/>
  <c r="D1258" i="14"/>
  <c r="D1270" i="14"/>
  <c r="D1282" i="14"/>
  <c r="D1294" i="14"/>
  <c r="D1306" i="14"/>
  <c r="D1318" i="14"/>
  <c r="D1330" i="14"/>
  <c r="D1342" i="14"/>
  <c r="D1354" i="14"/>
  <c r="D1366" i="14"/>
  <c r="D1378" i="14"/>
  <c r="D1390" i="14"/>
  <c r="D1402" i="14"/>
  <c r="D1414" i="14"/>
  <c r="D1426" i="14"/>
  <c r="D1438" i="14"/>
  <c r="D1450" i="14"/>
  <c r="D1462" i="14"/>
  <c r="D1474" i="14"/>
  <c r="D1486" i="14"/>
  <c r="D1498" i="14"/>
  <c r="D1510" i="14"/>
  <c r="D1522" i="14"/>
  <c r="D1534" i="14"/>
  <c r="D1546" i="14"/>
  <c r="D1558" i="14"/>
  <c r="D1570" i="14"/>
  <c r="D1582" i="14"/>
  <c r="D1594" i="14"/>
  <c r="D1606" i="14"/>
  <c r="D1618" i="14"/>
  <c r="D1630" i="14"/>
  <c r="D1642" i="14"/>
  <c r="D1654" i="14"/>
  <c r="D454" i="14"/>
  <c r="D533" i="14"/>
  <c r="D548" i="14"/>
  <c r="D581" i="14"/>
  <c r="D596" i="14"/>
  <c r="D611" i="14"/>
  <c r="D642" i="14"/>
  <c r="D690" i="14"/>
  <c r="D720" i="14"/>
  <c r="D753" i="14"/>
  <c r="D799" i="14"/>
  <c r="D832" i="14"/>
  <c r="D878" i="14"/>
  <c r="D910" i="14"/>
  <c r="D941" i="14"/>
  <c r="D989" i="14"/>
  <c r="D1019" i="14"/>
  <c r="D1064" i="14"/>
  <c r="D1078" i="14"/>
  <c r="D1121" i="14"/>
  <c r="D1134" i="14"/>
  <c r="D1173" i="14"/>
  <c r="D1186" i="14"/>
  <c r="D1212" i="14"/>
  <c r="D1248" i="14"/>
  <c r="D1284" i="14"/>
  <c r="D1320" i="14"/>
  <c r="D1356" i="14"/>
  <c r="D1368" i="14"/>
  <c r="D1404" i="14"/>
  <c r="D1416" i="14"/>
  <c r="D1452" i="14"/>
  <c r="D1464" i="14"/>
  <c r="D1512" i="14"/>
  <c r="D1536" i="14"/>
  <c r="D1560" i="14"/>
  <c r="D1596" i="14"/>
  <c r="D1620" i="14"/>
  <c r="D1644" i="14"/>
  <c r="D74" i="14"/>
  <c r="D314" i="14"/>
  <c r="D410" i="14"/>
  <c r="D455" i="14"/>
  <c r="D488" i="14"/>
  <c r="D549" i="14"/>
  <c r="D597" i="14"/>
  <c r="D612" i="14"/>
  <c r="D676" i="14"/>
  <c r="D739" i="14"/>
  <c r="D802" i="14"/>
  <c r="D863" i="14"/>
  <c r="D927" i="14"/>
  <c r="D1005" i="14"/>
  <c r="D1065" i="14"/>
  <c r="D1079" i="14"/>
  <c r="D19" i="14"/>
  <c r="D36" i="14"/>
  <c r="D53" i="14"/>
  <c r="D71" i="14"/>
  <c r="D89" i="14"/>
  <c r="D105" i="14"/>
  <c r="D124" i="14"/>
  <c r="D139" i="14"/>
  <c r="D154" i="14"/>
  <c r="D170" i="14"/>
  <c r="D187" i="14"/>
  <c r="D202" i="14"/>
  <c r="D218" i="14"/>
  <c r="D233" i="14"/>
  <c r="D248" i="14"/>
  <c r="D266" i="14"/>
  <c r="D281" i="14"/>
  <c r="D296" i="14"/>
  <c r="D311" i="14"/>
  <c r="D327" i="14"/>
  <c r="D344" i="14"/>
  <c r="D359" i="14"/>
  <c r="D375" i="14"/>
  <c r="D390" i="14"/>
  <c r="D405" i="14"/>
  <c r="D423" i="14"/>
  <c r="D438" i="14"/>
  <c r="D453" i="14"/>
  <c r="D468" i="14"/>
  <c r="D484" i="14"/>
  <c r="D501" i="14"/>
  <c r="D516" i="14"/>
  <c r="D532" i="14"/>
  <c r="D547" i="14"/>
  <c r="D562" i="14"/>
  <c r="D580" i="14"/>
  <c r="D595" i="14"/>
  <c r="D610" i="14"/>
  <c r="D626" i="14"/>
  <c r="D641" i="14"/>
  <c r="D658" i="14"/>
  <c r="D674" i="14"/>
  <c r="D689" i="14"/>
  <c r="D704" i="14"/>
  <c r="D719" i="14"/>
  <c r="D737" i="14"/>
  <c r="D752" i="14"/>
  <c r="D767" i="14"/>
  <c r="D783" i="14"/>
  <c r="D798" i="14"/>
  <c r="D815" i="14"/>
  <c r="D831" i="14"/>
  <c r="D846" i="14"/>
  <c r="D861" i="14"/>
  <c r="D876" i="14"/>
  <c r="D894" i="14"/>
  <c r="D909" i="14"/>
  <c r="D924" i="14"/>
  <c r="D940" i="14"/>
  <c r="D955" i="14"/>
  <c r="D972" i="14"/>
  <c r="D988" i="14"/>
  <c r="D1003" i="14"/>
  <c r="D1018" i="14"/>
  <c r="D1033" i="14"/>
  <c r="D1049" i="14"/>
  <c r="D1063" i="14"/>
  <c r="D1077" i="14"/>
  <c r="D1091" i="14"/>
  <c r="D1105" i="14"/>
  <c r="D1119" i="14"/>
  <c r="D1133" i="14"/>
  <c r="D1146" i="14"/>
  <c r="D1159" i="14"/>
  <c r="D1172" i="14"/>
  <c r="D1185" i="14"/>
  <c r="D1198" i="14"/>
  <c r="D1211" i="14"/>
  <c r="D1223" i="14"/>
  <c r="D1235" i="14"/>
  <c r="D1247" i="14"/>
  <c r="D1259" i="14"/>
  <c r="D1271" i="14"/>
  <c r="D1283" i="14"/>
  <c r="D1295" i="14"/>
  <c r="D1307" i="14"/>
  <c r="D1319" i="14"/>
  <c r="D1331" i="14"/>
  <c r="D1343" i="14"/>
  <c r="D1355" i="14"/>
  <c r="D1367" i="14"/>
  <c r="D1379" i="14"/>
  <c r="D1391" i="14"/>
  <c r="D1403" i="14"/>
  <c r="D1415" i="14"/>
  <c r="D1427" i="14"/>
  <c r="D1439" i="14"/>
  <c r="D1451" i="14"/>
  <c r="D1463" i="14"/>
  <c r="D1475" i="14"/>
  <c r="D1487" i="14"/>
  <c r="D1499" i="14"/>
  <c r="D1511" i="14"/>
  <c r="D1523" i="14"/>
  <c r="D1535" i="14"/>
  <c r="D1547" i="14"/>
  <c r="D1559" i="14"/>
  <c r="D1571" i="14"/>
  <c r="D1583" i="14"/>
  <c r="D1595" i="14"/>
  <c r="D1607" i="14"/>
  <c r="D1619" i="14"/>
  <c r="D1631" i="14"/>
  <c r="D1643" i="14"/>
  <c r="D1655" i="14"/>
  <c r="D424" i="14"/>
  <c r="D675" i="14"/>
  <c r="D768" i="14"/>
  <c r="D816" i="14"/>
  <c r="D847" i="14"/>
  <c r="D895" i="14"/>
  <c r="D926" i="14"/>
  <c r="D974" i="14"/>
  <c r="D1004" i="14"/>
  <c r="D1050" i="14"/>
  <c r="D1092" i="14"/>
  <c r="D1147" i="14"/>
  <c r="D1199" i="14"/>
  <c r="D1236" i="14"/>
  <c r="D1272" i="14"/>
  <c r="D1296" i="14"/>
  <c r="D1344" i="14"/>
  <c r="D1392" i="14"/>
  <c r="D1440" i="14"/>
  <c r="D1476" i="14"/>
  <c r="D1500" i="14"/>
  <c r="D1524" i="14"/>
  <c r="D1548" i="14"/>
  <c r="D1584" i="14"/>
  <c r="D1608" i="14"/>
  <c r="D1656" i="14"/>
  <c r="D91" i="14"/>
  <c r="D362" i="14"/>
  <c r="D440" i="14"/>
  <c r="D519" i="14"/>
  <c r="D628" i="14"/>
  <c r="D691" i="14"/>
  <c r="D706" i="14"/>
  <c r="D770" i="14"/>
  <c r="D833" i="14"/>
  <c r="D881" i="14"/>
  <c r="D942" i="14"/>
  <c r="D990" i="14"/>
  <c r="D1051" i="14"/>
  <c r="D1122" i="14"/>
  <c r="D20" i="14"/>
  <c r="D38" i="14"/>
  <c r="D56" i="14"/>
  <c r="D72" i="14"/>
  <c r="D90" i="14"/>
  <c r="D108" i="14"/>
  <c r="D125" i="14"/>
  <c r="D140" i="14"/>
  <c r="D155" i="14"/>
  <c r="D171" i="14"/>
  <c r="D188" i="14"/>
  <c r="D203" i="14"/>
  <c r="D219" i="14"/>
  <c r="D234" i="14"/>
  <c r="D249" i="14"/>
  <c r="D267" i="14"/>
  <c r="D282" i="14"/>
  <c r="D297" i="14"/>
  <c r="D312" i="14"/>
  <c r="D328" i="14"/>
  <c r="D345" i="14"/>
  <c r="D360" i="14"/>
  <c r="D376" i="14"/>
  <c r="D391" i="14"/>
  <c r="D406" i="14"/>
  <c r="D439" i="14"/>
  <c r="D470" i="14"/>
  <c r="D485" i="14"/>
  <c r="D502" i="14"/>
  <c r="D518" i="14"/>
  <c r="D563" i="14"/>
  <c r="D627" i="14"/>
  <c r="D659" i="14"/>
  <c r="D705" i="14"/>
  <c r="D738" i="14"/>
  <c r="D784" i="14"/>
  <c r="D862" i="14"/>
  <c r="D956" i="14"/>
  <c r="D1034" i="14"/>
  <c r="D1106" i="14"/>
  <c r="D1160" i="14"/>
  <c r="D1224" i="14"/>
  <c r="D1260" i="14"/>
  <c r="D1308" i="14"/>
  <c r="D1332" i="14"/>
  <c r="D1380" i="14"/>
  <c r="D1428" i="14"/>
  <c r="D1488" i="14"/>
  <c r="D1572" i="14"/>
  <c r="D1632" i="14"/>
  <c r="D110" i="14"/>
  <c r="D204" i="14"/>
  <c r="D235" i="14"/>
  <c r="D268" i="14"/>
  <c r="D298" i="14"/>
  <c r="D331" i="14"/>
  <c r="D377" i="14"/>
  <c r="D425" i="14"/>
  <c r="D503" i="14"/>
  <c r="D567" i="14"/>
  <c r="D645" i="14"/>
  <c r="D754" i="14"/>
  <c r="D785" i="14"/>
  <c r="D848" i="14"/>
  <c r="D911" i="14"/>
  <c r="D975" i="14"/>
  <c r="D1037" i="14"/>
  <c r="D1093" i="14"/>
  <c r="D3" i="14"/>
  <c r="D21" i="14"/>
  <c r="D39" i="14"/>
  <c r="D57" i="14"/>
  <c r="D126" i="14"/>
  <c r="D141" i="14"/>
  <c r="D156" i="14"/>
  <c r="D174" i="14"/>
  <c r="D189" i="14"/>
  <c r="D220" i="14"/>
  <c r="D252" i="14"/>
  <c r="D283" i="14"/>
  <c r="D346" i="14"/>
  <c r="D392" i="14"/>
  <c r="D471" i="14"/>
  <c r="D534" i="14"/>
  <c r="D582" i="14"/>
  <c r="D660" i="14"/>
  <c r="D724" i="14"/>
  <c r="D818" i="14"/>
  <c r="D896" i="14"/>
  <c r="D959" i="14"/>
  <c r="D1020" i="14"/>
  <c r="D1109" i="14"/>
  <c r="D24" i="14"/>
  <c r="D47" i="14"/>
  <c r="D77" i="14"/>
  <c r="D100" i="14"/>
  <c r="D128" i="14"/>
  <c r="D150" i="14"/>
  <c r="D176" i="14"/>
  <c r="D196" i="14"/>
  <c r="D222" i="14"/>
  <c r="D244" i="14"/>
  <c r="D270" i="14"/>
  <c r="D292" i="14"/>
  <c r="D318" i="14"/>
  <c r="D338" i="14"/>
  <c r="D364" i="14"/>
  <c r="D386" i="14"/>
  <c r="D412" i="14"/>
  <c r="D431" i="14"/>
  <c r="D458" i="14"/>
  <c r="D479" i="14"/>
  <c r="D506" i="14"/>
  <c r="D527" i="14"/>
  <c r="D554" i="14"/>
  <c r="D573" i="14"/>
  <c r="D599" i="14"/>
  <c r="D621" i="14"/>
  <c r="D647" i="14"/>
  <c r="D667" i="14"/>
  <c r="D693" i="14"/>
  <c r="D715" i="14"/>
  <c r="D741" i="14"/>
  <c r="D763" i="14"/>
  <c r="D789" i="14"/>
  <c r="D809" i="14"/>
  <c r="D835" i="14"/>
  <c r="D857" i="14"/>
  <c r="D883" i="14"/>
  <c r="D903" i="14"/>
  <c r="D929" i="14"/>
  <c r="D951" i="14"/>
  <c r="D977" i="14"/>
  <c r="D999" i="14"/>
  <c r="D1025" i="14"/>
  <c r="D1043" i="14"/>
  <c r="D1067" i="14"/>
  <c r="D1087" i="14"/>
  <c r="D1111" i="14"/>
  <c r="D1128" i="14"/>
  <c r="D1148" i="14"/>
  <c r="D1164" i="14"/>
  <c r="D1181" i="14"/>
  <c r="D1200" i="14"/>
  <c r="D1216" i="14"/>
  <c r="D1231" i="14"/>
  <c r="D1249" i="14"/>
  <c r="D1264" i="14"/>
  <c r="D1279" i="14"/>
  <c r="D1297" i="14"/>
  <c r="D1312" i="14"/>
  <c r="D1327" i="14"/>
  <c r="D1345" i="14"/>
  <c r="D1360" i="14"/>
  <c r="D1375" i="14"/>
  <c r="D1393" i="14"/>
  <c r="D1408" i="14"/>
  <c r="D1423" i="14"/>
  <c r="D1441" i="14"/>
  <c r="D1456" i="14"/>
  <c r="D1471" i="14"/>
  <c r="D1489" i="14"/>
  <c r="D1504" i="14"/>
  <c r="D1519" i="14"/>
  <c r="D26" i="14"/>
  <c r="D50" i="14"/>
  <c r="D78" i="14"/>
  <c r="D102" i="14"/>
  <c r="D129" i="14"/>
  <c r="D151" i="14"/>
  <c r="D177" i="14"/>
  <c r="D197" i="14"/>
  <c r="D223" i="14"/>
  <c r="D245" i="14"/>
  <c r="D271" i="14"/>
  <c r="D293" i="14"/>
  <c r="D319" i="14"/>
  <c r="D339" i="14"/>
  <c r="D365" i="14"/>
  <c r="D387" i="14"/>
  <c r="D413" i="14"/>
  <c r="D432" i="14"/>
  <c r="D459" i="14"/>
  <c r="D480" i="14"/>
  <c r="D507" i="14"/>
  <c r="D528" i="14"/>
  <c r="D555" i="14"/>
  <c r="D574" i="14"/>
  <c r="D600" i="14"/>
  <c r="D622" i="14"/>
  <c r="D648" i="14"/>
  <c r="D668" i="14"/>
  <c r="D694" i="14"/>
  <c r="D716" i="14"/>
  <c r="D742" i="14"/>
  <c r="D764" i="14"/>
  <c r="D790" i="14"/>
  <c r="D810" i="14"/>
  <c r="D836" i="14"/>
  <c r="D858" i="14"/>
  <c r="D884" i="14"/>
  <c r="D904" i="14"/>
  <c r="D930" i="14"/>
  <c r="D952" i="14"/>
  <c r="D978" i="14"/>
  <c r="D1000" i="14"/>
  <c r="D1026" i="14"/>
  <c r="D1044" i="14"/>
  <c r="D1068" i="14"/>
  <c r="D1088" i="14"/>
  <c r="D1112" i="14"/>
  <c r="D1129" i="14"/>
  <c r="D1149" i="14"/>
  <c r="D1165" i="14"/>
  <c r="D1182" i="14"/>
  <c r="D1201" i="14"/>
  <c r="D1217" i="14"/>
  <c r="D1232" i="14"/>
  <c r="D1250" i="14"/>
  <c r="D1265" i="14"/>
  <c r="D1280" i="14"/>
  <c r="D1298" i="14"/>
  <c r="D1313" i="14"/>
  <c r="D1328" i="14"/>
  <c r="D1346" i="14"/>
  <c r="D1361" i="14"/>
  <c r="D1376" i="14"/>
  <c r="D1394" i="14"/>
  <c r="D1409" i="14"/>
  <c r="D1424" i="14"/>
  <c r="D1442" i="14"/>
  <c r="D1457" i="14"/>
  <c r="D1472" i="14"/>
  <c r="D1490" i="14"/>
  <c r="D1505" i="14"/>
  <c r="D1520" i="14"/>
  <c r="D1538" i="14"/>
  <c r="D1553" i="14"/>
  <c r="D1568" i="14"/>
  <c r="D1586" i="14"/>
  <c r="D1601" i="14"/>
  <c r="D1616" i="14"/>
  <c r="D1634" i="14"/>
  <c r="D1649" i="14"/>
  <c r="D4" i="14"/>
  <c r="D30" i="14"/>
  <c r="D58" i="14"/>
  <c r="D82" i="14"/>
  <c r="D111" i="14"/>
  <c r="D131" i="14"/>
  <c r="D179" i="14"/>
  <c r="D227" i="14"/>
  <c r="D273" i="14"/>
  <c r="D321" i="14"/>
  <c r="D27" i="14"/>
  <c r="D51" i="14"/>
  <c r="D79" i="14"/>
  <c r="D103" i="14"/>
  <c r="D130" i="14"/>
  <c r="D152" i="14"/>
  <c r="D178" i="14"/>
  <c r="D200" i="14"/>
  <c r="D226" i="14"/>
  <c r="D246" i="14"/>
  <c r="D272" i="14"/>
  <c r="D294" i="14"/>
  <c r="D320" i="14"/>
  <c r="D340" i="14"/>
  <c r="D366" i="14"/>
  <c r="D388" i="14"/>
  <c r="D414" i="14"/>
  <c r="D436" i="14"/>
  <c r="D462" i="14"/>
  <c r="D482" i="14"/>
  <c r="D508" i="14"/>
  <c r="D530" i="14"/>
  <c r="D556" i="14"/>
  <c r="D575" i="14"/>
  <c r="D602" i="14"/>
  <c r="D623" i="14"/>
  <c r="D650" i="14"/>
  <c r="D671" i="14"/>
  <c r="D698" i="14"/>
  <c r="D717" i="14"/>
  <c r="D743" i="14"/>
  <c r="D765" i="14"/>
  <c r="D791" i="14"/>
  <c r="D811" i="14"/>
  <c r="D837" i="14"/>
  <c r="D859" i="14"/>
  <c r="D885" i="14"/>
  <c r="D907" i="14"/>
  <c r="D933" i="14"/>
  <c r="D953" i="14"/>
  <c r="D979" i="14"/>
  <c r="D1001" i="14"/>
  <c r="D1027" i="14"/>
  <c r="D1045" i="14"/>
  <c r="D1069" i="14"/>
  <c r="D1089" i="14"/>
  <c r="D1113" i="14"/>
  <c r="D1130" i="14"/>
  <c r="D1150" i="14"/>
  <c r="D1166" i="14"/>
  <c r="D1183" i="14"/>
  <c r="D1202" i="14"/>
  <c r="D1218" i="14"/>
  <c r="D1233" i="14"/>
  <c r="D1251" i="14"/>
  <c r="D1266" i="14"/>
  <c r="D1281" i="14"/>
  <c r="D1299" i="14"/>
  <c r="D1314" i="14"/>
  <c r="D1329" i="14"/>
  <c r="D1347" i="14"/>
  <c r="D1362" i="14"/>
  <c r="D1377" i="14"/>
  <c r="D1395" i="14"/>
  <c r="D1410" i="14"/>
  <c r="D1425" i="14"/>
  <c r="D1443" i="14"/>
  <c r="D1458" i="14"/>
  <c r="D1473" i="14"/>
  <c r="D1491" i="14"/>
  <c r="D1506" i="14"/>
  <c r="D1521" i="14"/>
  <c r="D1539" i="14"/>
  <c r="D1554" i="14"/>
  <c r="D1569" i="14"/>
  <c r="D1587" i="14"/>
  <c r="D1602" i="14"/>
  <c r="D1617" i="14"/>
  <c r="D1635" i="14"/>
  <c r="D1650" i="14"/>
  <c r="D158" i="14"/>
  <c r="D206" i="14"/>
  <c r="D254" i="14"/>
  <c r="D299" i="14"/>
  <c r="D347" i="14"/>
  <c r="D10" i="14"/>
  <c r="D40" i="14"/>
  <c r="D64" i="14"/>
  <c r="D92" i="14"/>
  <c r="D116" i="14"/>
  <c r="D142" i="14"/>
  <c r="D164" i="14"/>
  <c r="D190" i="14"/>
  <c r="D210" i="14"/>
  <c r="D236" i="14"/>
  <c r="D258" i="14"/>
  <c r="D284" i="14"/>
  <c r="D306" i="14"/>
  <c r="D332" i="14"/>
  <c r="D352" i="14"/>
  <c r="D378" i="14"/>
  <c r="D400" i="14"/>
  <c r="D426" i="14"/>
  <c r="D446" i="14"/>
  <c r="D472" i="14"/>
  <c r="D494" i="14"/>
  <c r="D520" i="14"/>
  <c r="D542" i="14"/>
  <c r="D568" i="14"/>
  <c r="D587" i="14"/>
  <c r="D614" i="14"/>
  <c r="D635" i="14"/>
  <c r="D662" i="14"/>
  <c r="D681" i="14"/>
  <c r="D707" i="14"/>
  <c r="D729" i="14"/>
  <c r="D755" i="14"/>
  <c r="D777" i="14"/>
  <c r="D803" i="14"/>
  <c r="D823" i="14"/>
  <c r="D849" i="14"/>
  <c r="D871" i="14"/>
  <c r="D897" i="14"/>
  <c r="D917" i="14"/>
  <c r="D943" i="14"/>
  <c r="D965" i="14"/>
  <c r="D991" i="14"/>
  <c r="D1013" i="14"/>
  <c r="D1038" i="14"/>
  <c r="D1056" i="14"/>
  <c r="D1080" i="14"/>
  <c r="D1100" i="14"/>
  <c r="D1123" i="14"/>
  <c r="D1139" i="14"/>
  <c r="D1155" i="14"/>
  <c r="D1175" i="14"/>
  <c r="D1191" i="14"/>
  <c r="D1208" i="14"/>
  <c r="D1226" i="14"/>
  <c r="D1241" i="14"/>
  <c r="D1256" i="14"/>
  <c r="D1274" i="14"/>
  <c r="D1289" i="14"/>
  <c r="D1304" i="14"/>
  <c r="D1322" i="14"/>
  <c r="D1337" i="14"/>
  <c r="D1352" i="14"/>
  <c r="D1370" i="14"/>
  <c r="D1385" i="14"/>
  <c r="D1400" i="14"/>
  <c r="D1418" i="14"/>
  <c r="D1433" i="14"/>
  <c r="D1448" i="14"/>
  <c r="D1466" i="14"/>
  <c r="D1481" i="14"/>
  <c r="D1496" i="14"/>
  <c r="D1514" i="14"/>
  <c r="D1529" i="14"/>
  <c r="D1544" i="14"/>
  <c r="D1562" i="14"/>
  <c r="D1577" i="14"/>
  <c r="D1592" i="14"/>
  <c r="D1610" i="14"/>
  <c r="D1625" i="14"/>
  <c r="D1640" i="14"/>
  <c r="D33" i="14"/>
  <c r="D83" i="14"/>
  <c r="D122" i="14"/>
  <c r="D165" i="14"/>
  <c r="D208" i="14"/>
  <c r="D243" i="14"/>
  <c r="D286" i="14"/>
  <c r="D324" i="14"/>
  <c r="D367" i="14"/>
  <c r="D401" i="14"/>
  <c r="D441" i="14"/>
  <c r="D475" i="14"/>
  <c r="D509" i="14"/>
  <c r="D543" i="14"/>
  <c r="D583" i="14"/>
  <c r="D615" i="14"/>
  <c r="D651" i="14"/>
  <c r="D684" i="14"/>
  <c r="D725" i="14"/>
  <c r="D756" i="14"/>
  <c r="D792" i="14"/>
  <c r="D824" i="14"/>
  <c r="D864" i="14"/>
  <c r="D898" i="14"/>
  <c r="D934" i="14"/>
  <c r="D966" i="14"/>
  <c r="D1006" i="14"/>
  <c r="D1039" i="14"/>
  <c r="D1070" i="14"/>
  <c r="D1101" i="14"/>
  <c r="D1135" i="14"/>
  <c r="D1157" i="14"/>
  <c r="D1187" i="14"/>
  <c r="D1209" i="14"/>
  <c r="D1237" i="14"/>
  <c r="D1257" i="14"/>
  <c r="D1285" i="14"/>
  <c r="D1305" i="14"/>
  <c r="D1333" i="14"/>
  <c r="D1353" i="14"/>
  <c r="D1381" i="14"/>
  <c r="D1401" i="14"/>
  <c r="D1429" i="14"/>
  <c r="D1449" i="14"/>
  <c r="D1477" i="14"/>
  <c r="D1497" i="14"/>
  <c r="D1525" i="14"/>
  <c r="D1543" i="14"/>
  <c r="D1565" i="14"/>
  <c r="D1588" i="14"/>
  <c r="D1609" i="14"/>
  <c r="D1628" i="14"/>
  <c r="D1651" i="14"/>
  <c r="D335" i="14"/>
  <c r="D760" i="14"/>
  <c r="D938" i="14"/>
  <c r="D1042" i="14"/>
  <c r="D1138" i="14"/>
  <c r="D1190" i="14"/>
  <c r="D1263" i="14"/>
  <c r="D1336" i="14"/>
  <c r="D1359" i="14"/>
  <c r="D1432" i="14"/>
  <c r="D1480" i="14"/>
  <c r="D1528" i="14"/>
  <c r="D1573" i="14"/>
  <c r="D1613" i="14"/>
  <c r="D46" i="14"/>
  <c r="D180" i="14"/>
  <c r="D336" i="14"/>
  <c r="D489" i="14"/>
  <c r="D699" i="14"/>
  <c r="D838" i="14"/>
  <c r="D946" i="14"/>
  <c r="D1052" i="14"/>
  <c r="D1167" i="14"/>
  <c r="D43" i="14"/>
  <c r="D84" i="14"/>
  <c r="D127" i="14"/>
  <c r="D166" i="14"/>
  <c r="D209" i="14"/>
  <c r="D255" i="14"/>
  <c r="D287" i="14"/>
  <c r="D333" i="14"/>
  <c r="D370" i="14"/>
  <c r="D402" i="14"/>
  <c r="D442" i="14"/>
  <c r="D476" i="14"/>
  <c r="D510" i="14"/>
  <c r="D544" i="14"/>
  <c r="D584" i="14"/>
  <c r="D616" i="14"/>
  <c r="D652" i="14"/>
  <c r="D686" i="14"/>
  <c r="D726" i="14"/>
  <c r="D758" i="14"/>
  <c r="D794" i="14"/>
  <c r="D825" i="14"/>
  <c r="D868" i="14"/>
  <c r="D899" i="14"/>
  <c r="D935" i="14"/>
  <c r="D967" i="14"/>
  <c r="D1007" i="14"/>
  <c r="D1040" i="14"/>
  <c r="D1073" i="14"/>
  <c r="D1102" i="14"/>
  <c r="D1136" i="14"/>
  <c r="D1161" i="14"/>
  <c r="D1188" i="14"/>
  <c r="D1213" i="14"/>
  <c r="D1238" i="14"/>
  <c r="D1261" i="14"/>
  <c r="D1286" i="14"/>
  <c r="D1309" i="14"/>
  <c r="D1334" i="14"/>
  <c r="D1357" i="14"/>
  <c r="D1382" i="14"/>
  <c r="D1405" i="14"/>
  <c r="D1430" i="14"/>
  <c r="D1453" i="14"/>
  <c r="D1478" i="14"/>
  <c r="D1501" i="14"/>
  <c r="D1526" i="14"/>
  <c r="D1545" i="14"/>
  <c r="D1566" i="14"/>
  <c r="D1589" i="14"/>
  <c r="D1611" i="14"/>
  <c r="D1629" i="14"/>
  <c r="D1652" i="14"/>
  <c r="D5" i="14"/>
  <c r="D95" i="14"/>
  <c r="D214" i="14"/>
  <c r="D300" i="14"/>
  <c r="D411" i="14"/>
  <c r="D478" i="14"/>
  <c r="D514" i="14"/>
  <c r="D586" i="14"/>
  <c r="D654" i="14"/>
  <c r="D728" i="14"/>
  <c r="D834" i="14"/>
  <c r="D976" i="14"/>
  <c r="D1075" i="14"/>
  <c r="D1163" i="14"/>
  <c r="D1215" i="14"/>
  <c r="D1288" i="14"/>
  <c r="D1384" i="14"/>
  <c r="D1455" i="14"/>
  <c r="D1550" i="14"/>
  <c r="D1636" i="14"/>
  <c r="D6" i="14"/>
  <c r="D137" i="14"/>
  <c r="D215" i="14"/>
  <c r="D302" i="14"/>
  <c r="D415" i="14"/>
  <c r="D557" i="14"/>
  <c r="D663" i="14"/>
  <c r="D771" i="14"/>
  <c r="D872" i="14"/>
  <c r="D980" i="14"/>
  <c r="D1081" i="14"/>
  <c r="D1140" i="14"/>
  <c r="D1193" i="14"/>
  <c r="D44" i="14"/>
  <c r="D86" i="14"/>
  <c r="D135" i="14"/>
  <c r="D167" i="14"/>
  <c r="D213" i="14"/>
  <c r="D256" i="14"/>
  <c r="D288" i="14"/>
  <c r="D334" i="14"/>
  <c r="D371" i="14"/>
  <c r="D403" i="14"/>
  <c r="D443" i="14"/>
  <c r="D477" i="14"/>
  <c r="D511" i="14"/>
  <c r="D545" i="14"/>
  <c r="D585" i="14"/>
  <c r="D619" i="14"/>
  <c r="D653" i="14"/>
  <c r="D687" i="14"/>
  <c r="D727" i="14"/>
  <c r="D759" i="14"/>
  <c r="D795" i="14"/>
  <c r="D828" i="14"/>
  <c r="D869" i="14"/>
  <c r="D900" i="14"/>
  <c r="D936" i="14"/>
  <c r="D968" i="14"/>
  <c r="D1008" i="14"/>
  <c r="D1041" i="14"/>
  <c r="D1074" i="14"/>
  <c r="D1103" i="14"/>
  <c r="D1137" i="14"/>
  <c r="D1162" i="14"/>
  <c r="D1189" i="14"/>
  <c r="D1214" i="14"/>
  <c r="D1239" i="14"/>
  <c r="D1262" i="14"/>
  <c r="D1287" i="14"/>
  <c r="D1310" i="14"/>
  <c r="D1335" i="14"/>
  <c r="D1358" i="14"/>
  <c r="D1383" i="14"/>
  <c r="D1406" i="14"/>
  <c r="D1431" i="14"/>
  <c r="D1454" i="14"/>
  <c r="D1479" i="14"/>
  <c r="D1502" i="14"/>
  <c r="D1527" i="14"/>
  <c r="D1549" i="14"/>
  <c r="D1567" i="14"/>
  <c r="D1590" i="14"/>
  <c r="D1612" i="14"/>
  <c r="D1633" i="14"/>
  <c r="D1653" i="14"/>
  <c r="D45" i="14"/>
  <c r="D136" i="14"/>
  <c r="D175" i="14"/>
  <c r="D257" i="14"/>
  <c r="D372" i="14"/>
  <c r="D444" i="14"/>
  <c r="D550" i="14"/>
  <c r="D620" i="14"/>
  <c r="D692" i="14"/>
  <c r="D796" i="14"/>
  <c r="D870" i="14"/>
  <c r="D902" i="14"/>
  <c r="D1012" i="14"/>
  <c r="D1110" i="14"/>
  <c r="D1240" i="14"/>
  <c r="D1311" i="14"/>
  <c r="D1407" i="14"/>
  <c r="D1503" i="14"/>
  <c r="D1591" i="14"/>
  <c r="D1657" i="14"/>
  <c r="D96" i="14"/>
  <c r="D259" i="14"/>
  <c r="D379" i="14"/>
  <c r="D449" i="14"/>
  <c r="D521" i="14"/>
  <c r="D588" i="14"/>
  <c r="D629" i="14"/>
  <c r="D730" i="14"/>
  <c r="D804" i="14"/>
  <c r="D912" i="14"/>
  <c r="D1014" i="14"/>
  <c r="D1114" i="14"/>
  <c r="D1219" i="14"/>
  <c r="D14" i="14"/>
  <c r="D63" i="14"/>
  <c r="D112" i="14"/>
  <c r="D148" i="14"/>
  <c r="D191" i="14"/>
  <c r="D230" i="14"/>
  <c r="D269" i="14"/>
  <c r="D308" i="14"/>
  <c r="D351" i="14"/>
  <c r="D384" i="14"/>
  <c r="D418" i="14"/>
  <c r="D456" i="14"/>
  <c r="D492" i="14"/>
  <c r="D524" i="14"/>
  <c r="D560" i="14"/>
  <c r="D598" i="14"/>
  <c r="D634" i="14"/>
  <c r="D666" i="14"/>
  <c r="D702" i="14"/>
  <c r="D740" i="14"/>
  <c r="D776" i="14"/>
  <c r="D808" i="14"/>
  <c r="D844" i="14"/>
  <c r="D882" i="14"/>
  <c r="D916" i="14"/>
  <c r="D950" i="14"/>
  <c r="D986" i="14"/>
  <c r="D1022" i="14"/>
  <c r="D1055" i="14"/>
  <c r="D1086" i="14"/>
  <c r="D1117" i="14"/>
  <c r="D1143" i="14"/>
  <c r="D1174" i="14"/>
  <c r="D1196" i="14"/>
  <c r="D1225" i="14"/>
  <c r="D1245" i="14"/>
  <c r="D1273" i="14"/>
  <c r="D1293" i="14"/>
  <c r="D1321" i="14"/>
  <c r="D1341" i="14"/>
  <c r="D1369" i="14"/>
  <c r="D1389" i="14"/>
  <c r="D1417" i="14"/>
  <c r="D1437" i="14"/>
  <c r="D1465" i="14"/>
  <c r="D1485" i="14"/>
  <c r="D1513" i="14"/>
  <c r="D1533" i="14"/>
  <c r="D1556" i="14"/>
  <c r="D1578" i="14"/>
  <c r="D1599" i="14"/>
  <c r="D1622" i="14"/>
  <c r="D1641" i="14"/>
  <c r="D17" i="14"/>
  <c r="D65" i="14"/>
  <c r="D113" i="14"/>
  <c r="D149" i="14"/>
  <c r="D192" i="14"/>
  <c r="D231" i="14"/>
  <c r="D274" i="14"/>
  <c r="D309" i="14"/>
  <c r="D353" i="14"/>
  <c r="D393" i="14"/>
  <c r="D427" i="14"/>
  <c r="D463" i="14"/>
  <c r="D495" i="14"/>
  <c r="D535" i="14"/>
  <c r="D569" i="14"/>
  <c r="D603" i="14"/>
  <c r="D636" i="14"/>
  <c r="D677" i="14"/>
  <c r="D711" i="14"/>
  <c r="D744" i="14"/>
  <c r="D778" i="14"/>
  <c r="D819" i="14"/>
  <c r="D850" i="14"/>
  <c r="D886" i="14"/>
  <c r="D920" i="14"/>
  <c r="D960" i="14"/>
  <c r="D992" i="14"/>
  <c r="D1028" i="14"/>
  <c r="D1057" i="14"/>
  <c r="D1094" i="14"/>
  <c r="D1124" i="14"/>
  <c r="D1151" i="14"/>
  <c r="D1621" i="14"/>
  <c r="D1580" i="14"/>
  <c r="D1542" i="14"/>
  <c r="D1508" i="14"/>
  <c r="D1467" i="14"/>
  <c r="D1421" i="14"/>
  <c r="D1386" i="14"/>
  <c r="D1340" i="14"/>
  <c r="D1301" i="14"/>
  <c r="D1255" i="14"/>
  <c r="D1220" i="14"/>
  <c r="D1169" i="14"/>
  <c r="D1098" i="14"/>
  <c r="D1016" i="14"/>
  <c r="D928" i="14"/>
  <c r="D851" i="14"/>
  <c r="D772" i="14"/>
  <c r="D679" i="14"/>
  <c r="D593" i="14"/>
  <c r="D504" i="14"/>
  <c r="D428" i="14"/>
  <c r="D348" i="14"/>
  <c r="D240" i="14"/>
  <c r="D144" i="14"/>
  <c r="D32" i="14"/>
  <c r="D1597" i="14"/>
  <c r="D1436" i="14"/>
  <c r="D1316" i="14"/>
  <c r="D1125" i="14"/>
  <c r="D632" i="14"/>
  <c r="D1623" i="14"/>
  <c r="D1551" i="14"/>
  <c r="D1468" i="14"/>
  <c r="D1387" i="14"/>
  <c r="D1302" i="14"/>
  <c r="D1170" i="14"/>
  <c r="D947" i="14"/>
  <c r="D773" i="14"/>
  <c r="D522" i="14"/>
  <c r="D242" i="14"/>
  <c r="D1615" i="14"/>
  <c r="D1420" i="14"/>
  <c r="D1254" i="14"/>
  <c r="D1097" i="14"/>
  <c r="D750" i="14"/>
  <c r="D417" i="14"/>
  <c r="D1647" i="14"/>
  <c r="D1540" i="14"/>
  <c r="D1495" i="14"/>
  <c r="D1373" i="14"/>
  <c r="D1206" i="14"/>
  <c r="D995" i="14"/>
  <c r="D747" i="14"/>
  <c r="D416" i="14"/>
  <c r="D118" i="14"/>
  <c r="D23" i="14"/>
  <c r="D1575" i="14"/>
  <c r="D1494" i="14"/>
  <c r="D1326" i="14"/>
  <c r="D1082" i="14"/>
  <c r="D994" i="14"/>
  <c r="D664" i="14"/>
  <c r="D571" i="14"/>
  <c r="D315" i="14"/>
  <c r="D11" i="14"/>
  <c r="D1532" i="14"/>
  <c r="D1412" i="14"/>
  <c r="D1325" i="14"/>
  <c r="D1203" i="14"/>
  <c r="D914" i="14"/>
  <c r="D646" i="14"/>
  <c r="D570" i="14"/>
  <c r="D307" i="14"/>
  <c r="D115" i="14"/>
  <c r="D1603" i="14"/>
  <c r="D1564" i="14"/>
  <c r="D1531" i="14"/>
  <c r="D1492" i="14"/>
  <c r="D1446" i="14"/>
  <c r="D1411" i="14"/>
  <c r="D1365" i="14"/>
  <c r="D1324" i="14"/>
  <c r="D1278" i="14"/>
  <c r="D1243" i="14"/>
  <c r="D1195" i="14"/>
  <c r="D1141" i="14"/>
  <c r="D1061" i="14"/>
  <c r="D982" i="14"/>
  <c r="D890" i="14"/>
  <c r="D820" i="14"/>
  <c r="D731" i="14"/>
  <c r="D639" i="14"/>
  <c r="D559" i="14"/>
  <c r="D466" i="14"/>
  <c r="D396" i="14"/>
  <c r="D305" i="14"/>
  <c r="D195" i="14"/>
  <c r="D99" i="14"/>
  <c r="D1517" i="14"/>
  <c r="D1397" i="14"/>
  <c r="D1275" i="14"/>
  <c r="D1178" i="14"/>
  <c r="D963" i="14"/>
  <c r="D786" i="14"/>
  <c r="D451" i="14"/>
  <c r="D275" i="14"/>
  <c r="D182" i="14"/>
  <c r="D1593" i="14"/>
  <c r="D1555" i="14"/>
  <c r="D1470" i="14"/>
  <c r="D1396" i="14"/>
  <c r="D1315" i="14"/>
  <c r="D1228" i="14"/>
  <c r="D1116" i="14"/>
  <c r="D873" i="14"/>
  <c r="D780" i="14"/>
  <c r="D450" i="14"/>
  <c r="D163" i="14"/>
  <c r="D1624" i="14"/>
  <c r="D1515" i="14"/>
  <c r="D1434" i="14"/>
  <c r="D1388" i="14"/>
  <c r="D1268" i="14"/>
  <c r="D1115" i="14"/>
  <c r="D948" i="14"/>
  <c r="D779" i="14"/>
  <c r="D523" i="14"/>
  <c r="D260" i="14"/>
  <c r="D60" i="14"/>
  <c r="D1509" i="14"/>
  <c r="D1348" i="14"/>
  <c r="D1221" i="14"/>
  <c r="D1099" i="14"/>
  <c r="D855" i="14"/>
  <c r="D606" i="14"/>
  <c r="D350" i="14"/>
  <c r="D59" i="14"/>
  <c r="D1579" i="14"/>
  <c r="D1507" i="14"/>
  <c r="D1374" i="14"/>
  <c r="D1300" i="14"/>
  <c r="D1154" i="14"/>
  <c r="D1015" i="14"/>
  <c r="D843" i="14"/>
  <c r="D590" i="14"/>
  <c r="D497" i="14"/>
  <c r="D143" i="14"/>
  <c r="D1614" i="14"/>
  <c r="D1460" i="14"/>
  <c r="D1338" i="14"/>
  <c r="D1253" i="14"/>
  <c r="D1085" i="14"/>
  <c r="D665" i="14"/>
  <c r="D572" i="14"/>
  <c r="D322" i="14"/>
  <c r="D1646" i="14"/>
  <c r="D1537" i="14"/>
  <c r="D1459" i="14"/>
  <c r="D1372" i="14"/>
  <c r="D1205" i="14"/>
  <c r="D822" i="14"/>
  <c r="D491" i="14"/>
  <c r="D221" i="14"/>
  <c r="D1645" i="14"/>
  <c r="D1574" i="14"/>
  <c r="D1493" i="14"/>
  <c r="D1290" i="14"/>
  <c r="D1142" i="14"/>
  <c r="D993" i="14"/>
  <c r="D732" i="14"/>
  <c r="D398" i="14"/>
  <c r="D9" i="14"/>
  <c r="D1639" i="14"/>
  <c r="D1600" i="14"/>
  <c r="D1563" i="14"/>
  <c r="D1484" i="14"/>
  <c r="D1399" i="14"/>
  <c r="D1323" i="14"/>
  <c r="D1277" i="14"/>
  <c r="D1242" i="14"/>
  <c r="D1194" i="14"/>
  <c r="D1127" i="14"/>
  <c r="D1058" i="14"/>
  <c r="D981" i="14"/>
  <c r="D888" i="14"/>
  <c r="D807" i="14"/>
  <c r="D714" i="14"/>
  <c r="D638" i="14"/>
  <c r="D558" i="14"/>
  <c r="D465" i="14"/>
  <c r="D383" i="14"/>
  <c r="D285" i="14"/>
  <c r="D194" i="14"/>
  <c r="D98" i="14"/>
  <c r="D1627" i="14"/>
  <c r="D1557" i="14"/>
  <c r="D1482" i="14"/>
  <c r="D1351" i="14"/>
  <c r="D1229" i="14"/>
  <c r="D1053" i="14"/>
  <c r="D874" i="14"/>
  <c r="D712" i="14"/>
  <c r="D537" i="14"/>
  <c r="D363" i="14"/>
  <c r="D69" i="14"/>
  <c r="D1626" i="14"/>
  <c r="D1516" i="14"/>
  <c r="D1435" i="14"/>
  <c r="D1350" i="14"/>
  <c r="D1269" i="14"/>
  <c r="D1177" i="14"/>
  <c r="D1031" i="14"/>
  <c r="D962" i="14"/>
  <c r="D701" i="14"/>
  <c r="D608" i="14"/>
  <c r="D536" i="14"/>
  <c r="D357" i="14"/>
  <c r="D261" i="14"/>
  <c r="D66" i="14"/>
  <c r="D1585" i="14"/>
  <c r="D1552" i="14"/>
  <c r="D1469" i="14"/>
  <c r="D1349" i="14"/>
  <c r="D1303" i="14"/>
  <c r="D1227" i="14"/>
  <c r="D1176" i="14"/>
  <c r="D1030" i="14"/>
  <c r="D856" i="14"/>
  <c r="D700" i="14"/>
  <c r="D607" i="14"/>
  <c r="D430" i="14"/>
  <c r="D354" i="14"/>
  <c r="D162" i="14"/>
  <c r="D1581" i="14"/>
  <c r="D1422" i="14"/>
  <c r="D1267" i="14"/>
  <c r="D1029" i="14"/>
  <c r="D680" i="14"/>
  <c r="D429" i="14"/>
  <c r="D161" i="14"/>
  <c r="D1648" i="14"/>
  <c r="D1541" i="14"/>
  <c r="D1461" i="14"/>
  <c r="D1339" i="14"/>
  <c r="D1207" i="14"/>
  <c r="D922" i="14"/>
  <c r="D678" i="14"/>
  <c r="D323" i="14"/>
  <c r="D239" i="14"/>
  <c r="D31" i="14"/>
  <c r="D1576" i="14"/>
  <c r="D1419" i="14"/>
  <c r="D1292" i="14"/>
  <c r="D1153" i="14"/>
  <c r="D921" i="14"/>
  <c r="D842" i="14"/>
  <c r="D496" i="14"/>
  <c r="D228" i="14"/>
  <c r="D1605" i="14"/>
  <c r="D1413" i="14"/>
  <c r="D1291" i="14"/>
  <c r="D1252" i="14"/>
  <c r="D1152" i="14"/>
  <c r="D915" i="14"/>
  <c r="D746" i="14"/>
  <c r="D399" i="14"/>
  <c r="D117" i="14"/>
  <c r="D1604" i="14"/>
  <c r="D1447" i="14"/>
  <c r="D1371" i="14"/>
  <c r="D1244" i="14"/>
  <c r="D1066" i="14"/>
  <c r="D821" i="14"/>
  <c r="D490" i="14"/>
  <c r="D207" i="14"/>
  <c r="D1638" i="14"/>
  <c r="D1530" i="14"/>
  <c r="D1445" i="14"/>
  <c r="D1364" i="14"/>
  <c r="D1637" i="14"/>
  <c r="D1598" i="14"/>
  <c r="D1561" i="14"/>
  <c r="D1518" i="14"/>
  <c r="D1483" i="14"/>
  <c r="D1444" i="14"/>
  <c r="D1398" i="14"/>
  <c r="D1363" i="14"/>
  <c r="D1317" i="14"/>
  <c r="D1276" i="14"/>
  <c r="D1230" i="14"/>
  <c r="D1179" i="14"/>
  <c r="D1126" i="14"/>
  <c r="D1054" i="14"/>
  <c r="D964" i="14"/>
  <c r="D887" i="14"/>
  <c r="D806" i="14"/>
  <c r="D713" i="14"/>
  <c r="D633" i="14"/>
  <c r="D540" i="14"/>
  <c r="D464" i="14"/>
  <c r="D380" i="14"/>
  <c r="D279" i="14"/>
  <c r="D183" i="14"/>
  <c r="D7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46286F-8197-42FD-B7DB-44E30E641B19}" keepAlive="1" name="Query - MARG ERP 9+ Excel Report" description="Connection to the 'MARG ERP 9+ Excel Report' query in the workbook." type="5" refreshedVersion="0" background="1" saveData="1">
    <dbPr connection="Provider=Microsoft.Mashup.OleDb.1;Data Source=$Workbook$;Location=&quot;MARG ERP 9+ Excel Report&quot;;Extended Properties=&quot;&quot;" command="SELECT * FROM [MARG ERP 9+ Excel Report]"/>
  </connection>
  <connection id="2" xr16:uid="{BD52E153-A730-4FA3-B73D-B7615725F1A6}" keepAlive="1" name="Query - MARG ERP 9+ Excel Report (2)" description="Connection to the 'MARG ERP 9+ Excel Report (2)' query in the workbook." type="5" refreshedVersion="0" background="1" saveData="1">
    <dbPr connection="Provider=Microsoft.Mashup.OleDb.1;Data Source=$Workbook$;Location=&quot;MARG ERP 9+ Excel Report (2)&quot;;Extended Properties=&quot;&quot;" command="SELECT * FROM [MARG ERP 9+ Excel Report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<sst xmlns="http://schemas.openxmlformats.org/spreadsheetml/2006/main" count="2218" uniqueCount="98">
  <si>
    <t>T01</t>
  </si>
  <si>
    <t>T02</t>
  </si>
  <si>
    <t>T03</t>
  </si>
  <si>
    <t>T04</t>
  </si>
  <si>
    <t>T05</t>
  </si>
  <si>
    <t>B01</t>
  </si>
  <si>
    <t>B02</t>
  </si>
  <si>
    <t>B03</t>
  </si>
  <si>
    <t>I01</t>
  </si>
  <si>
    <t>I02</t>
  </si>
  <si>
    <t>F01</t>
  </si>
  <si>
    <t>F02</t>
  </si>
  <si>
    <t>F03</t>
  </si>
  <si>
    <t>A01</t>
  </si>
  <si>
    <t>A02</t>
  </si>
  <si>
    <t>A03</t>
  </si>
  <si>
    <t>A04</t>
  </si>
  <si>
    <t>A05</t>
  </si>
  <si>
    <t>TOTAL</t>
  </si>
  <si>
    <t>SKU</t>
  </si>
  <si>
    <t>ITEMS</t>
  </si>
  <si>
    <t>Opening Stock</t>
  </si>
  <si>
    <t>Purchases</t>
  </si>
  <si>
    <t xml:space="preserve"> Sales</t>
  </si>
  <si>
    <t>Closing Stock</t>
  </si>
  <si>
    <t xml:space="preserve">Sales </t>
  </si>
  <si>
    <t>T-Shirts</t>
  </si>
  <si>
    <t>Casual Shirts</t>
  </si>
  <si>
    <t>Formal Shirts</t>
  </si>
  <si>
    <t>Sweatshirts</t>
  </si>
  <si>
    <t>Jackets</t>
  </si>
  <si>
    <t>Denim / Jeans</t>
  </si>
  <si>
    <t>Casual Trousers</t>
  </si>
  <si>
    <t>Formal Trousers</t>
  </si>
  <si>
    <t>Vests</t>
  </si>
  <si>
    <t>Briefs</t>
  </si>
  <si>
    <t>Shoes</t>
  </si>
  <si>
    <t>Socks</t>
  </si>
  <si>
    <t>Slippers</t>
  </si>
  <si>
    <t>Wallets</t>
  </si>
  <si>
    <t>Belts</t>
  </si>
  <si>
    <t>Ties</t>
  </si>
  <si>
    <t>Masks (Pack)</t>
  </si>
  <si>
    <t>Hanky (Pack)</t>
  </si>
  <si>
    <t>CATEGORY</t>
  </si>
  <si>
    <t>MRP</t>
  </si>
  <si>
    <t>AVG SP</t>
  </si>
  <si>
    <t xml:space="preserve">AVG CP </t>
  </si>
  <si>
    <t>Topwear</t>
  </si>
  <si>
    <t>Bottomwear</t>
  </si>
  <si>
    <t>Innerwear</t>
  </si>
  <si>
    <t>Footwear</t>
  </si>
  <si>
    <t>Accessories</t>
  </si>
  <si>
    <t>Row Labels</t>
  </si>
  <si>
    <t>Sum of SALES</t>
  </si>
  <si>
    <t>Month</t>
  </si>
  <si>
    <t>Sales</t>
  </si>
  <si>
    <t>Oct</t>
  </si>
  <si>
    <t>Nov</t>
  </si>
  <si>
    <t>Dec</t>
  </si>
  <si>
    <t>Grand Total</t>
  </si>
  <si>
    <t>Sum of REVENUE</t>
  </si>
  <si>
    <t>Revenue</t>
  </si>
  <si>
    <t>Cumulative Frequency</t>
  </si>
  <si>
    <t>Percentage</t>
  </si>
  <si>
    <t>Cumulative frequency</t>
  </si>
  <si>
    <t>Week no</t>
  </si>
  <si>
    <t>Week No.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</si>
  <si>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</si>
  <si>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</si>
  <si>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</si>
  <si>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</si>
  <si>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</si>
  <si>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</si>
  <si>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</si>
  <si>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</si>
  <si>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Column Labels</t>
  </si>
  <si>
    <t>Total Sum of SALES</t>
  </si>
  <si>
    <t>Total Sum of REVENUE</t>
  </si>
  <si>
    <t>SALES</t>
  </si>
  <si>
    <t>OCT</t>
  </si>
  <si>
    <t>NOV</t>
  </si>
  <si>
    <t>DEC</t>
  </si>
  <si>
    <t>MONTH</t>
  </si>
  <si>
    <t>SKUs</t>
  </si>
  <si>
    <t>REVENUE</t>
  </si>
  <si>
    <t>Sum of PROFIT</t>
  </si>
  <si>
    <t>Profit</t>
  </si>
  <si>
    <t>AVG OPN STK</t>
  </si>
  <si>
    <t>AVERAGE SALES</t>
  </si>
  <si>
    <t>Average Days of Inventory</t>
  </si>
  <si>
    <t>Max</t>
  </si>
  <si>
    <t>DATE</t>
  </si>
  <si>
    <t>DAY</t>
  </si>
  <si>
    <t>WEEK N0.</t>
  </si>
  <si>
    <t>AVG CP</t>
  </si>
  <si>
    <t>TCP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</si>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</sst>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₹-4009]\ #,##0.00;[Red][$₹-4009]\ #,##0.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2" borderId="0" xfId="0" applyFont="1" applyFill="1"/>
    <xf numFmtId="14" fontId="0" fillId="4" borderId="0" xfId="0" applyNumberFormat="1" applyFill="1"/>
    <xf numFmtId="0" fontId="0" fillId="4" borderId="0" xfId="0" applyFill="1"/>
    <xf numFmtId="14" fontId="1" fillId="2" borderId="0" xfId="0" applyNumberFormat="1" applyFont="1" applyFill="1"/>
    <xf numFmtId="164" fontId="1" fillId="0" borderId="0" xfId="0" applyNumberFormat="1" applyFont="1"/>
    <xf numFmtId="164" fontId="0" fillId="0" borderId="0" xfId="0" applyNumberFormat="1"/>
    <xf numFmtId="164" fontId="0" fillId="3" borderId="0" xfId="0" applyNumberFormat="1" applyFill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10" fontId="0" fillId="0" borderId="0" xfId="0" applyNumberFormat="1"/>
    <xf numFmtId="164" fontId="1" fillId="0" borderId="1" xfId="0" applyNumberFormat="1" applyFont="1" applyBorder="1"/>
    <xf numFmtId="2" fontId="0" fillId="0" borderId="0" xfId="0" applyNumberFormat="1"/>
    <xf numFmtId="165" fontId="0" fillId="0" borderId="0" xfId="0" applyNumberFormat="1"/>
    <xf numFmtId="2" fontId="0" fillId="0" borderId="0" xfId="0" applyNumberFormat="1" applyAlignment="1">
      <alignment horizontal="right"/>
    </xf>
    <xf numFmtId="2" fontId="0" fillId="5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2" fontId="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4">
    <dxf>
      <fill>
        <patternFill>
          <bgColor theme="9" tint="0.59996337778862885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numFmt numFmtId="164" formatCode="[$₹-4009]\ #,##0.00;[Red][$₹-4009]\ #,##0.00"/>
    </dxf>
    <dxf>
      <font>
        <color theme="0"/>
      </font>
    </dxf>
  </dxfs>
  <tableStyles count="2" defaultTableStyle="TableStyleMedium2" defaultPivotStyle="PivotStyleLight16">
    <tableStyle name="Invisible" pivot="0" table="0" count="0" xr9:uid="{0B0F5532-97D3-46E0-BB7B-70D3BB431818}"/>
    <tableStyle name="Table Style 1" pivot="0" count="1" xr9:uid="{50710F21-7868-4A47-B37C-A2AD513D4D78}">
      <tableStyleElement type="wholeTabl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</a:t>
            </a:r>
            <a:r>
              <a:rPr lang="en-US" b="1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Sales'!$E$3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80-4911-A3F1-007A1232F49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80-4911-A3F1-007A1232F49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80-4911-A3F1-007A1232F4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Sales'!$D$4:$D$6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Sales'!$E$4:$E$6</c:f>
              <c:numCache>
                <c:formatCode>General</c:formatCode>
                <c:ptCount val="3"/>
                <c:pt idx="0">
                  <c:v>135</c:v>
                </c:pt>
                <c:pt idx="1">
                  <c:v>42</c:v>
                </c:pt>
                <c:pt idx="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0-4911-A3F1-007A1232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738160"/>
        <c:axId val="1653736912"/>
      </c:lineChart>
      <c:catAx>
        <c:axId val="1653738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36912"/>
        <c:crosses val="autoZero"/>
        <c:auto val="1"/>
        <c:lblAlgn val="ctr"/>
        <c:lblOffset val="100"/>
        <c:noMultiLvlLbl val="0"/>
      </c:catAx>
      <c:valAx>
        <c:axId val="165373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Volume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8499234470691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73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MonthWise</a:t>
            </a:r>
            <a:r>
              <a:rPr lang="en-US" baseline="0"/>
              <a:t> </a:t>
            </a: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Revenue'!$E$3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'Monthly Revenue'!$D$4:$D$6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'Monthly Revenue'!$E$4:$E$6</c:f>
              <c:numCache>
                <c:formatCode>[$₹-4009]\ #,##0.00;[Red][$₹-4009]\ #,##0.00</c:formatCode>
                <c:ptCount val="3"/>
                <c:pt idx="0">
                  <c:v>112335</c:v>
                </c:pt>
                <c:pt idx="1">
                  <c:v>40621</c:v>
                </c:pt>
                <c:pt idx="2">
                  <c:v>97106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034-A3CC-A7C412F05E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73976751"/>
        <c:axId val="1373977167"/>
      </c:barChart>
      <c:catAx>
        <c:axId val="137397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Months</a:t>
                </a:r>
              </a:p>
            </c:rich>
          </c:tx>
          <c:layout>
            <c:manualLayout>
              <c:xMode val="edge"/>
              <c:yMode val="edge"/>
              <c:x val="0.43371412948381449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77167"/>
        <c:crosses val="autoZero"/>
        <c:auto val="1"/>
        <c:lblAlgn val="ctr"/>
        <c:lblOffset val="100"/>
        <c:noMultiLvlLbl val="0"/>
      </c:catAx>
      <c:valAx>
        <c:axId val="137397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97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&amp;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 &amp; Vol'!$F$3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3.6111111111111108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01-4F1E-9D57-41023C3DA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&amp; Vol'!$E$4:$E$6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'Rev &amp; Vol'!$F$4:$F$6</c:f>
              <c:numCache>
                <c:formatCode>[$₹-4009]\ #,##0.00;[Red][$₹-4009]\ #,##0.00</c:formatCode>
                <c:ptCount val="3"/>
                <c:pt idx="0">
                  <c:v>112335</c:v>
                </c:pt>
                <c:pt idx="1">
                  <c:v>40621</c:v>
                </c:pt>
                <c:pt idx="2">
                  <c:v>97106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1-4F1E-9D57-41023C3DA5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25585743"/>
        <c:axId val="1725593231"/>
      </c:barChart>
      <c:lineChart>
        <c:grouping val="standard"/>
        <c:varyColors val="0"/>
        <c:ser>
          <c:idx val="1"/>
          <c:order val="1"/>
          <c:tx>
            <c:strRef>
              <c:f>'Rev &amp; Vol'!$G$3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glow>
                <a:schemeClr val="accent1"/>
              </a:glow>
              <a:softEdge rad="0"/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2.777777777777777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01-4F1E-9D57-41023C3DA50C}"/>
                </c:ext>
              </c:extLst>
            </c:dLbl>
            <c:dLbl>
              <c:idx val="1"/>
              <c:layout>
                <c:manualLayout>
                  <c:x val="2.5000000000000001E-2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901-4F1E-9D57-41023C3DA50C}"/>
                </c:ext>
              </c:extLst>
            </c:dLbl>
            <c:dLbl>
              <c:idx val="2"/>
              <c:layout>
                <c:manualLayout>
                  <c:x val="3.055555555555555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901-4F1E-9D57-41023C3DA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 &amp; Vol'!$E$4:$E$6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'Rev &amp; Vol'!$G$4:$G$6</c:f>
              <c:numCache>
                <c:formatCode>General</c:formatCode>
                <c:ptCount val="3"/>
                <c:pt idx="0">
                  <c:v>135</c:v>
                </c:pt>
                <c:pt idx="1">
                  <c:v>42</c:v>
                </c:pt>
                <c:pt idx="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01-4F1E-9D57-41023C3DA5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5742815"/>
        <c:axId val="1675759039"/>
      </c:lineChart>
      <c:catAx>
        <c:axId val="172558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593231"/>
        <c:crosses val="autoZero"/>
        <c:auto val="1"/>
        <c:lblAlgn val="ctr"/>
        <c:lblOffset val="100"/>
        <c:noMultiLvlLbl val="0"/>
      </c:catAx>
      <c:valAx>
        <c:axId val="17255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585743"/>
        <c:crosses val="autoZero"/>
        <c:crossBetween val="between"/>
      </c:valAx>
      <c:valAx>
        <c:axId val="16757590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742815"/>
        <c:crosses val="max"/>
        <c:crossBetween val="between"/>
      </c:valAx>
      <c:catAx>
        <c:axId val="1675742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757590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'SKU Sales'!$E$3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'SKU Sales'!$D$4:$D$21</c:f>
              <c:strCache>
                <c:ptCount val="18"/>
                <c:pt idx="0">
                  <c:v>A01</c:v>
                </c:pt>
                <c:pt idx="1">
                  <c:v>A02</c:v>
                </c:pt>
                <c:pt idx="2">
                  <c:v>A03</c:v>
                </c:pt>
                <c:pt idx="3">
                  <c:v>A04</c:v>
                </c:pt>
                <c:pt idx="4">
                  <c:v>A05</c:v>
                </c:pt>
                <c:pt idx="5">
                  <c:v>B01</c:v>
                </c:pt>
                <c:pt idx="6">
                  <c:v>B02</c:v>
                </c:pt>
                <c:pt idx="7">
                  <c:v>B03</c:v>
                </c:pt>
                <c:pt idx="8">
                  <c:v>F01</c:v>
                </c:pt>
                <c:pt idx="9">
                  <c:v>F02</c:v>
                </c:pt>
                <c:pt idx="10">
                  <c:v>F03</c:v>
                </c:pt>
                <c:pt idx="11">
                  <c:v>I01</c:v>
                </c:pt>
                <c:pt idx="12">
                  <c:v>I02</c:v>
                </c:pt>
                <c:pt idx="13">
                  <c:v>T01</c:v>
                </c:pt>
                <c:pt idx="14">
                  <c:v>T02</c:v>
                </c:pt>
                <c:pt idx="15">
                  <c:v>T03</c:v>
                </c:pt>
                <c:pt idx="16">
                  <c:v>T04</c:v>
                </c:pt>
                <c:pt idx="17">
                  <c:v>T05</c:v>
                </c:pt>
              </c:strCache>
            </c:strRef>
          </c:cat>
          <c:val>
            <c:numRef>
              <c:f>'SKU Sales'!$E$4:$E$21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78</c:v>
                </c:pt>
                <c:pt idx="6">
                  <c:v>10</c:v>
                </c:pt>
                <c:pt idx="7">
                  <c:v>13</c:v>
                </c:pt>
                <c:pt idx="8">
                  <c:v>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35</c:v>
                </c:pt>
                <c:pt idx="15">
                  <c:v>41</c:v>
                </c:pt>
                <c:pt idx="16">
                  <c:v>16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A-4F40-9F25-3B39294AAC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499456"/>
        <c:axId val="548502368"/>
      </c:barChart>
      <c:catAx>
        <c:axId val="5484994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02368"/>
        <c:crosses val="autoZero"/>
        <c:auto val="1"/>
        <c:lblAlgn val="ctr"/>
        <c:lblOffset val="100"/>
        <c:noMultiLvlLbl val="0"/>
      </c:catAx>
      <c:valAx>
        <c:axId val="54850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9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SKU</a:t>
            </a:r>
            <a:r>
              <a:rPr lang="en-GB" b="1" baseline="0"/>
              <a:t>Wise Revenue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'SKU Revenue'!$D$4</c:f>
              <c:strCache>
                <c:ptCount val="1"/>
                <c:pt idx="0">
                  <c:v>A01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Revenue'!$E$4</c:f>
              <c:numCache>
                <c:formatCode>[$₹-4009]\ #,##0.00;[Red][$₹-4009]\ #,##0.00</c:formatCode>
                <c:ptCount val="1"/>
                <c:pt idx="0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6-4093-9836-52CFC24A44DE}"/>
            </c:ext>
          </c:extLst>
        </c:ser>
        <c:ser>
          <c:idx val="1"/>
          <c:order val="1"/>
          <c:tx>
            <c:strRef>
              <c:f>'SKU Revenue'!$D$5</c:f>
              <c:strCache>
                <c:ptCount val="1"/>
                <c:pt idx="0">
                  <c:v>A02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Revenue'!$E$5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D6-4093-9836-52CFC24A44DE}"/>
            </c:ext>
          </c:extLst>
        </c:ser>
        <c:ser>
          <c:idx val="2"/>
          <c:order val="2"/>
          <c:tx>
            <c:strRef>
              <c:f>'SKU Revenue'!$D$6</c:f>
              <c:strCache>
                <c:ptCount val="1"/>
                <c:pt idx="0">
                  <c:v>A03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Revenue'!$E$6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D6-4093-9836-52CFC24A44DE}"/>
            </c:ext>
          </c:extLst>
        </c:ser>
        <c:ser>
          <c:idx val="3"/>
          <c:order val="3"/>
          <c:tx>
            <c:strRef>
              <c:f>'SKU Revenue'!$D$7</c:f>
              <c:strCache>
                <c:ptCount val="1"/>
                <c:pt idx="0">
                  <c:v>A04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Revenue'!$E$7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D6-4093-9836-52CFC24A44DE}"/>
            </c:ext>
          </c:extLst>
        </c:ser>
        <c:ser>
          <c:idx val="4"/>
          <c:order val="4"/>
          <c:tx>
            <c:strRef>
              <c:f>'SKU Revenue'!$D$8</c:f>
              <c:strCache>
                <c:ptCount val="1"/>
                <c:pt idx="0">
                  <c:v>A05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Revenue'!$E$8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D6-4093-9836-52CFC24A44DE}"/>
            </c:ext>
          </c:extLst>
        </c:ser>
        <c:ser>
          <c:idx val="5"/>
          <c:order val="5"/>
          <c:tx>
            <c:strRef>
              <c:f>'SKU Revenue'!$D$9</c:f>
              <c:strCache>
                <c:ptCount val="1"/>
                <c:pt idx="0">
                  <c:v>B01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Revenue'!$E$9</c:f>
              <c:numCache>
                <c:formatCode>[$₹-4009]\ #,##0.00;[Red][$₹-4009]\ #,##0.00</c:formatCode>
                <c:ptCount val="1"/>
                <c:pt idx="0">
                  <c:v>66222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D6-4093-9836-52CFC24A44DE}"/>
            </c:ext>
          </c:extLst>
        </c:ser>
        <c:ser>
          <c:idx val="6"/>
          <c:order val="6"/>
          <c:tx>
            <c:strRef>
              <c:f>'SKU Revenue'!$D$10</c:f>
              <c:strCache>
                <c:ptCount val="1"/>
                <c:pt idx="0">
                  <c:v>B02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Revenue'!$E$10</c:f>
              <c:numCache>
                <c:formatCode>[$₹-4009]\ #,##0.00;[Red][$₹-4009]\ #,##0.00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D6-4093-9836-52CFC24A44DE}"/>
            </c:ext>
          </c:extLst>
        </c:ser>
        <c:ser>
          <c:idx val="7"/>
          <c:order val="7"/>
          <c:tx>
            <c:strRef>
              <c:f>'SKU Revenue'!$D$11</c:f>
              <c:strCache>
                <c:ptCount val="1"/>
                <c:pt idx="0">
                  <c:v>B03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Revenue'!$E$11</c:f>
              <c:numCache>
                <c:formatCode>[$₹-4009]\ #,##0.00;[Red][$₹-4009]\ #,##0.00</c:formatCode>
                <c:ptCount val="1"/>
                <c:pt idx="0">
                  <c:v>8840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D6-4093-9836-52CFC24A44DE}"/>
            </c:ext>
          </c:extLst>
        </c:ser>
        <c:ser>
          <c:idx val="8"/>
          <c:order val="8"/>
          <c:tx>
            <c:strRef>
              <c:f>'SKU Revenue'!$D$12</c:f>
              <c:strCache>
                <c:ptCount val="1"/>
                <c:pt idx="0">
                  <c:v>F01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Revenue'!$E$12</c:f>
              <c:numCache>
                <c:formatCode>[$₹-4009]\ #,##0.00;[Red][$₹-4009]\ #,##0.00</c:formatCode>
                <c:ptCount val="1"/>
                <c:pt idx="0">
                  <c:v>79326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D6-4093-9836-52CFC24A44DE}"/>
            </c:ext>
          </c:extLst>
        </c:ser>
        <c:ser>
          <c:idx val="9"/>
          <c:order val="9"/>
          <c:tx>
            <c:strRef>
              <c:f>'SKU Revenue'!$D$13</c:f>
              <c:strCache>
                <c:ptCount val="1"/>
                <c:pt idx="0">
                  <c:v>F02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Revenue'!$E$13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D6-4093-9836-52CFC24A44DE}"/>
            </c:ext>
          </c:extLst>
        </c:ser>
        <c:ser>
          <c:idx val="10"/>
          <c:order val="10"/>
          <c:tx>
            <c:strRef>
              <c:f>'SKU Revenue'!$D$14</c:f>
              <c:strCache>
                <c:ptCount val="1"/>
                <c:pt idx="0">
                  <c:v>F03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Revenue'!$E$14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D6-4093-9836-52CFC24A44DE}"/>
            </c:ext>
          </c:extLst>
        </c:ser>
        <c:ser>
          <c:idx val="11"/>
          <c:order val="11"/>
          <c:tx>
            <c:strRef>
              <c:f>'SKU Revenue'!$D$15</c:f>
              <c:strCache>
                <c:ptCount val="1"/>
                <c:pt idx="0">
                  <c:v>I01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Revenue'!$E$15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D6-4093-9836-52CFC24A44DE}"/>
            </c:ext>
          </c:extLst>
        </c:ser>
        <c:ser>
          <c:idx val="12"/>
          <c:order val="12"/>
          <c:tx>
            <c:strRef>
              <c:f>'SKU Revenue'!$D$16</c:f>
              <c:strCache>
                <c:ptCount val="1"/>
                <c:pt idx="0">
                  <c:v>I02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Revenue'!$E$16</c:f>
              <c:numCache>
                <c:formatCode>[$₹-4009]\ #,##0.00;[Red][$₹-4009]\ #,##0.00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D6-4093-9836-52CFC24A44DE}"/>
            </c:ext>
          </c:extLst>
        </c:ser>
        <c:ser>
          <c:idx val="13"/>
          <c:order val="13"/>
          <c:tx>
            <c:strRef>
              <c:f>'SKU Revenue'!$D$17</c:f>
              <c:strCache>
                <c:ptCount val="1"/>
                <c:pt idx="0">
                  <c:v>T01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Revenue'!$E$17</c:f>
              <c:numCache>
                <c:formatCode>[$₹-4009]\ #,##0.00;[Red][$₹-4009]\ #,##0.00</c:formatCode>
                <c:ptCount val="1"/>
                <c:pt idx="0">
                  <c:v>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D6-4093-9836-52CFC24A44DE}"/>
            </c:ext>
          </c:extLst>
        </c:ser>
        <c:ser>
          <c:idx val="14"/>
          <c:order val="14"/>
          <c:tx>
            <c:strRef>
              <c:f>'SKU Revenue'!$D$18</c:f>
              <c:strCache>
                <c:ptCount val="1"/>
                <c:pt idx="0">
                  <c:v>T02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Revenue'!$E$18</c:f>
              <c:numCache>
                <c:formatCode>[$₹-4009]\ #,##0.00;[Red][$₹-4009]\ #,##0.00</c:formatCode>
                <c:ptCount val="1"/>
                <c:pt idx="0">
                  <c:v>24465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D6-4093-9836-52CFC24A44DE}"/>
            </c:ext>
          </c:extLst>
        </c:ser>
        <c:ser>
          <c:idx val="15"/>
          <c:order val="15"/>
          <c:tx>
            <c:strRef>
              <c:f>'SKU Revenue'!$D$19</c:f>
              <c:strCache>
                <c:ptCount val="1"/>
                <c:pt idx="0">
                  <c:v>T03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Revenue'!$E$19</c:f>
              <c:numCache>
                <c:formatCode>[$₹-4009]\ #,##0.00;[Red][$₹-4009]\ #,##0.00</c:formatCode>
                <c:ptCount val="1"/>
                <c:pt idx="0">
                  <c:v>30299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D6-4093-9836-52CFC24A44DE}"/>
            </c:ext>
          </c:extLst>
        </c:ser>
        <c:ser>
          <c:idx val="16"/>
          <c:order val="16"/>
          <c:tx>
            <c:strRef>
              <c:f>'SKU Revenue'!$D$20</c:f>
              <c:strCache>
                <c:ptCount val="1"/>
                <c:pt idx="0">
                  <c:v>T04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Revenue'!$E$20</c:f>
              <c:numCache>
                <c:formatCode>[$₹-4009]\ #,##0.00;[Red][$₹-4009]\ #,##0.00</c:formatCode>
                <c:ptCount val="1"/>
                <c:pt idx="0">
                  <c:v>14384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D6-4093-9836-52CFC24A44DE}"/>
            </c:ext>
          </c:extLst>
        </c:ser>
        <c:ser>
          <c:idx val="17"/>
          <c:order val="17"/>
          <c:tx>
            <c:strRef>
              <c:f>'SKU Revenue'!$D$21</c:f>
              <c:strCache>
                <c:ptCount val="1"/>
                <c:pt idx="0">
                  <c:v>T05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'SKU Revenue'!$E$3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'SKU Revenue'!$E$21</c:f>
              <c:numCache>
                <c:formatCode>[$₹-4009]\ #,##0.00;[Red][$₹-4009]\ #,##0.00</c:formatCode>
                <c:ptCount val="1"/>
                <c:pt idx="0">
                  <c:v>13790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D6-4093-9836-52CFC24A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828319"/>
        <c:axId val="1385825823"/>
      </c:barChart>
      <c:catAx>
        <c:axId val="138582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5823"/>
        <c:crosses val="autoZero"/>
        <c:auto val="1"/>
        <c:lblAlgn val="ctr"/>
        <c:lblOffset val="100"/>
        <c:noMultiLvlLbl val="0"/>
      </c:catAx>
      <c:valAx>
        <c:axId val="13858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'WeekWise Sales'!$E$3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'WeekWise Sales'!$D$4:$D$17</c:f>
              <c:numCache>
                <c:formatCode>General</c:formatCode>
                <c:ptCount val="1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</c:numCache>
            </c:numRef>
          </c:cat>
          <c:val>
            <c:numRef>
              <c:f>'WeekWise Sales'!$E$4:$E$17</c:f>
              <c:numCache>
                <c:formatCode>General</c:formatCode>
                <c:ptCount val="14"/>
                <c:pt idx="0">
                  <c:v>10</c:v>
                </c:pt>
                <c:pt idx="1">
                  <c:v>57</c:v>
                </c:pt>
                <c:pt idx="2">
                  <c:v>3</c:v>
                </c:pt>
                <c:pt idx="3">
                  <c:v>22</c:v>
                </c:pt>
                <c:pt idx="4">
                  <c:v>33</c:v>
                </c:pt>
                <c:pt idx="5">
                  <c:v>17</c:v>
                </c:pt>
                <c:pt idx="6">
                  <c:v>7</c:v>
                </c:pt>
                <c:pt idx="7">
                  <c:v>5</c:v>
                </c:pt>
                <c:pt idx="8">
                  <c:v>12</c:v>
                </c:pt>
                <c:pt idx="9">
                  <c:v>25</c:v>
                </c:pt>
                <c:pt idx="10">
                  <c:v>15</c:v>
                </c:pt>
                <c:pt idx="11">
                  <c:v>27</c:v>
                </c:pt>
                <c:pt idx="12">
                  <c:v>15</c:v>
                </c:pt>
                <c:pt idx="1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4-4680-BB91-CE7B329A4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481231"/>
        <c:axId val="1541480399"/>
      </c:barChart>
      <c:catAx>
        <c:axId val="1541481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Week</a:t>
                </a:r>
                <a:r>
                  <a:rPr lang="en-GB" sz="1050" b="1" baseline="0"/>
                  <a:t> no.</a:t>
                </a:r>
                <a:endParaRPr lang="en-GB" sz="1050" b="1"/>
              </a:p>
            </c:rich>
          </c:tx>
          <c:layout>
            <c:manualLayout>
              <c:xMode val="edge"/>
              <c:yMode val="edge"/>
              <c:x val="0.48500568678915135"/>
              <c:y val="0.88972222222222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80399"/>
        <c:crosses val="autoZero"/>
        <c:auto val="1"/>
        <c:lblAlgn val="ctr"/>
        <c:lblOffset val="100"/>
        <c:noMultiLvlLbl val="0"/>
      </c:catAx>
      <c:valAx>
        <c:axId val="15414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Sales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41635826771653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48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WeekWise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'WeekWise Revenue'!$E$3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9402668416447943E-2"/>
                  <c:y val="-2.3148148148148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C6-4579-800C-20EEC7296CE1}"/>
                </c:ext>
              </c:extLst>
            </c:dLbl>
            <c:dLbl>
              <c:idx val="4"/>
              <c:layout>
                <c:manualLayout>
                  <c:x val="-8.337510936132983E-2"/>
                  <c:y val="-4.16666666666667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C6-4579-800C-20EEC7296CE1}"/>
                </c:ext>
              </c:extLst>
            </c:dLbl>
            <c:dLbl>
              <c:idx val="6"/>
              <c:layout>
                <c:manualLayout>
                  <c:x val="-0.12759853335640736"/>
                  <c:y val="1.243781094527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FC6-4579-800C-20EEC7296CE1}"/>
                </c:ext>
              </c:extLst>
            </c:dLbl>
            <c:dLbl>
              <c:idx val="7"/>
              <c:layout>
                <c:manualLayout>
                  <c:x val="9.7641040062299064E-3"/>
                  <c:y val="-8.29187396351575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FC6-4579-800C-20EEC7296CE1}"/>
                </c:ext>
              </c:extLst>
            </c:dLbl>
            <c:dLbl>
              <c:idx val="12"/>
              <c:layout>
                <c:manualLayout>
                  <c:x val="-3.7388956188168787E-3"/>
                  <c:y val="-6.6334991708126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FC6-4579-800C-20EEC7296CE1}"/>
                </c:ext>
              </c:extLst>
            </c:dLbl>
            <c:dLbl>
              <c:idx val="13"/>
              <c:layout>
                <c:manualLayout>
                  <c:x val="-2.2893772893772892E-2"/>
                  <c:y val="7.8772802653399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FC6-4579-800C-20EEC7296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'WeekWise Revenue'!$D$4:$D$17</c:f>
              <c:numCache>
                <c:formatCode>General</c:formatCode>
                <c:ptCount val="14"/>
                <c:pt idx="0">
                  <c:v>40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44</c:v>
                </c:pt>
                <c:pt idx="5">
                  <c:v>45</c:v>
                </c:pt>
                <c:pt idx="6">
                  <c:v>46</c:v>
                </c:pt>
                <c:pt idx="7">
                  <c:v>47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  <c:pt idx="11">
                  <c:v>51</c:v>
                </c:pt>
                <c:pt idx="12">
                  <c:v>52</c:v>
                </c:pt>
                <c:pt idx="13">
                  <c:v>53</c:v>
                </c:pt>
              </c:numCache>
            </c:numRef>
          </c:cat>
          <c:val>
            <c:numRef>
              <c:f>'WeekWise Revenue'!$E$4:$E$17</c:f>
              <c:numCache>
                <c:formatCode>[$₹-4009]\ #,##0.00;[Red][$₹-4009]\ #,##0.00</c:formatCode>
                <c:ptCount val="14"/>
                <c:pt idx="0">
                  <c:v>8211</c:v>
                </c:pt>
                <c:pt idx="1">
                  <c:v>46967</c:v>
                </c:pt>
                <c:pt idx="2">
                  <c:v>2397</c:v>
                </c:pt>
                <c:pt idx="3">
                  <c:v>18379</c:v>
                </c:pt>
                <c:pt idx="4">
                  <c:v>27450</c:v>
                </c:pt>
                <c:pt idx="5">
                  <c:v>14354</c:v>
                </c:pt>
                <c:pt idx="6">
                  <c:v>5605</c:v>
                </c:pt>
                <c:pt idx="7">
                  <c:v>4495</c:v>
                </c:pt>
                <c:pt idx="8">
                  <c:v>13129</c:v>
                </c:pt>
                <c:pt idx="9">
                  <c:v>26175</c:v>
                </c:pt>
                <c:pt idx="10">
                  <c:v>19825</c:v>
                </c:pt>
                <c:pt idx="11">
                  <c:v>29044</c:v>
                </c:pt>
                <c:pt idx="12">
                  <c:v>17865</c:v>
                </c:pt>
                <c:pt idx="13">
                  <c:v>16166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C6-4579-800C-20EEC7296C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84420511"/>
        <c:axId val="1984415103"/>
      </c:lineChart>
      <c:catAx>
        <c:axId val="198442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Week No.</a:t>
                </a:r>
              </a:p>
            </c:rich>
          </c:tx>
          <c:layout>
            <c:manualLayout>
              <c:xMode val="edge"/>
              <c:yMode val="edge"/>
              <c:x val="0.45238079615048116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15103"/>
        <c:crosses val="autoZero"/>
        <c:auto val="1"/>
        <c:lblAlgn val="ctr"/>
        <c:lblOffset val="100"/>
        <c:noMultiLvlLbl val="0"/>
      </c:catAx>
      <c:valAx>
        <c:axId val="198441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42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DayWise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'DayWise Sales'!$G$3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'DayWise Sales'!$F$4:$F$10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'DayWise Sales'!$G$4:$G$10</c:f>
              <c:numCache>
                <c:formatCode>General</c:formatCode>
                <c:ptCount val="7"/>
                <c:pt idx="0">
                  <c:v>51</c:v>
                </c:pt>
                <c:pt idx="1">
                  <c:v>19</c:v>
                </c:pt>
                <c:pt idx="2">
                  <c:v>25</c:v>
                </c:pt>
                <c:pt idx="3">
                  <c:v>11</c:v>
                </c:pt>
                <c:pt idx="4">
                  <c:v>43</c:v>
                </c:pt>
                <c:pt idx="5">
                  <c:v>66</c:v>
                </c:pt>
                <c:pt idx="6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C-47F2-8CF8-1190D3757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dk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01265359"/>
        <c:axId val="101267855"/>
      </c:lineChart>
      <c:catAx>
        <c:axId val="10126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67855"/>
        <c:crosses val="autoZero"/>
        <c:auto val="1"/>
        <c:lblAlgn val="ctr"/>
        <c:lblOffset val="100"/>
        <c:noMultiLvlLbl val="0"/>
      </c:catAx>
      <c:valAx>
        <c:axId val="101267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653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'DayWise Revenue'!$E$3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1"/>
              <c:layout>
                <c:manualLayout>
                  <c:x val="-1.0482180293501087E-2"/>
                  <c:y val="-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42-4F5B-81D2-07DECCC909C8}"/>
                </c:ext>
              </c:extLst>
            </c:dLbl>
            <c:dLbl>
              <c:idx val="2"/>
              <c:layout>
                <c:manualLayout>
                  <c:x val="1.4675052410901468E-2"/>
                  <c:y val="-4.6296296296296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42-4F5B-81D2-07DECCC909C8}"/>
                </c:ext>
              </c:extLst>
            </c:dLbl>
            <c:dLbl>
              <c:idx val="6"/>
              <c:layout>
                <c:manualLayout>
                  <c:x val="-3.7735849056603772E-2"/>
                  <c:y val="8.7962962962962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42-4F5B-81D2-07DECCC909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'DayWise Revenue'!$D$4:$D$10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'DayWise Revenue'!$E$4:$E$10</c:f>
              <c:numCache>
                <c:formatCode>[$₹-4009]\ #,##0.00;[Red][$₹-4009]\ #,##0.00</c:formatCode>
                <c:ptCount val="7"/>
                <c:pt idx="0">
                  <c:v>50946</c:v>
                </c:pt>
                <c:pt idx="1">
                  <c:v>20203</c:v>
                </c:pt>
                <c:pt idx="2">
                  <c:v>23798</c:v>
                </c:pt>
                <c:pt idx="3">
                  <c:v>12449</c:v>
                </c:pt>
                <c:pt idx="4">
                  <c:v>43598</c:v>
                </c:pt>
                <c:pt idx="5">
                  <c:v>56761</c:v>
                </c:pt>
                <c:pt idx="6">
                  <c:v>42307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42-4F5B-81D2-07DECCC909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6104143"/>
        <c:axId val="1676105391"/>
      </c:lineChart>
      <c:catAx>
        <c:axId val="167610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05391"/>
        <c:crosses val="autoZero"/>
        <c:auto val="1"/>
        <c:lblAlgn val="ctr"/>
        <c:lblOffset val="100"/>
        <c:noMultiLvlLbl val="0"/>
      </c:catAx>
      <c:valAx>
        <c:axId val="1676105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32417432195975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'SKU Monthly Sales'!$O$4:$O$5</c:f>
              <c:strCache>
                <c:ptCount val="2"/>
                <c:pt idx="0">
                  <c:v>SALES</c:v>
                </c:pt>
                <c:pt idx="1">
                  <c:v>DEC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'SKU Monthly Sales'!$K$6:$K$18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Sales'!$O$6:$O$18</c:f>
              <c:numCache>
                <c:formatCode>[$₹-4009]\ #,##0.00;[Red][$₹-4009]\ #,##0.00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0-4433-8C72-8DE60275CBBB}"/>
            </c:ext>
          </c:extLst>
        </c:ser>
        <c:ser>
          <c:idx val="1"/>
          <c:order val="1"/>
          <c:tx>
            <c:strRef>
              <c:f>'SKU Monthly Sales'!$P$4:$P$5</c:f>
              <c:strCache>
                <c:ptCount val="2"/>
                <c:pt idx="0">
                  <c:v>SALES</c:v>
                </c:pt>
                <c:pt idx="1">
                  <c:v>DEC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'SKU Monthly Sales'!$K$6:$K$18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Sales'!$P$6:$P$18</c:f>
              <c:numCache>
                <c:formatCode>[$₹-4009]\ #,##0.00;[Red][$₹-4009]\ #,##0.00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60-4433-8C72-8DE60275CBBB}"/>
            </c:ext>
          </c:extLst>
        </c:ser>
        <c:ser>
          <c:idx val="2"/>
          <c:order val="2"/>
          <c:tx>
            <c:strRef>
              <c:f>'SKU Monthly Sales'!$Q$4:$Q$5</c:f>
              <c:strCache>
                <c:ptCount val="2"/>
                <c:pt idx="0">
                  <c:v>SALES</c:v>
                </c:pt>
                <c:pt idx="1">
                  <c:v>DEC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'SKU Monthly Sales'!$K$6:$K$18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Sales'!$Q$6:$Q$18</c:f>
              <c:numCache>
                <c:formatCode>[$₹-4009]\ #,##0.00;[Red][$₹-4009]\ #,##0.00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60-4433-8C72-8DE60275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3867615"/>
        <c:axId val="973855967"/>
      </c:lineChart>
      <c:catAx>
        <c:axId val="97386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55967"/>
        <c:crosses val="autoZero"/>
        <c:auto val="1"/>
        <c:lblAlgn val="ctr"/>
        <c:lblOffset val="100"/>
        <c:noMultiLvlLbl val="0"/>
      </c:catAx>
      <c:valAx>
        <c:axId val="9738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6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MONTHLY</a:t>
            </a:r>
            <a:r>
              <a:rPr lang="en-GB" b="1" baseline="0"/>
              <a:t> SKU - WISE SALES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'SKU Monthly Sales'!$L$4:$L$5</c:f>
              <c:strCache>
                <c:ptCount val="2"/>
                <c:pt idx="0">
                  <c:v>SALES</c:v>
                </c:pt>
                <c:pt idx="1">
                  <c:v>OCT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4.4549549549549552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8D-4114-9732-85BFFCC9CD7B}"/>
                </c:ext>
              </c:extLst>
            </c:dLbl>
            <c:dLbl>
              <c:idx val="5"/>
              <c:layout>
                <c:manualLayout>
                  <c:x val="-3.7792792792792879E-2"/>
                  <c:y val="-0.1411690726159230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D-4114-9732-85BFFCC9CD7B}"/>
                </c:ext>
              </c:extLst>
            </c:dLbl>
            <c:dLbl>
              <c:idx val="8"/>
              <c:layout>
                <c:manualLayout>
                  <c:x val="-6.2612612612612615E-3"/>
                  <c:y val="-7.1724628171478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8D-4114-9732-85BFFCC9CD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'SKU Monthly Sales'!$K$6:$K$15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Sales'!$L$6:$L$15</c:f>
              <c:numCache>
                <c:formatCode>General</c:formatCode>
                <c:ptCount val="10"/>
                <c:pt idx="0">
                  <c:v>0</c:v>
                </c:pt>
                <c:pt idx="1">
                  <c:v>52</c:v>
                </c:pt>
                <c:pt idx="2">
                  <c:v>8</c:v>
                </c:pt>
                <c:pt idx="3">
                  <c:v>12</c:v>
                </c:pt>
                <c:pt idx="4">
                  <c:v>8</c:v>
                </c:pt>
                <c:pt idx="5">
                  <c:v>3</c:v>
                </c:pt>
                <c:pt idx="6">
                  <c:v>19</c:v>
                </c:pt>
                <c:pt idx="7">
                  <c:v>27</c:v>
                </c:pt>
                <c:pt idx="8">
                  <c:v>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CC-481E-AF48-9CB45F7657A7}"/>
            </c:ext>
          </c:extLst>
        </c:ser>
        <c:ser>
          <c:idx val="1"/>
          <c:order val="1"/>
          <c:tx>
            <c:strRef>
              <c:f>'SKU Monthly Sales'!$M$4:$M$5</c:f>
              <c:strCache>
                <c:ptCount val="2"/>
                <c:pt idx="0">
                  <c:v>SALES</c:v>
                </c:pt>
                <c:pt idx="1">
                  <c:v>NOV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9054054054054053E-2"/>
                  <c:y val="-9.02431466899971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8D-4114-9732-85BFFCC9CD7B}"/>
                </c:ext>
              </c:extLst>
            </c:dLbl>
            <c:dLbl>
              <c:idx val="4"/>
              <c:layout>
                <c:manualLayout>
                  <c:x val="-4.63963963963964E-3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8D-4114-9732-85BFFCC9CD7B}"/>
                </c:ext>
              </c:extLst>
            </c:dLbl>
            <c:dLbl>
              <c:idx val="5"/>
              <c:layout>
                <c:manualLayout>
                  <c:x val="-8.5135135135135966E-3"/>
                  <c:y val="-9.02431466899971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8D-4114-9732-85BFFCC9CD7B}"/>
                </c:ext>
              </c:extLst>
            </c:dLbl>
            <c:dLbl>
              <c:idx val="8"/>
              <c:layout>
                <c:manualLayout>
                  <c:x val="-2.2027027027027028E-2"/>
                  <c:y val="-0.118020924467774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8D-4114-9732-85BFFCC9CD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'SKU Monthly Sales'!$K$6:$K$15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Sales'!$M$6:$M$15</c:f>
              <c:numCache>
                <c:formatCode>General</c:formatCode>
                <c:ptCount val="1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  <c:pt idx="4">
                  <c:v>10</c:v>
                </c:pt>
                <c:pt idx="5">
                  <c:v>0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CC-481E-AF48-9CB45F7657A7}"/>
            </c:ext>
          </c:extLst>
        </c:ser>
        <c:ser>
          <c:idx val="2"/>
          <c:order val="2"/>
          <c:tx>
            <c:strRef>
              <c:f>'SKU Monthly Sales'!$N$4:$N$5</c:f>
              <c:strCache>
                <c:ptCount val="2"/>
                <c:pt idx="0">
                  <c:v>SALES</c:v>
                </c:pt>
                <c:pt idx="1">
                  <c:v>DEC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4549549549549552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8D-4114-9732-85BFFCC9CD7B}"/>
                </c:ext>
              </c:extLst>
            </c:dLbl>
            <c:dLbl>
              <c:idx val="2"/>
              <c:layout>
                <c:manualLayout>
                  <c:x val="1.626126126126122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8D-4114-9732-85BFFCC9CD7B}"/>
                </c:ext>
              </c:extLst>
            </c:dLbl>
            <c:dLbl>
              <c:idx val="3"/>
              <c:layout>
                <c:manualLayout>
                  <c:x val="-4.0045045045045045E-2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8D-4114-9732-85BFFCC9CD7B}"/>
                </c:ext>
              </c:extLst>
            </c:dLbl>
            <c:dLbl>
              <c:idx val="5"/>
              <c:layout>
                <c:manualLayout>
                  <c:x val="4.9549549549541291E-4"/>
                  <c:y val="-0.155057961504811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8D-4114-9732-85BFFCC9CD7B}"/>
                </c:ext>
              </c:extLst>
            </c:dLbl>
            <c:dLbl>
              <c:idx val="6"/>
              <c:layout>
                <c:manualLayout>
                  <c:x val="5.0000000000000001E-3"/>
                  <c:y val="-5.78357392825896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8D-4114-9732-85BFFCC9CD7B}"/>
                </c:ext>
              </c:extLst>
            </c:dLbl>
            <c:dLbl>
              <c:idx val="8"/>
              <c:layout>
                <c:manualLayout>
                  <c:x val="-4.0045045045045045E-2"/>
                  <c:y val="-0.1596875911344415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8D-4114-9732-85BFFCC9CD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'SKU Monthly Sales'!$K$6:$K$15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Sales'!$N$6:$N$15</c:f>
              <c:numCache>
                <c:formatCode>General</c:formatCode>
                <c:ptCount val="10"/>
                <c:pt idx="0">
                  <c:v>1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36</c:v>
                </c:pt>
                <c:pt idx="5">
                  <c:v>1</c:v>
                </c:pt>
                <c:pt idx="6">
                  <c:v>9</c:v>
                </c:pt>
                <c:pt idx="7">
                  <c:v>7</c:v>
                </c:pt>
                <c:pt idx="8">
                  <c:v>1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CC-481E-AF48-9CB45F7657A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6218880"/>
        <c:axId val="1256243424"/>
      </c:lineChart>
      <c:catAx>
        <c:axId val="1256218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43424"/>
        <c:crosses val="autoZero"/>
        <c:auto val="1"/>
        <c:lblAlgn val="ctr"/>
        <c:lblOffset val="100"/>
        <c:noMultiLvlLbl val="0"/>
      </c:catAx>
      <c:valAx>
        <c:axId val="12562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2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MONTHLY</a:t>
            </a:r>
            <a:r>
              <a:rPr lang="en-GB" b="1" baseline="0"/>
              <a:t> SKU WISE REVENUE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'SKU Monthly Revenue'!$I$3:$I$4</c:f>
              <c:strCache>
                <c:ptCount val="2"/>
                <c:pt idx="0">
                  <c:v>MONTH</c:v>
                </c:pt>
                <c:pt idx="1">
                  <c:v>OCT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'SKU Monthly Revenue'!$H$5:$H$14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Revenue'!$I$5:$I$14</c:f>
              <c:numCache>
                <c:formatCode>[$₹-4009]\ #,##0.00;[Red][$₹-4009]\ #,##0.00</c:formatCode>
                <c:ptCount val="10"/>
                <c:pt idx="0">
                  <c:v>0</c:v>
                </c:pt>
                <c:pt idx="1">
                  <c:v>44148</c:v>
                </c:pt>
                <c:pt idx="2">
                  <c:v>8000</c:v>
                </c:pt>
                <c:pt idx="3">
                  <c:v>8160</c:v>
                </c:pt>
                <c:pt idx="4">
                  <c:v>11752</c:v>
                </c:pt>
                <c:pt idx="5">
                  <c:v>1647</c:v>
                </c:pt>
                <c:pt idx="6">
                  <c:v>13281</c:v>
                </c:pt>
                <c:pt idx="7">
                  <c:v>19953</c:v>
                </c:pt>
                <c:pt idx="8">
                  <c:v>5394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CD7-A286-53F0F21495C3}"/>
            </c:ext>
          </c:extLst>
        </c:ser>
        <c:ser>
          <c:idx val="1"/>
          <c:order val="1"/>
          <c:tx>
            <c:strRef>
              <c:f>'SKU Monthly Revenue'!$J$3:$J$4</c:f>
              <c:strCache>
                <c:ptCount val="2"/>
                <c:pt idx="0">
                  <c:v>MONTH</c:v>
                </c:pt>
                <c:pt idx="1">
                  <c:v>NOV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'SKU Monthly Revenue'!$H$5:$H$14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Revenue'!$J$5:$J$14</c:f>
              <c:numCache>
                <c:formatCode>[$₹-4009]\ #,##0.00;[Red][$₹-4009]\ #,##0.00</c:formatCode>
                <c:ptCount val="10"/>
                <c:pt idx="0">
                  <c:v>0</c:v>
                </c:pt>
                <c:pt idx="1">
                  <c:v>5094</c:v>
                </c:pt>
                <c:pt idx="2">
                  <c:v>2000</c:v>
                </c:pt>
                <c:pt idx="3">
                  <c:v>680</c:v>
                </c:pt>
                <c:pt idx="4">
                  <c:v>14690</c:v>
                </c:pt>
                <c:pt idx="5">
                  <c:v>0</c:v>
                </c:pt>
                <c:pt idx="6">
                  <c:v>4893</c:v>
                </c:pt>
                <c:pt idx="7">
                  <c:v>5173</c:v>
                </c:pt>
                <c:pt idx="8">
                  <c:v>8091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3-4CD7-A286-53F0F21495C3}"/>
            </c:ext>
          </c:extLst>
        </c:ser>
        <c:ser>
          <c:idx val="2"/>
          <c:order val="2"/>
          <c:tx>
            <c:strRef>
              <c:f>'SKU Monthly Revenue'!$K$3:$K$4</c:f>
              <c:strCache>
                <c:ptCount val="2"/>
                <c:pt idx="0">
                  <c:v>MONTH</c:v>
                </c:pt>
                <c:pt idx="1">
                  <c:v>DEC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'SKU Monthly Revenue'!$H$5:$H$14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'SKU Monthly Revenue'!$K$5:$K$14</c:f>
              <c:numCache>
                <c:formatCode>[$₹-4009]\ #,##0.00;[Red][$₹-4009]\ #,##0.00</c:formatCode>
                <c:ptCount val="10"/>
                <c:pt idx="0">
                  <c:v>540</c:v>
                </c:pt>
                <c:pt idx="1">
                  <c:v>16980</c:v>
                </c:pt>
                <c:pt idx="2">
                  <c:v>0</c:v>
                </c:pt>
                <c:pt idx="3">
                  <c:v>0</c:v>
                </c:pt>
                <c:pt idx="4">
                  <c:v>52884</c:v>
                </c:pt>
                <c:pt idx="5">
                  <c:v>549</c:v>
                </c:pt>
                <c:pt idx="6">
                  <c:v>6291</c:v>
                </c:pt>
                <c:pt idx="7">
                  <c:v>5173</c:v>
                </c:pt>
                <c:pt idx="8">
                  <c:v>899</c:v>
                </c:pt>
                <c:pt idx="9">
                  <c:v>13790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3-4CD7-A286-53F0F2149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751840"/>
        <c:axId val="526728544"/>
      </c:barChart>
      <c:catAx>
        <c:axId val="52675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SKU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28544"/>
        <c:crosses val="autoZero"/>
        <c:auto val="1"/>
        <c:lblAlgn val="ctr"/>
        <c:lblOffset val="100"/>
        <c:noMultiLvlLbl val="0"/>
      </c:catAx>
      <c:valAx>
        <c:axId val="5267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5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1"/>
              <a:t>Scatter</a:t>
            </a:r>
            <a:r>
              <a:rPr lang="en-GB" sz="1600" b="1" baseline="0"/>
              <a:t> Plot</a:t>
            </a:r>
            <a:endParaRPr lang="en-GB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Plot'!$F$4:$F$8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'Scatter Plot'!$G$4:$G$8</c:f>
              <c:numCache>
                <c:formatCode>[$₹-4009]\ #,##0.00;[Red][$₹-4009]\ #,##0.00</c:formatCode>
                <c:ptCount val="5"/>
                <c:pt idx="0">
                  <c:v>540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4-4F20-AFC5-D4C73E98D54A}"/>
            </c:ext>
          </c:extLst>
        </c:ser>
        <c:ser>
          <c:idx val="1"/>
          <c:order val="1"/>
          <c:tx>
            <c:v>BW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CF1FCC2-3726-43B0-8E93-2AA789A04A2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6A4-4F20-AFC5-D4C73E98D54A}"/>
                </c:ext>
              </c:extLst>
            </c:dLbl>
            <c:dLbl>
              <c:idx val="1"/>
              <c:layout>
                <c:manualLayout>
                  <c:x val="-2.5000000000000001E-2"/>
                  <c:y val="6.9444444444444448E-2"/>
                </c:manualLayout>
              </c:layout>
              <c:tx>
                <c:rich>
                  <a:bodyPr/>
                  <a:lstStyle/>
                  <a:p>
                    <a:fld id="{F676E2D5-CB9D-403A-825E-FDCB31D948E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6A4-4F20-AFC5-D4C73E98D54A}"/>
                </c:ext>
              </c:extLst>
            </c:dLbl>
            <c:dLbl>
              <c:idx val="2"/>
              <c:layout>
                <c:manualLayout>
                  <c:x val="7.4999999999999956E-2"/>
                  <c:y val="9.2592592592592587E-3"/>
                </c:manualLayout>
              </c:layout>
              <c:tx>
                <c:rich>
                  <a:bodyPr/>
                  <a:lstStyle/>
                  <a:p>
                    <a:fld id="{E42C2403-908E-4EA3-B51D-B28B15D6DCF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56A4-4F20-AFC5-D4C73E98D5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Plot'!$F$9:$F$11</c:f>
              <c:numCache>
                <c:formatCode>General</c:formatCode>
                <c:ptCount val="3"/>
                <c:pt idx="0">
                  <c:v>78</c:v>
                </c:pt>
                <c:pt idx="1">
                  <c:v>10</c:v>
                </c:pt>
                <c:pt idx="2">
                  <c:v>13</c:v>
                </c:pt>
              </c:numCache>
            </c:numRef>
          </c:xVal>
          <c:yVal>
            <c:numRef>
              <c:f>'Scatter Plot'!$G$9:$G$11</c:f>
              <c:numCache>
                <c:formatCode>[$₹-4009]\ #,##0.00;[Red][$₹-4009]\ #,##0.00</c:formatCode>
                <c:ptCount val="3"/>
                <c:pt idx="0">
                  <c:v>66222</c:v>
                </c:pt>
                <c:pt idx="1">
                  <c:v>10000</c:v>
                </c:pt>
                <c:pt idx="2">
                  <c:v>8840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'Scatter Plot'!$E$9:$E$11</c15:f>
                <c15:dlblRangeCache>
                  <c:ptCount val="3"/>
                  <c:pt idx="0">
                    <c:v>B01</c:v>
                  </c:pt>
                  <c:pt idx="1">
                    <c:v>B02</c:v>
                  </c:pt>
                  <c:pt idx="2">
                    <c:v>B03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6A4-4F20-AFC5-D4C73E98D54A}"/>
            </c:ext>
          </c:extLst>
        </c:ser>
        <c:ser>
          <c:idx val="2"/>
          <c:order val="2"/>
          <c:tx>
            <c:v>FW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DB69D81-3D38-4E50-BEFD-2A4502CC20C4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6A4-4F20-AFC5-D4C73E98D5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AF6D62-B318-4B61-B8C0-74BAC58B36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6A4-4F20-AFC5-D4C73E98D5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40A059-AC18-4FB2-826D-724917695B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6A4-4F20-AFC5-D4C73E98D5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Plot'!$F$12:$F$14</c:f>
              <c:numCache>
                <c:formatCode>General</c:formatCode>
                <c:ptCount val="3"/>
                <c:pt idx="0">
                  <c:v>54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'Scatter Plot'!$G$12:$G$14</c:f>
              <c:numCache>
                <c:formatCode>[$₹-4009]\ #,##0.00;[Red][$₹-4009]\ #,##0.00</c:formatCode>
                <c:ptCount val="3"/>
                <c:pt idx="0">
                  <c:v>79326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'Scatter Plot'!$E$12:$E$14</c15:f>
                <c15:dlblRangeCache>
                  <c:ptCount val="3"/>
                  <c:pt idx="0">
                    <c:v>F01</c:v>
                  </c:pt>
                  <c:pt idx="1">
                    <c:v>F02</c:v>
                  </c:pt>
                  <c:pt idx="2">
                    <c:v>F03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6A4-4F20-AFC5-D4C73E98D54A}"/>
            </c:ext>
          </c:extLst>
        </c:ser>
        <c:ser>
          <c:idx val="3"/>
          <c:order val="3"/>
          <c:tx>
            <c:v>IW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'Scatter Plot'!$F$15:$F$16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'Scatter Plot'!$G$15:$G$16</c:f>
              <c:numCache>
                <c:formatCode>[$₹-4009]\ #,##0.00;[Red][$₹-4009]\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A4-4F20-AFC5-D4C73E98D54A}"/>
            </c:ext>
          </c:extLst>
        </c:ser>
        <c:ser>
          <c:idx val="4"/>
          <c:order val="4"/>
          <c:tx>
            <c:v>TW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7777777777777776E-2"/>
                  <c:y val="-8.7962962962962965E-2"/>
                </c:manualLayout>
              </c:layout>
              <c:tx>
                <c:rich>
                  <a:bodyPr/>
                  <a:lstStyle/>
                  <a:p>
                    <a:fld id="{1C1C4FD3-2EA9-40C4-964D-B4B313C220F2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6A4-4F20-AFC5-D4C73E98D5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B2156C-15E6-4466-83BD-A7752BEBB06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6A4-4F20-AFC5-D4C73E98D5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ADA2D5F-7824-4366-B34C-70FA1F7B5AF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6A4-4F20-AFC5-D4C73E98D5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C46875-0724-44C5-BA97-48B724E9DA4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6A4-4F20-AFC5-D4C73E98D54A}"/>
                </c:ext>
              </c:extLst>
            </c:dLbl>
            <c:dLbl>
              <c:idx val="4"/>
              <c:layout>
                <c:manualLayout>
                  <c:x val="-8.3333333333333332E-3"/>
                  <c:y val="-0.10648148148148157"/>
                </c:manualLayout>
              </c:layout>
              <c:tx>
                <c:rich>
                  <a:bodyPr/>
                  <a:lstStyle/>
                  <a:p>
                    <a:fld id="{285F1C9A-C5EC-49D1-82C4-29EDDBECC54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6A4-4F20-AFC5-D4C73E98D5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Plot'!$F$17:$F$21</c:f>
              <c:numCache>
                <c:formatCode>General</c:formatCode>
                <c:ptCount val="5"/>
                <c:pt idx="0">
                  <c:v>4</c:v>
                </c:pt>
                <c:pt idx="1">
                  <c:v>35</c:v>
                </c:pt>
                <c:pt idx="2">
                  <c:v>41</c:v>
                </c:pt>
                <c:pt idx="3">
                  <c:v>16</c:v>
                </c:pt>
                <c:pt idx="4">
                  <c:v>10</c:v>
                </c:pt>
              </c:numCache>
            </c:numRef>
          </c:xVal>
          <c:yVal>
            <c:numRef>
              <c:f>'Scatter Plot'!$G$17:$G$21</c:f>
              <c:numCache>
                <c:formatCode>[$₹-4009]\ #,##0.00;[Red][$₹-4009]\ #,##0.00</c:formatCode>
                <c:ptCount val="5"/>
                <c:pt idx="0">
                  <c:v>2196</c:v>
                </c:pt>
                <c:pt idx="1">
                  <c:v>24465</c:v>
                </c:pt>
                <c:pt idx="2">
                  <c:v>30299</c:v>
                </c:pt>
                <c:pt idx="3">
                  <c:v>14384</c:v>
                </c:pt>
                <c:pt idx="4">
                  <c:v>13790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'Scatter Plot'!$E$17:$E$21</c15:f>
                <c15:dlblRangeCache>
                  <c:ptCount val="5"/>
                  <c:pt idx="0">
                    <c:v>T01</c:v>
                  </c:pt>
                  <c:pt idx="1">
                    <c:v>T02</c:v>
                  </c:pt>
                  <c:pt idx="2">
                    <c:v>T03</c:v>
                  </c:pt>
                  <c:pt idx="3">
                    <c:v>T04</c:v>
                  </c:pt>
                  <c:pt idx="4">
                    <c:v>T05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6A4-4F20-AFC5-D4C73E98D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40272"/>
        <c:axId val="943811584"/>
      </c:scatterChart>
      <c:valAx>
        <c:axId val="868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50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11584"/>
        <c:crosses val="autoZero"/>
        <c:crossBetween val="midCat"/>
      </c:valAx>
      <c:valAx>
        <c:axId val="9438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009]\ #,##0.00;[Red][$₹-4009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layout>
        <c:manualLayout>
          <c:xMode val="edge"/>
          <c:yMode val="edge"/>
          <c:x val="0.42895822397200351"/>
          <c:y val="0.467592592592592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'Profit '!$E$3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4CF-4FF9-8C45-B4147E29531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F-4FF9-8C45-B4147E29531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04CF-4FF9-8C45-B4147E29531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CF-4FF9-8C45-B4147E29531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4CF-4FF9-8C45-B4147E29531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F-4FF9-8C45-B4147E29531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4CF-4FF9-8C45-B4147E29531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F-4FF9-8C45-B4147E29531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04CF-4FF9-8C45-B4147E29531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F-4FF9-8C45-B4147E295318}"/>
              </c:ext>
            </c:extLst>
          </c:dPt>
          <c:dLbls>
            <c:dLbl>
              <c:idx val="0"/>
              <c:layout>
                <c:manualLayout>
                  <c:x val="6.9444444444444337E-2"/>
                  <c:y val="-0.1759259259259259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CF-4FF9-8C45-B4147E295318}"/>
                </c:ext>
              </c:extLst>
            </c:dLbl>
            <c:dLbl>
              <c:idx val="1"/>
              <c:layout>
                <c:manualLayout>
                  <c:x val="0.1111111111111111"/>
                  <c:y val="-6.944444444444448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CF-4FF9-8C45-B4147E295318}"/>
                </c:ext>
              </c:extLst>
            </c:dLbl>
            <c:dLbl>
              <c:idx val="2"/>
              <c:layout>
                <c:manualLayout>
                  <c:x val="0.19166666666666668"/>
                  <c:y val="4.6296296296297144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4CF-4FF9-8C45-B4147E295318}"/>
                </c:ext>
              </c:extLst>
            </c:dLbl>
            <c:dLbl>
              <c:idx val="3"/>
              <c:layout>
                <c:manualLayout>
                  <c:x val="0.10277777777777777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CF-4FF9-8C45-B4147E295318}"/>
                </c:ext>
              </c:extLst>
            </c:dLbl>
            <c:dLbl>
              <c:idx val="4"/>
              <c:layout>
                <c:manualLayout>
                  <c:x val="-0.1388888888888889"/>
                  <c:y val="3.240740740740732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CF-4FF9-8C45-B4147E295318}"/>
                </c:ext>
              </c:extLst>
            </c:dLbl>
            <c:dLbl>
              <c:idx val="5"/>
              <c:layout>
                <c:manualLayout>
                  <c:x val="-0.12777777777777777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CF-4FF9-8C45-B4147E295318}"/>
                </c:ext>
              </c:extLst>
            </c:dLbl>
            <c:dLbl>
              <c:idx val="6"/>
              <c:layout>
                <c:manualLayout>
                  <c:x val="-0.10555555555555556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4CF-4FF9-8C45-B4147E295318}"/>
                </c:ext>
              </c:extLst>
            </c:dLbl>
            <c:dLbl>
              <c:idx val="7"/>
              <c:layout>
                <c:manualLayout>
                  <c:x val="-0.11388888888888891"/>
                  <c:y val="-4.1666666666666623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F-4FF9-8C45-B4147E295318}"/>
                </c:ext>
              </c:extLst>
            </c:dLbl>
            <c:dLbl>
              <c:idx val="8"/>
              <c:layout>
                <c:manualLayout>
                  <c:x val="-0.11388888888888889"/>
                  <c:y val="-7.407407407407411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CF-4FF9-8C45-B4147E295318}"/>
                </c:ext>
              </c:extLst>
            </c:dLbl>
            <c:dLbl>
              <c:idx val="9"/>
              <c:layout>
                <c:manualLayout>
                  <c:x val="-8.6111111111111166E-2"/>
                  <c:y val="-0.18055555555555555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CF-4FF9-8C45-B4147E29531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'Profit '!$D$4:$D$13</c:f>
              <c:strCache>
                <c:ptCount val="10"/>
                <c:pt idx="0">
                  <c:v>A01</c:v>
                </c:pt>
                <c:pt idx="1">
                  <c:v>B01</c:v>
                </c:pt>
                <c:pt idx="2">
                  <c:v>B02</c:v>
                </c:pt>
                <c:pt idx="3">
                  <c:v>B03</c:v>
                </c:pt>
                <c:pt idx="4">
                  <c:v>F01</c:v>
                </c:pt>
                <c:pt idx="5">
                  <c:v>T01</c:v>
                </c:pt>
                <c:pt idx="6">
                  <c:v>T02</c:v>
                </c:pt>
                <c:pt idx="7">
                  <c:v>T03</c:v>
                </c:pt>
                <c:pt idx="8">
                  <c:v>T04</c:v>
                </c:pt>
                <c:pt idx="9">
                  <c:v>T05</c:v>
                </c:pt>
              </c:strCache>
            </c:strRef>
          </c:cat>
          <c:val>
            <c:numRef>
              <c:f>'Profit '!$E$4:$E$13</c:f>
              <c:numCache>
                <c:formatCode>[$₹-4009]\ #,##0.00;[Red][$₹-4009]\ #,##0.00</c:formatCode>
                <c:ptCount val="10"/>
                <c:pt idx="0">
                  <c:v>143</c:v>
                </c:pt>
                <c:pt idx="1">
                  <c:v>24882</c:v>
                </c:pt>
                <c:pt idx="2">
                  <c:v>2320</c:v>
                </c:pt>
                <c:pt idx="3">
                  <c:v>1430</c:v>
                </c:pt>
                <c:pt idx="4">
                  <c:v>15390</c:v>
                </c:pt>
                <c:pt idx="5">
                  <c:v>736</c:v>
                </c:pt>
                <c:pt idx="6">
                  <c:v>5215</c:v>
                </c:pt>
                <c:pt idx="7">
                  <c:v>4879</c:v>
                </c:pt>
                <c:pt idx="8">
                  <c:v>2960</c:v>
                </c:pt>
                <c:pt idx="9">
                  <c:v>4890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F-4FF9-8C45-B4147E295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Volume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Calibri" panose="020F0502020204030204"/>
            </a:rPr>
            <a:t>Volume Pareto</a:t>
          </a:r>
        </a:p>
      </cx:txPr>
    </cx:title>
    <cx:plotArea>
      <cx:plotAreaRegion>
        <cx:series layoutId="clusteredColumn" uniqueId="{DF838641-E912-4460-A979-62B9B1262DCF}" formatIdx="0">
          <cx:tx>
            <cx:txData>
              <cx:f>_xlchart.v1.1</cx:f>
              <cx:v>Sales</cx:v>
            </cx:txData>
          </cx:tx>
          <cx:dataLabels pos="in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86291ED0-A7C2-40C1-8FEA-E578B5CF8ABA}" formatIdx="1">
          <cx:axisId val="2"/>
        </cx:series>
        <cx:series layoutId="clusteredColumn" hidden="1" uniqueId="{6D10D9EA-A81E-411C-B8CC-DC3B16D33F33}" formatIdx="2">
          <cx:tx>
            <cx:txData>
              <cx:f>_xlchart.v1.3</cx:f>
              <cx:v>Percentage</cx:v>
            </cx:txData>
          </cx:tx>
          <cx:dataLabels pos="inEnd">
            <cx:visibility seriesName="0" categoryName="0" value="0"/>
            <cx:separator>, </cx:separator>
          </cx:dataLabels>
          <cx:dataId val="1"/>
          <cx:layoutPr>
            <cx:aggregation/>
          </cx:layoutPr>
          <cx:axisId val="1"/>
        </cx:series>
        <cx:series layoutId="paretoLine" ownerIdx="2" uniqueId="{AA8E8966-F459-45D6-B772-A4F3735AF98B}" formatIdx="3">
          <cx:axisId val="2"/>
        </cx:series>
      </cx:plotAreaRegion>
      <cx:axis id="0">
        <cx:catScaling gapWidth="0"/>
        <cx:title>
          <cx:tx>
            <cx:txData>
              <cx:v>SKU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50"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SKU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Volume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Volume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title>
          <cx:tx>
            <cx:txData>
              <cx:v>Percentage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Percentage</a:t>
              </a:r>
            </a:p>
          </cx:txPr>
        </cx:title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  <cx:data id="2">
      <cx:strDim type="cat">
        <cx:f>_xlchart.v1.5</cx:f>
      </cx:strDim>
      <cx:numDim type="val">
        <cx:f>_xlchart.v1.11</cx:f>
      </cx:numDim>
    </cx:data>
  </cx:chartData>
  <cx:chart>
    <cx:title pos="t" align="ctr" overlay="0">
      <cx:tx>
        <cx:txData>
          <cx:v>Revenue Pareto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 Pareto</a:t>
          </a:r>
        </a:p>
      </cx:txPr>
    </cx:title>
    <cx:plotArea>
      <cx:plotAreaRegion>
        <cx:series layoutId="clusteredColumn" uniqueId="{0BB9FE02-92FD-47B1-813A-856DA9CBE5D4}" formatIdx="0">
          <cx:tx>
            <cx:txData>
              <cx:f>_xlchart.v1.6</cx:f>
              <cx:v>Revenue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F55F4E0-99D9-410A-B391-53690AAA62CA}" formatIdx="1">
          <cx:axisId val="2"/>
        </cx:series>
        <cx:series layoutId="clusteredColumn" hidden="1" uniqueId="{617848BB-F7CD-4A2A-8264-314052993CD0}" formatIdx="2">
          <cx:tx>
            <cx:txData>
              <cx:f>_xlchart.v1.8</cx:f>
              <cx:v>Cumulative frequency</cx:v>
            </cx:txData>
          </cx:tx>
          <cx:dataId val="1"/>
          <cx:layoutPr>
            <cx:aggregation/>
          </cx:layoutPr>
          <cx:axisId val="1"/>
        </cx:series>
        <cx:series layoutId="paretoLine" ownerIdx="2" uniqueId="{2573CEA4-6B5A-4B34-9CBF-CB24E8B46950}" formatIdx="3">
          <cx:axisId val="2"/>
        </cx:series>
        <cx:series layoutId="clusteredColumn" hidden="1" uniqueId="{6D525973-4AF6-4A83-A61B-1CC7AF8AB572}" formatIdx="4">
          <cx:tx>
            <cx:txData>
              <cx:f>_xlchart.v1.10</cx:f>
              <cx:v>Percentage</cx:v>
            </cx:txData>
          </cx:tx>
          <cx:dataId val="2"/>
          <cx:layoutPr>
            <cx:aggregation/>
          </cx:layoutPr>
          <cx:axisId val="1"/>
        </cx:series>
        <cx:series layoutId="paretoLine" ownerIdx="4" uniqueId="{52F0C4E5-4853-4360-BDF7-92FDF8D11A95}" formatIdx="5">
          <cx:axisId val="2"/>
        </cx:series>
      </cx:plotAreaRegion>
      <cx:axis id="0">
        <cx:catScaling gapWidth="0"/>
        <cx:title>
          <cx:tx>
            <cx:txData>
              <cx:v>SKU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SKU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Revenue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2">
        <cx:valScaling max="1" min="0"/>
        <cx:title>
          <cx:tx>
            <cx:txData>
              <cx:v>Percentage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0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Percentage</a:t>
              </a:r>
            </a:p>
          </cx:txPr>
        </cx:title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2</xdr:row>
      <xdr:rowOff>7620</xdr:rowOff>
    </xdr:from>
    <xdr:to>
      <xdr:col>13</xdr:col>
      <xdr:colOff>236220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23D92-EA27-926B-598E-E8FF112A5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0</xdr:row>
      <xdr:rowOff>38100</xdr:rowOff>
    </xdr:from>
    <xdr:to>
      <xdr:col>15</xdr:col>
      <xdr:colOff>15240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23DF58-B15E-1A3B-088B-01190BA24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251460</xdr:colOff>
      <xdr:row>7</xdr:row>
      <xdr:rowOff>45720</xdr:rowOff>
    </xdr:from>
    <xdr:to>
      <xdr:col>12</xdr:col>
      <xdr:colOff>373380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77F77-4B91-085D-2E13-503D839EC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22</xdr:row>
      <xdr:rowOff>7620</xdr:rowOff>
    </xdr:from>
    <xdr:to>
      <xdr:col>9</xdr:col>
      <xdr:colOff>45720</xdr:colOff>
      <xdr:row>37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6D09F-613B-4D3A-03AA-51A61E627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160020</xdr:colOff>
      <xdr:row>9</xdr:row>
      <xdr:rowOff>53340</xdr:rowOff>
    </xdr:from>
    <xdr:to>
      <xdr:col>19</xdr:col>
      <xdr:colOff>464820</xdr:colOff>
      <xdr:row>24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BDA3681-89AE-8240-63A2-6F9FC6D118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0180" y="1699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388620</xdr:colOff>
      <xdr:row>0</xdr:row>
      <xdr:rowOff>144780</xdr:rowOff>
    </xdr:from>
    <xdr:to>
      <xdr:col>18</xdr:col>
      <xdr:colOff>480060</xdr:colOff>
      <xdr:row>15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D7302-2D90-0D77-A111-563161E42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388620</xdr:colOff>
      <xdr:row>16</xdr:row>
      <xdr:rowOff>129540</xdr:rowOff>
    </xdr:from>
    <xdr:to>
      <xdr:col>20</xdr:col>
      <xdr:colOff>45720</xdr:colOff>
      <xdr:row>31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5A37746-D9EB-5CBC-617F-434D73117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2460" y="3055620"/>
              <a:ext cx="57531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2</xdr:row>
      <xdr:rowOff>7620</xdr:rowOff>
    </xdr:from>
    <xdr:to>
      <xdr:col>14</xdr:col>
      <xdr:colOff>289560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37495-2EFC-725C-F18D-2649F3B31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2</xdr:row>
      <xdr:rowOff>30480</xdr:rowOff>
    </xdr:from>
    <xdr:to>
      <xdr:col>15</xdr:col>
      <xdr:colOff>601980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7A6D09-5A16-42EE-7F7C-7C1E47499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441960</xdr:colOff>
      <xdr:row>12</xdr:row>
      <xdr:rowOff>76200</xdr:rowOff>
    </xdr:from>
    <xdr:to>
      <xdr:col>7</xdr:col>
      <xdr:colOff>464820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F7158-7D45-75C9-E3B0-46231177F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</xdr:row>
      <xdr:rowOff>167640</xdr:rowOff>
    </xdr:from>
    <xdr:to>
      <xdr:col>14</xdr:col>
      <xdr:colOff>182880</xdr:colOff>
      <xdr:row>16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C0F29-BEB8-392D-1AD6-5E1717381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24</xdr:row>
      <xdr:rowOff>68580</xdr:rowOff>
    </xdr:from>
    <xdr:to>
      <xdr:col>6</xdr:col>
      <xdr:colOff>441960</xdr:colOff>
      <xdr:row>39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3145F3-28B4-84D6-5E76-0A589C70B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228600</xdr:colOff>
      <xdr:row>3</xdr:row>
      <xdr:rowOff>121920</xdr:rowOff>
    </xdr:from>
    <xdr:to>
      <xdr:col>14</xdr:col>
      <xdr:colOff>228600</xdr:colOff>
      <xdr:row>18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CB1E00-03CC-C7BF-65A8-6E8D47328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2</xdr:row>
      <xdr:rowOff>30480</xdr:rowOff>
    </xdr:from>
    <xdr:to>
      <xdr:col>13</xdr:col>
      <xdr:colOff>175260</xdr:colOff>
      <xdr:row>17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107CEA-C664-5BF3-96FF-13BC3A331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2</xdr:row>
      <xdr:rowOff>110490</xdr:rowOff>
    </xdr:from>
    <xdr:to>
      <xdr:col>15</xdr:col>
      <xdr:colOff>7620</xdr:colOff>
      <xdr:row>17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4CE3D-979E-1B6F-8E26-3C8FC9807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0.53628</cdr:x>
      <cdr:y>0.18444</cdr:y>
    </cdr:from>
    <cdr:to>
      <cdr:x>0.53667</cdr:x>
      <cdr:y>0.7875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76006F5B-1CB7-0DAB-3EDD-05C34453FCFC}"/>
            </a:ext>
          </a:extLst>
        </cdr:cNvPr>
        <cdr:cNvCxnSpPr/>
      </cdr:nvCxnSpPr>
      <cdr:spPr>
        <a:xfrm xmlns:a="http://schemas.openxmlformats.org/drawingml/2006/main">
          <a:off x="2456354" y="505373"/>
          <a:ext cx="1768" cy="1652431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0.2235</cdr:x>
      <cdr:y>0.51872</cdr:y>
    </cdr:from>
    <cdr:to>
      <cdr:x>0.84736</cdr:x>
      <cdr:y>0.52158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DA07D106-EEF9-27CD-D36A-C35ABD97E0FC}"/>
            </a:ext>
          </a:extLst>
        </cdr:cNvPr>
        <cdr:cNvCxnSpPr/>
      </cdr:nvCxnSpPr>
      <cdr:spPr>
        <a:xfrm xmlns:a="http://schemas.openxmlformats.org/drawingml/2006/main" flipV="1">
          <a:off x="1023690" y="1421339"/>
          <a:ext cx="2857500" cy="7829"/>
        </a:xfrm>
        <a:prstGeom xmlns:a="http://schemas.openxmlformats.org/drawingml/2006/main" prst="line">
          <a:avLst/>
        </a:prstGeom>
        <a:ln xmlns:a="http://schemas.openxmlformats.org/drawingml/2006/main" w="12700"/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0.345</cdr:x>
      <cdr:y>0.34583</cdr:y>
    </cdr:from>
    <cdr:to>
      <cdr:x>0.41333</cdr:x>
      <cdr:y>0.42083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38D45D5F-310E-E702-00CE-5118C0A1FFD3}"/>
            </a:ext>
          </a:extLst>
        </cdr:cNvPr>
        <cdr:cNvSpPr txBox="1"/>
      </cdr:nvSpPr>
      <cdr:spPr>
        <a:xfrm xmlns:a="http://schemas.openxmlformats.org/drawingml/2006/main">
          <a:off x="1577340" y="948690"/>
          <a:ext cx="312420" cy="205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/>
            <a:t>A</a:t>
          </a:r>
        </a:p>
      </cdr:txBody>
    </cdr:sp>
  </cdr:relSizeAnchor>
  <cdr:relSizeAnchor xmlns:cdr="http://schemas.openxmlformats.org/drawingml/2006/chartDrawing">
    <cdr:from>
      <cdr:x>0.615</cdr:x>
      <cdr:y>0.34861</cdr:y>
    </cdr:from>
    <cdr:to>
      <cdr:x>0.69833</cdr:x>
      <cdr:y>0.41806</cdr:y>
    </cdr:to>
    <cdr:sp macro="" textlink="">
      <cdr:nvSpPr>
        <cdr:cNvPr id="14" name="TextBox 13">
          <a:extLst xmlns:a="http://schemas.openxmlformats.org/drawingml/2006/main">
            <a:ext uri="{FF2B5EF4-FFF2-40B4-BE49-F238E27FC236}">
              <a16:creationId xmlns:a16="http://schemas.microsoft.com/office/drawing/2014/main" id="{A0DD508F-A1EF-8E1F-D930-C2F0AB95AA44}"/>
            </a:ext>
          </a:extLst>
        </cdr:cNvPr>
        <cdr:cNvSpPr txBox="1"/>
      </cdr:nvSpPr>
      <cdr:spPr>
        <a:xfrm xmlns:a="http://schemas.openxmlformats.org/drawingml/2006/main">
          <a:off x="2811780" y="956310"/>
          <a:ext cx="381000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/>
            <a:t>B</a:t>
          </a:r>
        </a:p>
      </cdr:txBody>
    </cdr:sp>
  </cdr:relSizeAnchor>
  <cdr:relSizeAnchor xmlns:cdr="http://schemas.openxmlformats.org/drawingml/2006/chartDrawing">
    <cdr:from>
      <cdr:x>0.61333</cdr:x>
      <cdr:y>0.54583</cdr:y>
    </cdr:from>
    <cdr:to>
      <cdr:x>0.66667</cdr:x>
      <cdr:y>0.62639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1A3FA20A-3649-B277-9F44-EF5F75E85CE6}"/>
            </a:ext>
          </a:extLst>
        </cdr:cNvPr>
        <cdr:cNvSpPr txBox="1"/>
      </cdr:nvSpPr>
      <cdr:spPr>
        <a:xfrm xmlns:a="http://schemas.openxmlformats.org/drawingml/2006/main">
          <a:off x="2804160" y="1497330"/>
          <a:ext cx="24384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/>
            <a:t>C</a:t>
          </a:r>
        </a:p>
      </cdr:txBody>
    </cdr:sp>
  </cdr:relSizeAnchor>
  <cdr:relSizeAnchor xmlns:cdr="http://schemas.openxmlformats.org/drawingml/2006/chartDrawing">
    <cdr:from>
      <cdr:x>0.345</cdr:x>
      <cdr:y>0.55139</cdr:y>
    </cdr:from>
    <cdr:to>
      <cdr:x>0.4</cdr:x>
      <cdr:y>0.64861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F3F75945-E30A-6946-A728-474BADADC67B}"/>
            </a:ext>
          </a:extLst>
        </cdr:cNvPr>
        <cdr:cNvSpPr txBox="1"/>
      </cdr:nvSpPr>
      <cdr:spPr>
        <a:xfrm xmlns:a="http://schemas.openxmlformats.org/drawingml/2006/main">
          <a:off x="1577340" y="1512570"/>
          <a:ext cx="251460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200" b="1"/>
            <a:t>D</a:t>
          </a:r>
          <a:endParaRPr lang="en-GB" sz="1100" b="1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556260</xdr:colOff>
      <xdr:row>1</xdr:row>
      <xdr:rowOff>34290</xdr:rowOff>
    </xdr:from>
    <xdr:to>
      <xdr:col>13</xdr:col>
      <xdr:colOff>251460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2A3C2-4212-DF31-7935-38779A842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 KUMAR" refreshedDate="44986.430826736112" createdVersion="8" refreshedVersion="8" minRefreshableVersion="3" recordCount="1656" xr:uid="{7DE0EE8A-4550-4C6D-9F76-70ED35D76FBD}">
  <cacheSource type="worksheet">
    <worksheetSource ref="A1:J1657" sheet="Daily Sales"/>
  </cacheSource>
  <cacheFields count="11">
    <cacheField name="DATE" numFmtId="14">
      <sharedItems containsSemiMixedTypes="0" containsNonDate="0" containsDate="1" containsString="0" minDate="2022-10-01T00:00:00" maxDate="2023-01-01T00:00:00" count="1656">
        <d v="2022-10-01T00:00:00"/>
        <d v="2022-10-01T01:20:00"/>
        <d v="2022-10-01T02:40:00"/>
        <d v="2022-10-01T04:00:00"/>
        <d v="2022-10-01T05:20:00"/>
        <d v="2022-10-01T06:40:00"/>
        <d v="2022-10-01T08:00:00"/>
        <d v="2022-10-01T09:20:00"/>
        <d v="2022-10-01T10:40:00"/>
        <d v="2022-10-01T12:00:00"/>
        <d v="2022-10-01T13:20:00"/>
        <d v="2022-10-01T14:40:00"/>
        <d v="2022-10-01T16:00:00"/>
        <d v="2022-10-01T17:20:00"/>
        <d v="2022-10-01T18:40:00"/>
        <d v="2022-10-01T20:00:00"/>
        <d v="2022-10-01T21:20:00"/>
        <d v="2022-10-01T22:40:00"/>
        <d v="2022-10-02T00:00:00"/>
        <d v="2022-10-02T01:20:00"/>
        <d v="2022-10-02T02:40:00"/>
        <d v="2022-10-02T04:00:00"/>
        <d v="2022-10-02T05:20:00"/>
        <d v="2022-10-02T06:40:00"/>
        <d v="2022-10-02T08:00:00"/>
        <d v="2022-10-02T09:20:00"/>
        <d v="2022-10-02T10:40:00"/>
        <d v="2022-10-02T12:00:00"/>
        <d v="2022-10-02T13:20:00"/>
        <d v="2022-10-02T14:40:00"/>
        <d v="2022-10-02T16:00:00"/>
        <d v="2022-10-02T17:20:00"/>
        <d v="2022-10-02T18:40:00"/>
        <d v="2022-10-02T20:00:00"/>
        <d v="2022-10-02T21:20:00"/>
        <d v="2022-10-02T22:40:00"/>
        <d v="2022-10-03T00:00:00"/>
        <d v="2022-10-03T01:20:00"/>
        <d v="2022-10-03T02:40:00"/>
        <d v="2022-10-03T04:00:00"/>
        <d v="2022-10-03T05:20:00"/>
        <d v="2022-10-03T06:40:00"/>
        <d v="2022-10-03T08:00:00"/>
        <d v="2022-10-03T09:20:00"/>
        <d v="2022-10-03T10:40:00"/>
        <d v="2022-10-03T12:00:00"/>
        <d v="2022-10-03T13:20:00"/>
        <d v="2022-10-03T14:40:00"/>
        <d v="2022-10-03T16:00:00"/>
        <d v="2022-10-03T17:20:00"/>
        <d v="2022-10-03T18:40:00"/>
        <d v="2022-10-03T20:00:00"/>
        <d v="2022-10-03T21:20:00"/>
        <d v="2022-10-03T22:40:00"/>
        <d v="2022-10-04T00:00:00"/>
        <d v="2022-10-04T01:20:00"/>
        <d v="2022-10-04T02:40:00"/>
        <d v="2022-10-04T04:00:00"/>
        <d v="2022-10-04T05:20:00"/>
        <d v="2022-10-04T06:40:00"/>
        <d v="2022-10-04T08:00:00"/>
        <d v="2022-10-04T09:20:00"/>
        <d v="2022-10-04T10:40:00"/>
        <d v="2022-10-04T12:00:00"/>
        <d v="2022-10-04T13:20:00"/>
        <d v="2022-10-04T14:40:00"/>
        <d v="2022-10-04T16:00:00"/>
        <d v="2022-10-04T17:20:00"/>
        <d v="2022-10-04T18:40:00"/>
        <d v="2022-10-04T20:00:00"/>
        <d v="2022-10-04T21:20:00"/>
        <d v="2022-10-04T22:40:00"/>
        <d v="2022-10-05T00:00:00"/>
        <d v="2022-10-05T01:20:00"/>
        <d v="2022-10-05T02:40:00"/>
        <d v="2022-10-05T04:00:00"/>
        <d v="2022-10-05T05:20:00"/>
        <d v="2022-10-05T06:40:00"/>
        <d v="2022-10-05T08:00:00"/>
        <d v="2022-10-05T09:20:00"/>
        <d v="2022-10-05T10:40:00"/>
        <d v="2022-10-05T12:00:00"/>
        <d v="2022-10-05T13:20:00"/>
        <d v="2022-10-05T14:40:00"/>
        <d v="2022-10-05T16:00:00"/>
        <d v="2022-10-05T17:20:00"/>
        <d v="2022-10-05T18:40:00"/>
        <d v="2022-10-05T20:00:00"/>
        <d v="2022-10-05T21:20:00"/>
        <d v="2022-10-05T22:40:00"/>
        <d v="2022-10-06T00:00:00"/>
        <d v="2022-10-06T01:20:00"/>
        <d v="2022-10-06T02:40:00"/>
        <d v="2022-10-06T04:00:00"/>
        <d v="2022-10-06T05:20:00"/>
        <d v="2022-10-06T06:40:00"/>
        <d v="2022-10-06T08:00:00"/>
        <d v="2022-10-06T09:20:00"/>
        <d v="2022-10-06T10:40:00"/>
        <d v="2022-10-06T12:00:00"/>
        <d v="2022-10-06T13:20:00"/>
        <d v="2022-10-06T14:40:00"/>
        <d v="2022-10-06T16:00:00"/>
        <d v="2022-10-06T17:20:00"/>
        <d v="2022-10-06T18:40:00"/>
        <d v="2022-10-06T20:00:00"/>
        <d v="2022-10-06T21:20:00"/>
        <d v="2022-10-06T22:40:00"/>
        <d v="2022-10-07T00:00:00"/>
        <d v="2022-10-07T01:20:00"/>
        <d v="2022-10-07T02:40:00"/>
        <d v="2022-10-07T04:00:00"/>
        <d v="2022-10-07T05:20:00"/>
        <d v="2022-10-07T06:40:00"/>
        <d v="2022-10-07T08:00:00"/>
        <d v="2022-10-07T09:20:00"/>
        <d v="2022-10-07T10:40:00"/>
        <d v="2022-10-07T12:00:00"/>
        <d v="2022-10-07T13:20:00"/>
        <d v="2022-10-07T14:40:00"/>
        <d v="2022-10-07T16:00:00"/>
        <d v="2022-10-07T17:20:00"/>
        <d v="2022-10-07T18:40:00"/>
        <d v="2022-10-07T20:00:00"/>
        <d v="2022-10-07T21:20:00"/>
        <d v="2022-10-07T22:40:00"/>
        <d v="2022-10-08T00:00:00"/>
        <d v="2022-10-08T01:20:00"/>
        <d v="2022-10-08T02:40:00"/>
        <d v="2022-10-08T04:00:00"/>
        <d v="2022-10-08T05:20:00"/>
        <d v="2022-10-08T06:40:00"/>
        <d v="2022-10-08T08:00:00"/>
        <d v="2022-10-08T09:20:00"/>
        <d v="2022-10-08T10:40:00"/>
        <d v="2022-10-08T12:00:00"/>
        <d v="2022-10-08T13:20:00"/>
        <d v="2022-10-08T14:40:00"/>
        <d v="2022-10-08T16:00:00"/>
        <d v="2022-10-08T17:20:00"/>
        <d v="2022-10-08T18:40:00"/>
        <d v="2022-10-08T20:00:00"/>
        <d v="2022-10-08T21:20:00"/>
        <d v="2022-10-08T22:40:00"/>
        <d v="2022-10-09T00:00:00"/>
        <d v="2022-10-09T01:20:00"/>
        <d v="2022-10-09T02:40:00"/>
        <d v="2022-10-09T04:00:00"/>
        <d v="2022-10-09T05:20:00"/>
        <d v="2022-10-09T06:40:00"/>
        <d v="2022-10-09T08:00:00"/>
        <d v="2022-10-09T09:20:00"/>
        <d v="2022-10-09T10:40:00"/>
        <d v="2022-10-09T12:00:00"/>
        <d v="2022-10-09T13:20:00"/>
        <d v="2022-10-09T14:40:00"/>
        <d v="2022-10-09T16:00:00"/>
        <d v="2022-10-09T17:20:00"/>
        <d v="2022-10-09T18:40:00"/>
        <d v="2022-10-09T20:00:00"/>
        <d v="2022-10-09T21:20:00"/>
        <d v="2022-10-09T22:40:00"/>
        <d v="2022-10-10T00:00:00"/>
        <d v="2022-10-10T01:20:00"/>
        <d v="2022-10-10T02:40:00"/>
        <d v="2022-10-10T04:00:00"/>
        <d v="2022-10-10T05:20:00"/>
        <d v="2022-10-10T06:40:00"/>
        <d v="2022-10-10T08:00:00"/>
        <d v="2022-10-10T09:20:00"/>
        <d v="2022-10-10T10:40:00"/>
        <d v="2022-10-10T12:00:00"/>
        <d v="2022-10-10T13:20:00"/>
        <d v="2022-10-10T14:40:00"/>
        <d v="2022-10-10T16:00:00"/>
        <d v="2022-10-10T17:20:00"/>
        <d v="2022-10-10T18:40:00"/>
        <d v="2022-10-10T20:00:00"/>
        <d v="2022-10-10T21:20:00"/>
        <d v="2022-10-10T22:40:00"/>
        <d v="2022-10-11T00:00:00"/>
        <d v="2022-10-11T01:20:00"/>
        <d v="2022-10-11T02:40:00"/>
        <d v="2022-10-11T04:00:00"/>
        <d v="2022-10-11T05:20:00"/>
        <d v="2022-10-11T06:40:00"/>
        <d v="2022-10-11T08:00:00"/>
        <d v="2022-10-11T09:20:00"/>
        <d v="2022-10-11T10:40:00"/>
        <d v="2022-10-11T12:00:00"/>
        <d v="2022-10-11T13:20:00"/>
        <d v="2022-10-11T14:40:00"/>
        <d v="2022-10-11T16:00:00"/>
        <d v="2022-10-11T17:20:00"/>
        <d v="2022-10-11T18:40:00"/>
        <d v="2022-10-11T20:00:00"/>
        <d v="2022-10-11T21:20:00"/>
        <d v="2022-10-11T22:40:00"/>
        <d v="2022-10-12T00:00:00"/>
        <d v="2022-10-12T01:20:00"/>
        <d v="2022-10-12T02:40:00"/>
        <d v="2022-10-12T04:00:00"/>
        <d v="2022-10-12T05:20:00"/>
        <d v="2022-10-12T06:40:00"/>
        <d v="2022-10-12T08:00:00"/>
        <d v="2022-10-12T09:20:00"/>
        <d v="2022-10-12T10:40:00"/>
        <d v="2022-10-12T12:00:00"/>
        <d v="2022-10-12T13:20:00"/>
        <d v="2022-10-12T14:40:00"/>
        <d v="2022-10-12T16:00:00"/>
        <d v="2022-10-12T17:20:00"/>
        <d v="2022-10-12T18:40:00"/>
        <d v="2022-10-12T20:00:00"/>
        <d v="2022-10-12T21:20:00"/>
        <d v="2022-10-12T22:40:00"/>
        <d v="2022-10-13T00:00:00"/>
        <d v="2022-10-13T01:20:00"/>
        <d v="2022-10-13T02:40:00"/>
        <d v="2022-10-13T04:00:00"/>
        <d v="2022-10-13T05:20:00"/>
        <d v="2022-10-13T06:40:00"/>
        <d v="2022-10-13T08:00:00"/>
        <d v="2022-10-13T09:20:00"/>
        <d v="2022-10-13T10:40:00"/>
        <d v="2022-10-13T12:00:00"/>
        <d v="2022-10-13T13:20:00"/>
        <d v="2022-10-13T14:40:00"/>
        <d v="2022-10-13T16:00:00"/>
        <d v="2022-10-13T17:20:00"/>
        <d v="2022-10-13T18:40:00"/>
        <d v="2022-10-13T20:00:00"/>
        <d v="2022-10-13T21:20:00"/>
        <d v="2022-10-13T22:40:00"/>
        <d v="2022-10-14T00:00:00"/>
        <d v="2022-10-14T01:20:00"/>
        <d v="2022-10-14T02:40:00"/>
        <d v="2022-10-14T04:00:00"/>
        <d v="2022-10-14T05:20:00"/>
        <d v="2022-10-14T06:40:00"/>
        <d v="2022-10-14T08:00:00"/>
        <d v="2022-10-14T09:20:00"/>
        <d v="2022-10-14T10:40:00"/>
        <d v="2022-10-14T12:00:00"/>
        <d v="2022-10-14T13:20:00"/>
        <d v="2022-10-14T14:40:00"/>
        <d v="2022-10-14T16:00:00"/>
        <d v="2022-10-14T17:20:00"/>
        <d v="2022-10-14T18:40:00"/>
        <d v="2022-10-14T20:00:00"/>
        <d v="2022-10-14T21:20:00"/>
        <d v="2022-10-14T22:40:00"/>
        <d v="2022-10-15T00:00:00"/>
        <d v="2022-10-15T01:20:00"/>
        <d v="2022-10-15T02:40:00"/>
        <d v="2022-10-15T04:00:00"/>
        <d v="2022-10-15T05:20:00"/>
        <d v="2022-10-15T06:40:00"/>
        <d v="2022-10-15T08:00:00"/>
        <d v="2022-10-15T09:20:00"/>
        <d v="2022-10-15T10:40:00"/>
        <d v="2022-10-15T12:00:00"/>
        <d v="2022-10-15T13:20:00"/>
        <d v="2022-10-15T14:40:00"/>
        <d v="2022-10-15T16:00:00"/>
        <d v="2022-10-15T17:20:00"/>
        <d v="2022-10-15T18:40:00"/>
        <d v="2022-10-15T20:00:00"/>
        <d v="2022-10-15T21:20:00"/>
        <d v="2022-10-15T22:40:00"/>
        <d v="2022-10-16T00:00:00"/>
        <d v="2022-10-16T01:20:00"/>
        <d v="2022-10-16T02:40:00"/>
        <d v="2022-10-16T04:00:00"/>
        <d v="2022-10-16T05:20:00"/>
        <d v="2022-10-16T06:40:00"/>
        <d v="2022-10-16T08:00:00"/>
        <d v="2022-10-16T09:20:00"/>
        <d v="2022-10-16T10:40:00"/>
        <d v="2022-10-16T12:00:00"/>
        <d v="2022-10-16T13:20:00"/>
        <d v="2022-10-16T14:40:00"/>
        <d v="2022-10-16T16:00:00"/>
        <d v="2022-10-16T17:20:00"/>
        <d v="2022-10-16T18:40:00"/>
        <d v="2022-10-16T20:00:00"/>
        <d v="2022-10-16T21:20:00"/>
        <d v="2022-10-16T22:40:00"/>
        <d v="2022-10-17T00:00:00"/>
        <d v="2022-10-17T01:20:00"/>
        <d v="2022-10-17T02:40:00"/>
        <d v="2022-10-17T04:00:00"/>
        <d v="2022-10-17T05:20:00"/>
        <d v="2022-10-17T06:40:00"/>
        <d v="2022-10-17T08:00:00"/>
        <d v="2022-10-17T09:20:00"/>
        <d v="2022-10-17T10:40:00"/>
        <d v="2022-10-17T12:00:00"/>
        <d v="2022-10-17T13:20:00"/>
        <d v="2022-10-17T14:40:00"/>
        <d v="2022-10-17T16:00:00"/>
        <d v="2022-10-17T17:20:00"/>
        <d v="2022-10-17T18:40:00"/>
        <d v="2022-10-17T20:00:00"/>
        <d v="2022-10-17T21:20:00"/>
        <d v="2022-10-17T22:40:00"/>
        <d v="2022-10-18T00:00:00"/>
        <d v="2022-10-18T01:20:00"/>
        <d v="2022-10-18T02:40:00"/>
        <d v="2022-10-18T04:00:00"/>
        <d v="2022-10-18T05:20:00"/>
        <d v="2022-10-18T06:40:00"/>
        <d v="2022-10-18T08:00:00"/>
        <d v="2022-10-18T09:20:00"/>
        <d v="2022-10-18T10:40:00"/>
        <d v="2022-10-18T12:00:00"/>
        <d v="2022-10-18T13:20:00"/>
        <d v="2022-10-18T14:40:00"/>
        <d v="2022-10-18T16:00:00"/>
        <d v="2022-10-18T17:20:00"/>
        <d v="2022-10-18T18:40:00"/>
        <d v="2022-10-18T20:00:00"/>
        <d v="2022-10-18T21:20:00"/>
        <d v="2022-10-18T22:40:00"/>
        <d v="2022-10-19T00:00:00"/>
        <d v="2022-10-19T01:20:00"/>
        <d v="2022-10-19T02:40:00"/>
        <d v="2022-10-19T04:00:00"/>
        <d v="2022-10-19T05:20:00"/>
        <d v="2022-10-19T06:40:00"/>
        <d v="2022-10-19T08:00:00"/>
        <d v="2022-10-19T09:20:00"/>
        <d v="2022-10-19T10:40:00"/>
        <d v="2022-10-19T12:00:00"/>
        <d v="2022-10-19T13:20:00"/>
        <d v="2022-10-19T14:40:00"/>
        <d v="2022-10-19T16:00:00"/>
        <d v="2022-10-19T17:20:00"/>
        <d v="2022-10-19T18:40:00"/>
        <d v="2022-10-19T20:00:00"/>
        <d v="2022-10-19T21:20:00"/>
        <d v="2022-10-19T22:40:00"/>
        <d v="2022-10-20T00:00:00"/>
        <d v="2022-10-20T01:20:00"/>
        <d v="2022-10-20T02:40:00"/>
        <d v="2022-10-20T04:00:00"/>
        <d v="2022-10-20T05:20:00"/>
        <d v="2022-10-20T06:40:00"/>
        <d v="2022-10-20T08:00:00"/>
        <d v="2022-10-20T09:20:00"/>
        <d v="2022-10-20T10:40:00"/>
        <d v="2022-10-20T12:00:00"/>
        <d v="2022-10-20T13:20:00"/>
        <d v="2022-10-20T14:40:00"/>
        <d v="2022-10-20T16:00:00"/>
        <d v="2022-10-20T17:20:00"/>
        <d v="2022-10-20T18:40:00"/>
        <d v="2022-10-20T20:00:00"/>
        <d v="2022-10-20T21:20:00"/>
        <d v="2022-10-20T22:40:00"/>
        <d v="2022-10-21T00:00:00"/>
        <d v="2022-10-21T01:20:00"/>
        <d v="2022-10-21T02:40:00"/>
        <d v="2022-10-21T04:00:00"/>
        <d v="2022-10-21T05:20:00"/>
        <d v="2022-10-21T06:40:00"/>
        <d v="2022-10-21T08:00:00"/>
        <d v="2022-10-21T09:20:00"/>
        <d v="2022-10-21T10:40:00"/>
        <d v="2022-10-21T12:00:00"/>
        <d v="2022-10-21T13:20:00"/>
        <d v="2022-10-21T14:40:00"/>
        <d v="2022-10-21T16:00:00"/>
        <d v="2022-10-21T17:20:00"/>
        <d v="2022-10-21T18:40:00"/>
        <d v="2022-10-21T20:00:00"/>
        <d v="2022-10-21T21:20:00"/>
        <d v="2022-10-21T22:40:00"/>
        <d v="2022-10-22T00:00:00"/>
        <d v="2022-10-22T01:20:00"/>
        <d v="2022-10-22T02:40:00"/>
        <d v="2022-10-22T04:00:00"/>
        <d v="2022-10-22T05:20:00"/>
        <d v="2022-10-22T06:40:00"/>
        <d v="2022-10-22T08:00:00"/>
        <d v="2022-10-22T09:20:00"/>
        <d v="2022-10-22T10:40:00"/>
        <d v="2022-10-22T12:00:00"/>
        <d v="2022-10-22T13:20:00"/>
        <d v="2022-10-22T14:40:00"/>
        <d v="2022-10-22T16:00:00"/>
        <d v="2022-10-22T17:20:00"/>
        <d v="2022-10-22T18:40:00"/>
        <d v="2022-10-22T20:00:00"/>
        <d v="2022-10-22T21:20:00"/>
        <d v="2022-10-22T22:40:00"/>
        <d v="2022-10-23T00:00:00"/>
        <d v="2022-10-23T01:20:00"/>
        <d v="2022-10-23T02:40:00"/>
        <d v="2022-10-23T04:00:00"/>
        <d v="2022-10-23T05:20:00"/>
        <d v="2022-10-23T06:40:00"/>
        <d v="2022-10-23T08:00:00"/>
        <d v="2022-10-23T09:20:00"/>
        <d v="2022-10-23T10:40:00"/>
        <d v="2022-10-23T12:00:00"/>
        <d v="2022-10-23T13:20:00"/>
        <d v="2022-10-23T14:40:00"/>
        <d v="2022-10-23T16:00:00"/>
        <d v="2022-10-23T17:20:00"/>
        <d v="2022-10-23T18:40:00"/>
        <d v="2022-10-23T20:00:00"/>
        <d v="2022-10-23T21:20:00"/>
        <d v="2022-10-23T22:40:00"/>
        <d v="2022-10-24T00:00:00"/>
        <d v="2022-10-24T01:20:00"/>
        <d v="2022-10-24T02:40:00"/>
        <d v="2022-10-24T04:00:00"/>
        <d v="2022-10-24T05:20:00"/>
        <d v="2022-10-24T06:40:00"/>
        <d v="2022-10-24T08:00:00"/>
        <d v="2022-10-24T09:20:00"/>
        <d v="2022-10-24T10:40:00"/>
        <d v="2022-10-24T12:00:00"/>
        <d v="2022-10-24T13:20:00"/>
        <d v="2022-10-24T14:40:00"/>
        <d v="2022-10-24T16:00:00"/>
        <d v="2022-10-24T17:20:00"/>
        <d v="2022-10-24T18:40:00"/>
        <d v="2022-10-24T20:00:00"/>
        <d v="2022-10-24T21:20:00"/>
        <d v="2022-10-24T22:40:00"/>
        <d v="2022-10-25T00:00:00"/>
        <d v="2022-10-25T01:20:00"/>
        <d v="2022-10-25T02:40:00"/>
        <d v="2022-10-25T04:00:00"/>
        <d v="2022-10-25T05:20:00"/>
        <d v="2022-10-25T06:40:00"/>
        <d v="2022-10-25T08:00:00"/>
        <d v="2022-10-25T09:20:00"/>
        <d v="2022-10-25T10:40:00"/>
        <d v="2022-10-25T12:00:00"/>
        <d v="2022-10-25T13:20:00"/>
        <d v="2022-10-25T14:40:00"/>
        <d v="2022-10-25T16:00:00"/>
        <d v="2022-10-25T17:20:00"/>
        <d v="2022-10-25T18:40:00"/>
        <d v="2022-10-25T20:00:00"/>
        <d v="2022-10-25T21:20:00"/>
        <d v="2022-10-25T22:40:00"/>
        <d v="2022-10-26T00:00:00"/>
        <d v="2022-10-26T01:20:00"/>
        <d v="2022-10-26T02:40:00"/>
        <d v="2022-10-26T04:00:00"/>
        <d v="2022-10-26T05:20:00"/>
        <d v="2022-10-26T06:40:00"/>
        <d v="2022-10-26T08:00:00"/>
        <d v="2022-10-26T09:20:00"/>
        <d v="2022-10-26T10:40:00"/>
        <d v="2022-10-26T12:00:00"/>
        <d v="2022-10-26T13:20:00"/>
        <d v="2022-10-26T14:40:00"/>
        <d v="2022-10-26T16:00:00"/>
        <d v="2022-10-26T17:20:00"/>
        <d v="2022-10-26T18:40:00"/>
        <d v="2022-10-26T20:00:00"/>
        <d v="2022-10-26T21:20:00"/>
        <d v="2022-10-26T22:40:00"/>
        <d v="2022-10-27T00:00:00"/>
        <d v="2022-10-27T01:20:00"/>
        <d v="2022-10-27T02:40:00"/>
        <d v="2022-10-27T04:00:00"/>
        <d v="2022-10-27T05:20:00"/>
        <d v="2022-10-27T06:40:00"/>
        <d v="2022-10-27T08:00:00"/>
        <d v="2022-10-27T09:20:00"/>
        <d v="2022-10-27T10:40:00"/>
        <d v="2022-10-27T12:00:00"/>
        <d v="2022-10-27T13:20:00"/>
        <d v="2022-10-27T14:40:00"/>
        <d v="2022-10-27T16:00:00"/>
        <d v="2022-10-27T17:20:00"/>
        <d v="2022-10-27T18:40:00"/>
        <d v="2022-10-27T20:00:00"/>
        <d v="2022-10-27T21:20:00"/>
        <d v="2022-10-27T22:40:00"/>
        <d v="2022-10-28T00:00:00"/>
        <d v="2022-10-28T01:20:00"/>
        <d v="2022-10-28T02:40:00"/>
        <d v="2022-10-28T04:00:00"/>
        <d v="2022-10-28T05:20:00"/>
        <d v="2022-10-28T06:40:00"/>
        <d v="2022-10-28T08:00:00"/>
        <d v="2022-10-28T09:20:00"/>
        <d v="2022-10-28T10:40:00"/>
        <d v="2022-10-28T12:00:00"/>
        <d v="2022-10-28T13:20:00"/>
        <d v="2022-10-28T14:40:00"/>
        <d v="2022-10-28T16:00:00"/>
        <d v="2022-10-28T17:20:00"/>
        <d v="2022-10-28T18:40:00"/>
        <d v="2022-10-28T20:00:00"/>
        <d v="2022-10-28T21:20:00"/>
        <d v="2022-10-28T22:40:00"/>
        <d v="2022-10-29T00:00:00"/>
        <d v="2022-10-29T01:20:00"/>
        <d v="2022-10-29T02:40:00"/>
        <d v="2022-10-29T04:00:00"/>
        <d v="2022-10-29T05:20:00"/>
        <d v="2022-10-29T06:40:00"/>
        <d v="2022-10-29T08:00:00"/>
        <d v="2022-10-29T09:20:00"/>
        <d v="2022-10-29T10:40:00"/>
        <d v="2022-10-29T12:00:00"/>
        <d v="2022-10-29T13:20:00"/>
        <d v="2022-10-29T14:40:00"/>
        <d v="2022-10-29T16:00:00"/>
        <d v="2022-10-29T17:20:00"/>
        <d v="2022-10-29T18:40:00"/>
        <d v="2022-10-29T20:00:00"/>
        <d v="2022-10-29T21:20:00"/>
        <d v="2022-10-29T22:40:00"/>
        <d v="2022-10-30T00:00:00"/>
        <d v="2022-10-30T01:20:00"/>
        <d v="2022-10-30T02:40:00"/>
        <d v="2022-10-30T04:00:00"/>
        <d v="2022-10-30T05:20:00"/>
        <d v="2022-10-30T06:40:00"/>
        <d v="2022-10-30T08:00:00"/>
        <d v="2022-10-30T09:20:00"/>
        <d v="2022-10-30T10:40:00"/>
        <d v="2022-10-30T12:00:00"/>
        <d v="2022-10-30T13:20:00"/>
        <d v="2022-10-30T14:40:00"/>
        <d v="2022-10-30T16:00:00"/>
        <d v="2022-10-30T17:20:00"/>
        <d v="2022-10-30T18:40:00"/>
        <d v="2022-10-30T20:00:00"/>
        <d v="2022-10-30T21:20:00"/>
        <d v="2022-10-30T22:40:00"/>
        <d v="2022-10-31T00:00:00"/>
        <d v="2022-10-31T01:20:00"/>
        <d v="2022-10-31T02:40:00"/>
        <d v="2022-10-31T04:00:00"/>
        <d v="2022-10-31T05:20:00"/>
        <d v="2022-10-31T06:40:00"/>
        <d v="2022-10-31T08:00:00"/>
        <d v="2022-10-31T09:20:00"/>
        <d v="2022-10-31T10:40:00"/>
        <d v="2022-10-31T12:00:00"/>
        <d v="2022-10-31T13:20:00"/>
        <d v="2022-10-31T14:40:00"/>
        <d v="2022-10-31T16:00:00"/>
        <d v="2022-10-31T17:20:00"/>
        <d v="2022-10-31T18:40:00"/>
        <d v="2022-10-31T20:00:00"/>
        <d v="2022-10-31T21:20:00"/>
        <d v="2022-10-31T22:40:00"/>
        <d v="2022-11-01T00:00:00"/>
        <d v="2022-11-01T01:20:00"/>
        <d v="2022-11-01T02:40:00"/>
        <d v="2022-11-01T04:00:00"/>
        <d v="2022-11-01T05:20:00"/>
        <d v="2022-11-01T06:40:00"/>
        <d v="2022-11-01T08:00:00"/>
        <d v="2022-11-01T09:20:00"/>
        <d v="2022-11-01T10:40:00"/>
        <d v="2022-11-01T12:00:00"/>
        <d v="2022-11-01T13:20:00"/>
        <d v="2022-11-01T14:40:00"/>
        <d v="2022-11-01T16:00:00"/>
        <d v="2022-11-01T17:20:00"/>
        <d v="2022-11-01T18:40:00"/>
        <d v="2022-11-01T20:00:00"/>
        <d v="2022-11-01T21:20:00"/>
        <d v="2022-11-01T22:40:00"/>
        <d v="2022-11-02T00:00:00"/>
        <d v="2022-11-02T01:20:00"/>
        <d v="2022-11-02T02:40:00"/>
        <d v="2022-11-02T04:00:00"/>
        <d v="2022-11-02T05:20:00"/>
        <d v="2022-11-02T06:40:00"/>
        <d v="2022-11-02T08:00:00"/>
        <d v="2022-11-02T09:20:00"/>
        <d v="2022-11-02T10:40:00"/>
        <d v="2022-11-02T12:00:00"/>
        <d v="2022-11-02T13:20:00"/>
        <d v="2022-11-02T14:40:00"/>
        <d v="2022-11-02T16:00:00"/>
        <d v="2022-11-02T17:20:00"/>
        <d v="2022-11-02T18:40:00"/>
        <d v="2022-11-02T20:00:00"/>
        <d v="2022-11-02T21:20:00"/>
        <d v="2022-11-02T22:40:00"/>
        <d v="2022-11-03T00:00:00"/>
        <d v="2022-11-03T01:20:00"/>
        <d v="2022-11-03T02:40:00"/>
        <d v="2022-11-03T04:00:00"/>
        <d v="2022-11-03T05:20:00"/>
        <d v="2022-11-03T06:40:00"/>
        <d v="2022-11-03T08:00:00"/>
        <d v="2022-11-03T09:20:00"/>
        <d v="2022-11-03T10:40:00"/>
        <d v="2022-11-03T12:00:00"/>
        <d v="2022-11-03T13:20:00"/>
        <d v="2022-11-03T14:40:00"/>
        <d v="2022-11-03T16:00:00"/>
        <d v="2022-11-03T17:20:00"/>
        <d v="2022-11-03T18:40:00"/>
        <d v="2022-11-03T20:00:00"/>
        <d v="2022-11-03T21:20:00"/>
        <d v="2022-11-03T22:40:00"/>
        <d v="2022-11-04T00:00:00"/>
        <d v="2022-11-04T01:20:00"/>
        <d v="2022-11-04T02:40:00"/>
        <d v="2022-11-04T04:00:00"/>
        <d v="2022-11-04T05:20:00"/>
        <d v="2022-11-04T06:40:00"/>
        <d v="2022-11-04T08:00:00"/>
        <d v="2022-11-04T09:20:00"/>
        <d v="2022-11-04T10:40:00"/>
        <d v="2022-11-04T12:00:00"/>
        <d v="2022-11-04T13:20:00"/>
        <d v="2022-11-04T14:40:00"/>
        <d v="2022-11-04T16:00:00"/>
        <d v="2022-11-04T17:20:00"/>
        <d v="2022-11-04T18:40:00"/>
        <d v="2022-11-04T20:00:00"/>
        <d v="2022-11-04T21:20:00"/>
        <d v="2022-11-04T22:40:00"/>
        <d v="2022-11-05T00:00:00"/>
        <d v="2022-11-05T01:20:00"/>
        <d v="2022-11-05T02:40:00"/>
        <d v="2022-11-05T04:00:00"/>
        <d v="2022-11-05T05:20:00"/>
        <d v="2022-11-05T06:40:00"/>
        <d v="2022-11-05T08:00:00"/>
        <d v="2022-11-05T09:20:00"/>
        <d v="2022-11-05T10:40:00"/>
        <d v="2022-11-05T12:00:00"/>
        <d v="2022-11-05T13:20:00"/>
        <d v="2022-11-05T14:40:00"/>
        <d v="2022-11-05T16:00:00"/>
        <d v="2022-11-05T17:20:00"/>
        <d v="2022-11-05T18:40:00"/>
        <d v="2022-11-05T20:00:00"/>
        <d v="2022-11-05T21:20:00"/>
        <d v="2022-11-05T22:40:00"/>
        <d v="2022-11-06T00:00:00"/>
        <d v="2022-11-06T01:20:00"/>
        <d v="2022-11-06T02:40:00"/>
        <d v="2022-11-06T04:00:00"/>
        <d v="2022-11-06T05:20:00"/>
        <d v="2022-11-06T06:40:00"/>
        <d v="2022-11-06T08:00:00"/>
        <d v="2022-11-06T09:20:00"/>
        <d v="2022-11-06T10:40:00"/>
        <d v="2022-11-06T12:00:00"/>
        <d v="2022-11-06T13:20:00"/>
        <d v="2022-11-06T14:40:00"/>
        <d v="2022-11-06T16:00:00"/>
        <d v="2022-11-06T17:20:00"/>
        <d v="2022-11-06T18:40:00"/>
        <d v="2022-11-06T20:00:00"/>
        <d v="2022-11-06T21:20:00"/>
        <d v="2022-11-06T22:40:00"/>
        <d v="2022-11-07T00:00:00"/>
        <d v="2022-11-07T01:20:00"/>
        <d v="2022-11-07T02:40:00"/>
        <d v="2022-11-07T04:00:00"/>
        <d v="2022-11-07T05:20:00"/>
        <d v="2022-11-07T06:40:00"/>
        <d v="2022-11-07T08:00:00"/>
        <d v="2022-11-07T09:20:00"/>
        <d v="2022-11-07T10:40:00"/>
        <d v="2022-11-07T12:00:00"/>
        <d v="2022-11-07T13:20:00"/>
        <d v="2022-11-07T14:40:00"/>
        <d v="2022-11-07T16:00:00"/>
        <d v="2022-11-07T17:20:00"/>
        <d v="2022-11-07T18:40:00"/>
        <d v="2022-11-07T20:00:00"/>
        <d v="2022-11-07T21:20:00"/>
        <d v="2022-11-07T22:40:00"/>
        <d v="2022-11-08T00:00:00"/>
        <d v="2022-11-08T01:20:00"/>
        <d v="2022-11-08T02:40:00"/>
        <d v="2022-11-08T04:00:00"/>
        <d v="2022-11-08T05:20:00"/>
        <d v="2022-11-08T06:40:00"/>
        <d v="2022-11-08T08:00:00"/>
        <d v="2022-11-08T09:20:00"/>
        <d v="2022-11-08T10:40:00"/>
        <d v="2022-11-08T12:00:00"/>
        <d v="2022-11-08T13:20:00"/>
        <d v="2022-11-08T14:40:00"/>
        <d v="2022-11-08T16:00:00"/>
        <d v="2022-11-08T17:20:00"/>
        <d v="2022-11-08T18:40:00"/>
        <d v="2022-11-08T20:00:00"/>
        <d v="2022-11-08T21:20:00"/>
        <d v="2022-11-08T22:40:00"/>
        <d v="2022-11-09T00:00:00"/>
        <d v="2022-11-09T01:20:00"/>
        <d v="2022-11-09T02:40:00"/>
        <d v="2022-11-09T04:00:00"/>
        <d v="2022-11-09T05:20:00"/>
        <d v="2022-11-09T06:40:00"/>
        <d v="2022-11-09T08:00:00"/>
        <d v="2022-11-09T09:20:00"/>
        <d v="2022-11-09T10:40:00"/>
        <d v="2022-11-09T12:00:00"/>
        <d v="2022-11-09T13:20:00"/>
        <d v="2022-11-09T14:40:00"/>
        <d v="2022-11-09T16:00:00"/>
        <d v="2022-11-09T17:20:00"/>
        <d v="2022-11-09T18:40:00"/>
        <d v="2022-11-09T20:00:00"/>
        <d v="2022-11-09T21:20:00"/>
        <d v="2022-11-09T22:40:00"/>
        <d v="2022-11-10T00:00:00"/>
        <d v="2022-11-10T01:20:00"/>
        <d v="2022-11-10T02:40:00"/>
        <d v="2022-11-10T04:00:00"/>
        <d v="2022-11-10T05:20:00"/>
        <d v="2022-11-10T06:40:00"/>
        <d v="2022-11-10T08:00:00"/>
        <d v="2022-11-10T09:20:00"/>
        <d v="2022-11-10T10:40:00"/>
        <d v="2022-11-10T12:00:00"/>
        <d v="2022-11-10T13:20:00"/>
        <d v="2022-11-10T14:40:00"/>
        <d v="2022-11-10T16:00:00"/>
        <d v="2022-11-10T17:20:00"/>
        <d v="2022-11-10T18:40:00"/>
        <d v="2022-11-10T20:00:00"/>
        <d v="2022-11-10T21:20:00"/>
        <d v="2022-11-10T22:40:00"/>
        <d v="2022-11-11T00:00:00"/>
        <d v="2022-11-11T01:20:00"/>
        <d v="2022-11-11T02:40:00"/>
        <d v="2022-11-11T04:00:00"/>
        <d v="2022-11-11T05:20:00"/>
        <d v="2022-11-11T06:40:00"/>
        <d v="2022-11-11T08:00:00"/>
        <d v="2022-11-11T09:20:00"/>
        <d v="2022-11-11T10:40:00"/>
        <d v="2022-11-11T12:00:00"/>
        <d v="2022-11-11T13:20:00"/>
        <d v="2022-11-11T14:40:00"/>
        <d v="2022-11-11T16:00:00"/>
        <d v="2022-11-11T17:20:00"/>
        <d v="2022-11-11T18:40:00"/>
        <d v="2022-11-11T20:00:00"/>
        <d v="2022-11-11T21:20:00"/>
        <d v="2022-11-11T22:40:00"/>
        <d v="2022-11-12T00:00:00"/>
        <d v="2022-11-12T01:20:00"/>
        <d v="2022-11-12T02:40:00"/>
        <d v="2022-11-12T04:00:00"/>
        <d v="2022-11-12T05:20:00"/>
        <d v="2022-11-12T06:40:00"/>
        <d v="2022-11-12T08:00:00"/>
        <d v="2022-11-12T09:20:00"/>
        <d v="2022-11-12T10:40:00"/>
        <d v="2022-11-12T12:00:00"/>
        <d v="2022-11-12T13:20:00"/>
        <d v="2022-11-12T14:40:00"/>
        <d v="2022-11-12T16:00:00"/>
        <d v="2022-11-12T17:20:00"/>
        <d v="2022-11-12T18:40:00"/>
        <d v="2022-11-12T20:00:00"/>
        <d v="2022-11-12T21:20:00"/>
        <d v="2022-11-12T22:40:00"/>
        <d v="2022-11-13T00:00:00"/>
        <d v="2022-11-13T01:20:00"/>
        <d v="2022-11-13T02:40:00"/>
        <d v="2022-11-13T04:00:00"/>
        <d v="2022-11-13T05:20:00"/>
        <d v="2022-11-13T06:40:00"/>
        <d v="2022-11-13T08:00:00"/>
        <d v="2022-11-13T09:20:00"/>
        <d v="2022-11-13T10:40:00"/>
        <d v="2022-11-13T12:00:00"/>
        <d v="2022-11-13T13:20:00"/>
        <d v="2022-11-13T14:40:00"/>
        <d v="2022-11-13T16:00:00"/>
        <d v="2022-11-13T17:20:00"/>
        <d v="2022-11-13T18:40:00"/>
        <d v="2022-11-13T20:00:00"/>
        <d v="2022-11-13T21:20:00"/>
        <d v="2022-11-13T22:40:00"/>
        <d v="2022-11-14T00:00:00"/>
        <d v="2022-11-14T01:20:00"/>
        <d v="2022-11-14T02:40:00"/>
        <d v="2022-11-14T04:00:00"/>
        <d v="2022-11-14T05:20:00"/>
        <d v="2022-11-14T06:40:00"/>
        <d v="2022-11-14T08:00:00"/>
        <d v="2022-11-14T09:20:00"/>
        <d v="2022-11-14T10:40:00"/>
        <d v="2022-11-14T12:00:00"/>
        <d v="2022-11-14T13:20:00"/>
        <d v="2022-11-14T14:40:00"/>
        <d v="2022-11-14T16:00:00"/>
        <d v="2022-11-14T17:20:00"/>
        <d v="2022-11-14T18:40:00"/>
        <d v="2022-11-14T20:00:00"/>
        <d v="2022-11-14T21:20:00"/>
        <d v="2022-11-14T22:40:00"/>
        <d v="2022-11-15T00:00:00"/>
        <d v="2022-11-15T01:20:00"/>
        <d v="2022-11-15T02:40:00"/>
        <d v="2022-11-15T04:00:00"/>
        <d v="2022-11-15T05:20:00"/>
        <d v="2022-11-15T06:40:00"/>
        <d v="2022-11-15T08:00:00"/>
        <d v="2022-11-15T09:20:00"/>
        <d v="2022-11-15T10:40:00"/>
        <d v="2022-11-15T12:00:00"/>
        <d v="2022-11-15T13:20:00"/>
        <d v="2022-11-15T14:40:00"/>
        <d v="2022-11-15T16:00:00"/>
        <d v="2022-11-15T17:20:00"/>
        <d v="2022-11-15T18:40:00"/>
        <d v="2022-11-15T20:00:00"/>
        <d v="2022-11-15T21:20:00"/>
        <d v="2022-11-15T22:40:00"/>
        <d v="2022-11-16T00:00:00"/>
        <d v="2022-11-16T01:20:00"/>
        <d v="2022-11-16T02:40:00"/>
        <d v="2022-11-16T04:00:00"/>
        <d v="2022-11-16T05:20:00"/>
        <d v="2022-11-16T06:40:00"/>
        <d v="2022-11-16T08:00:00"/>
        <d v="2022-11-16T09:20:00"/>
        <d v="2022-11-16T10:40:00"/>
        <d v="2022-11-16T12:00:00"/>
        <d v="2022-11-16T13:20:00"/>
        <d v="2022-11-16T14:40:00"/>
        <d v="2022-11-16T16:00:00"/>
        <d v="2022-11-16T17:20:00"/>
        <d v="2022-11-16T18:40:00"/>
        <d v="2022-11-16T20:00:00"/>
        <d v="2022-11-16T21:20:00"/>
        <d v="2022-11-16T22:40:00"/>
        <d v="2022-11-17T00:00:00"/>
        <d v="2022-11-17T01:20:00"/>
        <d v="2022-11-17T02:40:00"/>
        <d v="2022-11-17T04:00:00"/>
        <d v="2022-11-17T05:20:00"/>
        <d v="2022-11-17T06:40:00"/>
        <d v="2022-11-17T08:00:00"/>
        <d v="2022-11-17T09:20:00"/>
        <d v="2022-11-17T10:40:00"/>
        <d v="2022-11-17T12:00:00"/>
        <d v="2022-11-17T13:20:00"/>
        <d v="2022-11-17T14:40:00"/>
        <d v="2022-11-17T16:00:00"/>
        <d v="2022-11-17T17:20:00"/>
        <d v="2022-11-17T18:40:00"/>
        <d v="2022-11-17T20:00:00"/>
        <d v="2022-11-17T21:20:00"/>
        <d v="2022-11-17T22:40:00"/>
        <d v="2022-11-18T00:00:00"/>
        <d v="2022-11-18T01:20:00"/>
        <d v="2022-11-18T02:40:00"/>
        <d v="2022-11-18T04:00:00"/>
        <d v="2022-11-18T05:20:00"/>
        <d v="2022-11-18T06:40:00"/>
        <d v="2022-11-18T08:00:00"/>
        <d v="2022-11-18T09:20:00"/>
        <d v="2022-11-18T10:40:00"/>
        <d v="2022-11-18T12:00:00"/>
        <d v="2022-11-18T13:20:00"/>
        <d v="2022-11-18T14:40:00"/>
        <d v="2022-11-18T16:00:00"/>
        <d v="2022-11-18T17:20:00"/>
        <d v="2022-11-18T18:40:00"/>
        <d v="2022-11-18T20:00:00"/>
        <d v="2022-11-18T21:20:00"/>
        <d v="2022-11-18T22:40:00"/>
        <d v="2022-11-19T00:00:00"/>
        <d v="2022-11-19T01:20:00"/>
        <d v="2022-11-19T02:40:00"/>
        <d v="2022-11-19T04:00:00"/>
        <d v="2022-11-19T05:20:00"/>
        <d v="2022-11-19T06:40:00"/>
        <d v="2022-11-19T08:00:00"/>
        <d v="2022-11-19T09:20:00"/>
        <d v="2022-11-19T10:40:00"/>
        <d v="2022-11-19T12:00:00"/>
        <d v="2022-11-19T13:20:00"/>
        <d v="2022-11-19T14:40:00"/>
        <d v="2022-11-19T16:00:00"/>
        <d v="2022-11-19T17:20:00"/>
        <d v="2022-11-19T18:40:00"/>
        <d v="2022-11-19T20:00:00"/>
        <d v="2022-11-19T21:20:00"/>
        <d v="2022-11-19T22:40:00"/>
        <d v="2022-11-20T00:00:00"/>
        <d v="2022-11-20T01:20:00"/>
        <d v="2022-11-20T02:40:00"/>
        <d v="2022-11-20T04:00:00"/>
        <d v="2022-11-20T05:20:00"/>
        <d v="2022-11-20T06:40:00"/>
        <d v="2022-11-20T08:00:00"/>
        <d v="2022-11-20T09:20:00"/>
        <d v="2022-11-20T10:40:00"/>
        <d v="2022-11-20T12:00:00"/>
        <d v="2022-11-20T13:20:00"/>
        <d v="2022-11-20T14:40:00"/>
        <d v="2022-11-20T16:00:00"/>
        <d v="2022-11-20T17:20:00"/>
        <d v="2022-11-20T18:40:00"/>
        <d v="2022-11-20T20:00:00"/>
        <d v="2022-11-20T21:20:00"/>
        <d v="2022-11-20T22:40:00"/>
        <d v="2022-11-21T00:00:00"/>
        <d v="2022-11-21T01:20:00"/>
        <d v="2022-11-21T02:40:00"/>
        <d v="2022-11-21T04:00:00"/>
        <d v="2022-11-21T05:20:00"/>
        <d v="2022-11-21T06:40:00"/>
        <d v="2022-11-21T08:00:00"/>
        <d v="2022-11-21T09:20:00"/>
        <d v="2022-11-21T10:40:00"/>
        <d v="2022-11-21T12:00:00"/>
        <d v="2022-11-21T13:20:00"/>
        <d v="2022-11-21T14:40:00"/>
        <d v="2022-11-21T16:00:00"/>
        <d v="2022-11-21T17:20:00"/>
        <d v="2022-11-21T18:40:00"/>
        <d v="2022-11-21T20:00:00"/>
        <d v="2022-11-21T21:20:00"/>
        <d v="2022-11-21T22:40:00"/>
        <d v="2022-11-22T00:00:00"/>
        <d v="2022-11-22T01:20:00"/>
        <d v="2022-11-22T02:40:00"/>
        <d v="2022-11-22T04:00:00"/>
        <d v="2022-11-22T05:20:00"/>
        <d v="2022-11-22T06:40:00"/>
        <d v="2022-11-22T08:00:00"/>
        <d v="2022-11-22T09:20:00"/>
        <d v="2022-11-22T10:40:00"/>
        <d v="2022-11-22T12:00:00"/>
        <d v="2022-11-22T13:20:00"/>
        <d v="2022-11-22T14:40:00"/>
        <d v="2022-11-22T16:00:00"/>
        <d v="2022-11-22T17:20:00"/>
        <d v="2022-11-22T18:40:00"/>
        <d v="2022-11-22T20:00:00"/>
        <d v="2022-11-22T21:20:00"/>
        <d v="2022-11-22T22:40:00"/>
        <d v="2022-11-23T00:00:00"/>
        <d v="2022-11-23T01:20:00"/>
        <d v="2022-11-23T02:40:00"/>
        <d v="2022-11-23T04:00:00"/>
        <d v="2022-11-23T05:20:00"/>
        <d v="2022-11-23T06:40:00"/>
        <d v="2022-11-23T08:00:00"/>
        <d v="2022-11-23T09:20:00"/>
        <d v="2022-11-23T10:40:00"/>
        <d v="2022-11-23T12:00:00"/>
        <d v="2022-11-23T13:20:00"/>
        <d v="2022-11-23T14:40:00"/>
        <d v="2022-11-23T16:00:00"/>
        <d v="2022-11-23T17:20:00"/>
        <d v="2022-11-23T18:40:00"/>
        <d v="2022-11-23T20:00:00"/>
        <d v="2022-11-23T21:20:00"/>
        <d v="2022-11-23T22:40:00"/>
        <d v="2022-11-24T00:00:00"/>
        <d v="2022-11-24T01:20:00"/>
        <d v="2022-11-24T02:40:00"/>
        <d v="2022-11-24T04:00:00"/>
        <d v="2022-11-24T05:20:00"/>
        <d v="2022-11-24T06:40:00"/>
        <d v="2022-11-24T08:00:00"/>
        <d v="2022-11-24T09:20:00"/>
        <d v="2022-11-24T10:40:00"/>
        <d v="2022-11-24T12:00:00"/>
        <d v="2022-11-24T13:20:00"/>
        <d v="2022-11-24T14:40:00"/>
        <d v="2022-11-24T16:00:00"/>
        <d v="2022-11-24T17:20:00"/>
        <d v="2022-11-24T18:40:00"/>
        <d v="2022-11-24T20:00:00"/>
        <d v="2022-11-24T21:20:00"/>
        <d v="2022-11-24T22:40:00"/>
        <d v="2022-11-25T00:00:00"/>
        <d v="2022-11-25T01:20:00"/>
        <d v="2022-11-25T02:40:00"/>
        <d v="2022-11-25T04:00:00"/>
        <d v="2022-11-25T05:20:00"/>
        <d v="2022-11-25T06:40:00"/>
        <d v="2022-11-25T08:00:00"/>
        <d v="2022-11-25T09:20:00"/>
        <d v="2022-11-25T10:40:00"/>
        <d v="2022-11-25T12:00:00"/>
        <d v="2022-11-25T13:20:00"/>
        <d v="2022-11-25T14:40:00"/>
        <d v="2022-11-25T16:00:00"/>
        <d v="2022-11-25T17:20:00"/>
        <d v="2022-11-25T18:40:00"/>
        <d v="2022-11-25T20:00:00"/>
        <d v="2022-11-25T21:20:00"/>
        <d v="2022-11-25T22:40:00"/>
        <d v="2022-11-26T00:00:00"/>
        <d v="2022-11-26T01:20:00"/>
        <d v="2022-11-26T02:40:00"/>
        <d v="2022-11-26T04:00:00"/>
        <d v="2022-11-26T05:20:00"/>
        <d v="2022-11-26T06:40:00"/>
        <d v="2022-11-26T08:00:00"/>
        <d v="2022-11-26T09:20:00"/>
        <d v="2022-11-26T10:40:00"/>
        <d v="2022-11-26T12:00:00"/>
        <d v="2022-11-26T13:20:00"/>
        <d v="2022-11-26T14:40:00"/>
        <d v="2022-11-26T16:00:00"/>
        <d v="2022-11-26T17:20:00"/>
        <d v="2022-11-26T18:40:00"/>
        <d v="2022-11-26T20:00:00"/>
        <d v="2022-11-26T21:20:00"/>
        <d v="2022-11-26T22:40:00"/>
        <d v="2022-11-27T00:00:00"/>
        <d v="2022-11-27T01:20:00"/>
        <d v="2022-11-27T02:40:00"/>
        <d v="2022-11-27T04:00:00"/>
        <d v="2022-11-27T05:20:00"/>
        <d v="2022-11-27T06:40:00"/>
        <d v="2022-11-27T08:00:00"/>
        <d v="2022-11-27T09:20:00"/>
        <d v="2022-11-27T10:40:00"/>
        <d v="2022-11-27T12:00:00"/>
        <d v="2022-11-27T13:20:00"/>
        <d v="2022-11-27T14:40:00"/>
        <d v="2022-11-27T16:00:00"/>
        <d v="2022-11-27T17:20:00"/>
        <d v="2022-11-27T18:40:00"/>
        <d v="2022-11-27T20:00:00"/>
        <d v="2022-11-27T21:20:00"/>
        <d v="2022-11-27T22:40:00"/>
        <d v="2022-11-28T00:00:00"/>
        <d v="2022-11-28T01:20:00"/>
        <d v="2022-11-28T02:40:00"/>
        <d v="2022-11-28T04:00:00"/>
        <d v="2022-11-28T05:20:00"/>
        <d v="2022-11-28T06:40:00"/>
        <d v="2022-11-28T08:00:00"/>
        <d v="2022-11-28T09:20:00"/>
        <d v="2022-11-28T10:40:00"/>
        <d v="2022-11-28T12:00:00"/>
        <d v="2022-11-28T13:20:00"/>
        <d v="2022-11-28T14:40:00"/>
        <d v="2022-11-28T16:00:00"/>
        <d v="2022-11-28T17:20:00"/>
        <d v="2022-11-28T18:40:00"/>
        <d v="2022-11-28T20:00:00"/>
        <d v="2022-11-28T21:20:00"/>
        <d v="2022-11-28T22:40:00"/>
        <d v="2022-11-29T00:00:00"/>
        <d v="2022-11-29T01:20:00"/>
        <d v="2022-11-29T02:40:00"/>
        <d v="2022-11-29T04:00:00"/>
        <d v="2022-11-29T05:20:00"/>
        <d v="2022-11-29T06:40:00"/>
        <d v="2022-11-29T08:00:00"/>
        <d v="2022-11-29T09:20:00"/>
        <d v="2022-11-29T10:40:00"/>
        <d v="2022-11-29T12:00:00"/>
        <d v="2022-11-29T13:20:00"/>
        <d v="2022-11-29T14:40:00"/>
        <d v="2022-11-29T16:00:00"/>
        <d v="2022-11-29T17:20:00"/>
        <d v="2022-11-29T18:40:00"/>
        <d v="2022-11-29T20:00:00"/>
        <d v="2022-11-29T21:20:00"/>
        <d v="2022-11-29T22:40:00"/>
        <d v="2022-11-30T00:00:00"/>
        <d v="2022-11-30T01:20:00"/>
        <d v="2022-11-30T02:40:00"/>
        <d v="2022-11-30T04:00:00"/>
        <d v="2022-11-30T05:20:00"/>
        <d v="2022-11-30T06:40:00"/>
        <d v="2022-11-30T08:00:00"/>
        <d v="2022-11-30T09:20:00"/>
        <d v="2022-11-30T10:40:00"/>
        <d v="2022-11-30T12:00:00"/>
        <d v="2022-11-30T13:20:00"/>
        <d v="2022-11-30T14:40:00"/>
        <d v="2022-11-30T16:00:00"/>
        <d v="2022-11-30T17:20:00"/>
        <d v="2022-11-30T18:40:00"/>
        <d v="2022-11-30T20:00:00"/>
        <d v="2022-11-30T21:20:00"/>
        <d v="2022-11-30T22:40:00"/>
        <d v="2022-12-01T00:00:00"/>
        <d v="2022-12-01T01:20:00"/>
        <d v="2022-12-01T02:40:00"/>
        <d v="2022-12-01T04:00:00"/>
        <d v="2022-12-01T05:20:00"/>
        <d v="2022-12-01T06:40:00"/>
        <d v="2022-12-01T08:00:00"/>
        <d v="2022-12-01T09:20:00"/>
        <d v="2022-12-01T10:40:00"/>
        <d v="2022-12-01T12:00:00"/>
        <d v="2022-12-01T13:20:00"/>
        <d v="2022-12-01T14:40:00"/>
        <d v="2022-12-01T16:00:00"/>
        <d v="2022-12-01T17:20:00"/>
        <d v="2022-12-01T18:40:00"/>
        <d v="2022-12-01T20:00:00"/>
        <d v="2022-12-01T21:20:00"/>
        <d v="2022-12-01T22:40:00"/>
        <d v="2022-12-02T00:00:00"/>
        <d v="2022-12-02T01:20:00"/>
        <d v="2022-12-02T02:40:00"/>
        <d v="2022-12-02T04:00:00"/>
        <d v="2022-12-02T05:20:00"/>
        <d v="2022-12-02T06:40:00"/>
        <d v="2022-12-02T08:00:00"/>
        <d v="2022-12-02T09:20:00"/>
        <d v="2022-12-02T10:40:00"/>
        <d v="2022-12-02T12:00:00"/>
        <d v="2022-12-02T13:20:00"/>
        <d v="2022-12-02T14:40:00"/>
        <d v="2022-12-02T16:00:00"/>
        <d v="2022-12-02T17:20:00"/>
        <d v="2022-12-02T18:40:00"/>
        <d v="2022-12-02T20:00:00"/>
        <d v="2022-12-02T21:20:00"/>
        <d v="2022-12-02T22:40:00"/>
        <d v="2022-12-03T00:00:00"/>
        <d v="2022-12-03T01:20:00"/>
        <d v="2022-12-03T02:40:00"/>
        <d v="2022-12-03T04:00:00"/>
        <d v="2022-12-03T05:20:00"/>
        <d v="2022-12-03T06:40:00"/>
        <d v="2022-12-03T08:00:00"/>
        <d v="2022-12-03T09:20:00"/>
        <d v="2022-12-03T10:40:00"/>
        <d v="2022-12-03T12:00:00"/>
        <d v="2022-12-03T13:20:00"/>
        <d v="2022-12-03T14:40:00"/>
        <d v="2022-12-03T16:00:00"/>
        <d v="2022-12-03T17:20:00"/>
        <d v="2022-12-03T18:40:00"/>
        <d v="2022-12-03T20:00:00"/>
        <d v="2022-12-03T21:20:00"/>
        <d v="2022-12-03T22:40:00"/>
        <d v="2022-12-04T00:00:00"/>
        <d v="2022-12-04T01:20:00"/>
        <d v="2022-12-04T02:40:00"/>
        <d v="2022-12-04T04:00:00"/>
        <d v="2022-12-04T05:20:00"/>
        <d v="2022-12-04T06:40:00"/>
        <d v="2022-12-04T08:00:00"/>
        <d v="2022-12-04T09:20:00"/>
        <d v="2022-12-04T10:40:00"/>
        <d v="2022-12-04T12:00:00"/>
        <d v="2022-12-04T13:20:00"/>
        <d v="2022-12-04T14:40:00"/>
        <d v="2022-12-04T16:00:00"/>
        <d v="2022-12-04T17:20:00"/>
        <d v="2022-12-04T18:40:00"/>
        <d v="2022-12-04T20:00:00"/>
        <d v="2022-12-04T21:20:00"/>
        <d v="2022-12-04T22:40:00"/>
        <d v="2022-12-05T00:00:00"/>
        <d v="2022-12-05T01:20:00"/>
        <d v="2022-12-05T02:40:00"/>
        <d v="2022-12-05T04:00:00"/>
        <d v="2022-12-05T05:20:00"/>
        <d v="2022-12-05T06:40:00"/>
        <d v="2022-12-05T08:00:00"/>
        <d v="2022-12-05T09:20:00"/>
        <d v="2022-12-05T10:40:00"/>
        <d v="2022-12-05T12:00:00"/>
        <d v="2022-12-05T13:20:00"/>
        <d v="2022-12-05T14:40:00"/>
        <d v="2022-12-05T16:00:00"/>
        <d v="2022-12-05T17:20:00"/>
        <d v="2022-12-05T18:40:00"/>
        <d v="2022-12-05T20:00:00"/>
        <d v="2022-12-05T21:20:00"/>
        <d v="2022-12-05T22:40:00"/>
        <d v="2022-12-06T00:00:00"/>
        <d v="2022-12-06T01:20:00"/>
        <d v="2022-12-06T02:40:00"/>
        <d v="2022-12-06T04:00:00"/>
        <d v="2022-12-06T05:20:00"/>
        <d v="2022-12-06T06:40:00"/>
        <d v="2022-12-06T08:00:00"/>
        <d v="2022-12-06T09:20:00"/>
        <d v="2022-12-06T10:40:00"/>
        <d v="2022-12-06T12:00:00"/>
        <d v="2022-12-06T13:20:00"/>
        <d v="2022-12-06T14:40:00"/>
        <d v="2022-12-06T16:00:00"/>
        <d v="2022-12-06T17:20:00"/>
        <d v="2022-12-06T18:40:00"/>
        <d v="2022-12-06T20:00:00"/>
        <d v="2022-12-06T21:20:00"/>
        <d v="2022-12-06T22:40:00"/>
        <d v="2022-12-07T00:00:00"/>
        <d v="2022-12-07T01:20:00"/>
        <d v="2022-12-07T02:40:00"/>
        <d v="2022-12-07T04:00:00"/>
        <d v="2022-12-07T05:20:00"/>
        <d v="2022-12-07T06:40:00"/>
        <d v="2022-12-07T08:00:00"/>
        <d v="2022-12-07T09:20:00"/>
        <d v="2022-12-07T10:40:00"/>
        <d v="2022-12-07T12:00:00"/>
        <d v="2022-12-07T13:20:00"/>
        <d v="2022-12-07T14:40:00"/>
        <d v="2022-12-07T16:00:00"/>
        <d v="2022-12-07T17:20:00"/>
        <d v="2022-12-07T18:40:00"/>
        <d v="2022-12-07T20:00:00"/>
        <d v="2022-12-07T21:20:00"/>
        <d v="2022-12-07T22:40:00"/>
        <d v="2022-12-08T00:00:00"/>
        <d v="2022-12-08T01:20:00"/>
        <d v="2022-12-08T02:40:00"/>
        <d v="2022-12-08T04:00:00"/>
        <d v="2022-12-08T05:20:00"/>
        <d v="2022-12-08T06:40:00"/>
        <d v="2022-12-08T08:00:00"/>
        <d v="2022-12-08T09:20:00"/>
        <d v="2022-12-08T10:40:00"/>
        <d v="2022-12-08T12:00:00"/>
        <d v="2022-12-08T13:20:00"/>
        <d v="2022-12-08T14:40:00"/>
        <d v="2022-12-08T16:00:00"/>
        <d v="2022-12-08T17:20:00"/>
        <d v="2022-12-08T18:40:00"/>
        <d v="2022-12-08T20:00:00"/>
        <d v="2022-12-08T21:20:00"/>
        <d v="2022-12-08T22:40:00"/>
        <d v="2022-12-09T00:00:00"/>
        <d v="2022-12-09T01:20:00"/>
        <d v="2022-12-09T02:40:00"/>
        <d v="2022-12-09T04:00:00"/>
        <d v="2022-12-09T05:20:00"/>
        <d v="2022-12-09T06:40:00"/>
        <d v="2022-12-09T08:00:00"/>
        <d v="2022-12-09T09:20:00"/>
        <d v="2022-12-09T10:40:00"/>
        <d v="2022-12-09T12:00:00"/>
        <d v="2022-12-09T13:20:00"/>
        <d v="2022-12-09T14:40:00"/>
        <d v="2022-12-09T16:00:00"/>
        <d v="2022-12-09T17:20:00"/>
        <d v="2022-12-09T18:40:00"/>
        <d v="2022-12-09T20:00:00"/>
        <d v="2022-12-09T21:20:00"/>
        <d v="2022-12-09T22:40:00"/>
        <d v="2022-12-10T00:00:00"/>
        <d v="2022-12-10T01:20:00"/>
        <d v="2022-12-10T02:40:00"/>
        <d v="2022-12-10T04:00:00"/>
        <d v="2022-12-10T05:20:00"/>
        <d v="2022-12-10T06:40:00"/>
        <d v="2022-12-10T08:00:00"/>
        <d v="2022-12-10T09:20:00"/>
        <d v="2022-12-10T10:40:00"/>
        <d v="2022-12-10T12:00:00"/>
        <d v="2022-12-10T13:20:00"/>
        <d v="2022-12-10T14:40:00"/>
        <d v="2022-12-10T16:00:00"/>
        <d v="2022-12-10T17:20:00"/>
        <d v="2022-12-10T18:40:00"/>
        <d v="2022-12-10T20:00:00"/>
        <d v="2022-12-10T21:20:00"/>
        <d v="2022-12-10T22:40:00"/>
        <d v="2022-12-11T00:00:00"/>
        <d v="2022-12-11T01:20:00"/>
        <d v="2022-12-11T02:40:00"/>
        <d v="2022-12-11T04:00:00"/>
        <d v="2022-12-11T05:20:00"/>
        <d v="2022-12-11T06:40:00"/>
        <d v="2022-12-11T08:00:00"/>
        <d v="2022-12-11T09:20:00"/>
        <d v="2022-12-11T10:40:00"/>
        <d v="2022-12-11T12:00:00"/>
        <d v="2022-12-11T13:20:00"/>
        <d v="2022-12-11T14:40:00"/>
        <d v="2022-12-11T16:00:00"/>
        <d v="2022-12-11T17:20:00"/>
        <d v="2022-12-11T18:40:00"/>
        <d v="2022-12-11T20:00:00"/>
        <d v="2022-12-11T21:20:00"/>
        <d v="2022-12-11T22:40:00"/>
        <d v="2022-12-12T00:00:00"/>
        <d v="2022-12-12T01:20:00"/>
        <d v="2022-12-12T02:40:00"/>
        <d v="2022-12-12T04:00:00"/>
        <d v="2022-12-12T05:20:00"/>
        <d v="2022-12-12T06:40:00"/>
        <d v="2022-12-12T08:00:00"/>
        <d v="2022-12-12T09:20:00"/>
        <d v="2022-12-12T10:40:00"/>
        <d v="2022-12-12T12:00:00"/>
        <d v="2022-12-12T13:20:00"/>
        <d v="2022-12-12T14:40:00"/>
        <d v="2022-12-12T16:00:00"/>
        <d v="2022-12-12T17:20:00"/>
        <d v="2022-12-12T18:40:00"/>
        <d v="2022-12-12T20:00:00"/>
        <d v="2022-12-12T21:20:00"/>
        <d v="2022-12-12T22:40:00"/>
        <d v="2022-12-13T00:00:00"/>
        <d v="2022-12-13T01:20:00"/>
        <d v="2022-12-13T02:40:00"/>
        <d v="2022-12-13T04:00:00"/>
        <d v="2022-12-13T05:20:00"/>
        <d v="2022-12-13T06:40:00"/>
        <d v="2022-12-13T08:00:00"/>
        <d v="2022-12-13T09:20:00"/>
        <d v="2022-12-13T10:40:00"/>
        <d v="2022-12-13T12:00:00"/>
        <d v="2022-12-13T13:20:00"/>
        <d v="2022-12-13T14:40:00"/>
        <d v="2022-12-13T16:00:00"/>
        <d v="2022-12-13T17:20:00"/>
        <d v="2022-12-13T18:40:00"/>
        <d v="2022-12-13T20:00:00"/>
        <d v="2022-12-13T21:20:00"/>
        <d v="2022-12-13T22:40:00"/>
        <d v="2022-12-14T00:00:00"/>
        <d v="2022-12-14T01:20:00"/>
        <d v="2022-12-14T02:40:00"/>
        <d v="2022-12-14T04:00:00"/>
        <d v="2022-12-14T05:20:00"/>
        <d v="2022-12-14T06:40:00"/>
        <d v="2022-12-14T08:00:00"/>
        <d v="2022-12-14T09:20:00"/>
        <d v="2022-12-14T10:40:00"/>
        <d v="2022-12-14T12:00:00"/>
        <d v="2022-12-14T13:20:00"/>
        <d v="2022-12-14T14:40:00"/>
        <d v="2022-12-14T16:00:00"/>
        <d v="2022-12-14T17:20:00"/>
        <d v="2022-12-14T18:40:00"/>
        <d v="2022-12-14T20:00:00"/>
        <d v="2022-12-14T21:20:00"/>
        <d v="2022-12-14T22:40:00"/>
        <d v="2022-12-15T00:00:00"/>
        <d v="2022-12-15T01:20:00"/>
        <d v="2022-12-15T02:40:00"/>
        <d v="2022-12-15T04:00:00"/>
        <d v="2022-12-15T05:20:00"/>
        <d v="2022-12-15T06:40:00"/>
        <d v="2022-12-15T08:00:00"/>
        <d v="2022-12-15T09:20:00"/>
        <d v="2022-12-15T10:40:00"/>
        <d v="2022-12-15T12:00:00"/>
        <d v="2022-12-15T13:20:00"/>
        <d v="2022-12-15T14:40:00"/>
        <d v="2022-12-15T16:00:00"/>
        <d v="2022-12-15T17:20:00"/>
        <d v="2022-12-15T18:40:00"/>
        <d v="2022-12-15T20:00:00"/>
        <d v="2022-12-15T21:20:00"/>
        <d v="2022-12-15T22:40:00"/>
        <d v="2022-12-16T00:00:00"/>
        <d v="2022-12-16T01:20:00"/>
        <d v="2022-12-16T02:40:00"/>
        <d v="2022-12-16T04:00:00"/>
        <d v="2022-12-16T05:20:00"/>
        <d v="2022-12-16T06:40:00"/>
        <d v="2022-12-16T08:00:00"/>
        <d v="2022-12-16T09:20:00"/>
        <d v="2022-12-16T10:40:00"/>
        <d v="2022-12-16T12:00:00"/>
        <d v="2022-12-16T13:20:00"/>
        <d v="2022-12-16T14:40:00"/>
        <d v="2022-12-16T16:00:00"/>
        <d v="2022-12-16T17:20:00"/>
        <d v="2022-12-16T18:40:00"/>
        <d v="2022-12-16T20:00:00"/>
        <d v="2022-12-16T21:20:00"/>
        <d v="2022-12-16T22:40:00"/>
        <d v="2022-12-17T00:00:00"/>
        <d v="2022-12-17T01:20:00"/>
        <d v="2022-12-17T02:40:00"/>
        <d v="2022-12-17T04:00:00"/>
        <d v="2022-12-17T05:20:00"/>
        <d v="2022-12-17T06:40:00"/>
        <d v="2022-12-17T08:00:00"/>
        <d v="2022-12-17T09:20:00"/>
        <d v="2022-12-17T10:40:00"/>
        <d v="2022-12-17T12:00:00"/>
        <d v="2022-12-17T13:20:00"/>
        <d v="2022-12-17T14:40:00"/>
        <d v="2022-12-17T16:00:00"/>
        <d v="2022-12-17T17:20:00"/>
        <d v="2022-12-17T18:40:00"/>
        <d v="2022-12-17T20:00:00"/>
        <d v="2022-12-17T21:20:00"/>
        <d v="2022-12-17T22:40:00"/>
        <d v="2022-12-18T00:00:00"/>
        <d v="2022-12-18T01:20:00"/>
        <d v="2022-12-18T02:40:00"/>
        <d v="2022-12-18T04:00:00"/>
        <d v="2022-12-18T05:20:00"/>
        <d v="2022-12-18T06:40:00"/>
        <d v="2022-12-18T08:00:00"/>
        <d v="2022-12-18T09:20:00"/>
        <d v="2022-12-18T10:40:00"/>
        <d v="2022-12-18T12:00:00"/>
        <d v="2022-12-18T13:20:00"/>
        <d v="2022-12-18T14:40:00"/>
        <d v="2022-12-18T16:00:00"/>
        <d v="2022-12-18T17:20:00"/>
        <d v="2022-12-18T18:40:00"/>
        <d v="2022-12-18T20:00:00"/>
        <d v="2022-12-18T21:20:00"/>
        <d v="2022-12-18T22:40:00"/>
        <d v="2022-12-19T00:00:00"/>
        <d v="2022-12-19T01:20:00"/>
        <d v="2022-12-19T02:40:00"/>
        <d v="2022-12-19T04:00:00"/>
        <d v="2022-12-19T05:20:00"/>
        <d v="2022-12-19T06:40:00"/>
        <d v="2022-12-19T08:00:00"/>
        <d v="2022-12-19T09:20:00"/>
        <d v="2022-12-19T10:40:00"/>
        <d v="2022-12-19T12:00:00"/>
        <d v="2022-12-19T13:20:00"/>
        <d v="2022-12-19T14:40:00"/>
        <d v="2022-12-19T16:00:00"/>
        <d v="2022-12-19T17:20:00"/>
        <d v="2022-12-19T18:40:00"/>
        <d v="2022-12-19T20:00:00"/>
        <d v="2022-12-19T21:20:00"/>
        <d v="2022-12-19T22:40:00"/>
        <d v="2022-12-20T00:00:00"/>
        <d v="2022-12-20T01:20:00"/>
        <d v="2022-12-20T02:40:00"/>
        <d v="2022-12-20T04:00:00"/>
        <d v="2022-12-20T05:20:00"/>
        <d v="2022-12-20T06:40:00"/>
        <d v="2022-12-20T08:00:00"/>
        <d v="2022-12-20T09:20:00"/>
        <d v="2022-12-20T10:40:00"/>
        <d v="2022-12-20T12:00:00"/>
        <d v="2022-12-20T13:20:00"/>
        <d v="2022-12-20T14:40:00"/>
        <d v="2022-12-20T16:00:00"/>
        <d v="2022-12-20T17:20:00"/>
        <d v="2022-12-20T18:40:00"/>
        <d v="2022-12-20T20:00:00"/>
        <d v="2022-12-20T21:20:00"/>
        <d v="2022-12-20T22:40:00"/>
        <d v="2022-12-21T00:00:00"/>
        <d v="2022-12-21T01:20:00"/>
        <d v="2022-12-21T02:40:00"/>
        <d v="2022-12-21T04:00:00"/>
        <d v="2022-12-21T05:20:00"/>
        <d v="2022-12-21T06:40:00"/>
        <d v="2022-12-21T08:00:00"/>
        <d v="2022-12-21T09:20:00"/>
        <d v="2022-12-21T10:40:00"/>
        <d v="2022-12-21T12:00:00"/>
        <d v="2022-12-21T13:20:00"/>
        <d v="2022-12-21T14:40:00"/>
        <d v="2022-12-21T16:00:00"/>
        <d v="2022-12-21T17:20:00"/>
        <d v="2022-12-21T18:40:00"/>
        <d v="2022-12-21T20:00:00"/>
        <d v="2022-12-21T21:20:00"/>
        <d v="2022-12-21T22:40:00"/>
        <d v="2022-12-22T00:00:00"/>
        <d v="2022-12-22T01:20:00"/>
        <d v="2022-12-22T02:40:00"/>
        <d v="2022-12-22T04:00:00"/>
        <d v="2022-12-22T05:20:00"/>
        <d v="2022-12-22T06:40:00"/>
        <d v="2022-12-22T08:00:00"/>
        <d v="2022-12-22T09:20:00"/>
        <d v="2022-12-22T10:40:00"/>
        <d v="2022-12-22T12:00:00"/>
        <d v="2022-12-22T13:20:00"/>
        <d v="2022-12-22T14:40:00"/>
        <d v="2022-12-22T16:00:00"/>
        <d v="2022-12-22T17:20:00"/>
        <d v="2022-12-22T18:40:00"/>
        <d v="2022-12-22T20:00:00"/>
        <d v="2022-12-22T21:20:00"/>
        <d v="2022-12-22T22:40:00"/>
        <d v="2022-12-23T00:00:00"/>
        <d v="2022-12-23T01:20:00"/>
        <d v="2022-12-23T02:40:00"/>
        <d v="2022-12-23T04:00:00"/>
        <d v="2022-12-23T05:20:00"/>
        <d v="2022-12-23T06:40:00"/>
        <d v="2022-12-23T08:00:00"/>
        <d v="2022-12-23T09:20:00"/>
        <d v="2022-12-23T10:40:00"/>
        <d v="2022-12-23T12:00:00"/>
        <d v="2022-12-23T13:20:00"/>
        <d v="2022-12-23T14:40:00"/>
        <d v="2022-12-23T16:00:00"/>
        <d v="2022-12-23T17:20:00"/>
        <d v="2022-12-23T18:40:00"/>
        <d v="2022-12-23T20:00:00"/>
        <d v="2022-12-23T21:20:00"/>
        <d v="2022-12-23T22:40:00"/>
        <d v="2022-12-24T00:00:00"/>
        <d v="2022-12-24T01:20:00"/>
        <d v="2022-12-24T02:40:00"/>
        <d v="2022-12-24T04:00:00"/>
        <d v="2022-12-24T05:20:00"/>
        <d v="2022-12-24T06:40:00"/>
        <d v="2022-12-24T08:00:00"/>
        <d v="2022-12-24T09:20:00"/>
        <d v="2022-12-24T10:40:00"/>
        <d v="2022-12-24T12:00:00"/>
        <d v="2022-12-24T13:20:00"/>
        <d v="2022-12-24T14:40:00"/>
        <d v="2022-12-24T16:00:00"/>
        <d v="2022-12-24T17:20:00"/>
        <d v="2022-12-24T18:40:00"/>
        <d v="2022-12-24T20:00:00"/>
        <d v="2022-12-24T21:20:00"/>
        <d v="2022-12-24T22:40:00"/>
        <d v="2022-12-25T00:00:00"/>
        <d v="2022-12-25T01:20:00"/>
        <d v="2022-12-25T02:40:00"/>
        <d v="2022-12-25T04:00:00"/>
        <d v="2022-12-25T05:20:00"/>
        <d v="2022-12-25T06:40:00"/>
        <d v="2022-12-25T08:00:00"/>
        <d v="2022-12-25T09:20:00"/>
        <d v="2022-12-25T10:40:00"/>
        <d v="2022-12-25T12:00:00"/>
        <d v="2022-12-25T13:20:00"/>
        <d v="2022-12-25T14:40:00"/>
        <d v="2022-12-25T16:00:00"/>
        <d v="2022-12-25T17:20:00"/>
        <d v="2022-12-25T18:40:00"/>
        <d v="2022-12-25T20:00:00"/>
        <d v="2022-12-25T21:20:00"/>
        <d v="2022-12-25T22:40:00"/>
        <d v="2022-12-26T00:00:00"/>
        <d v="2022-12-26T01:20:00"/>
        <d v="2022-12-26T02:40:00"/>
        <d v="2022-12-26T04:00:00"/>
        <d v="2022-12-26T05:20:00"/>
        <d v="2022-12-26T06:40:00"/>
        <d v="2022-12-26T08:00:00"/>
        <d v="2022-12-26T09:20:00"/>
        <d v="2022-12-26T10:40:00"/>
        <d v="2022-12-26T12:00:00"/>
        <d v="2022-12-26T13:20:00"/>
        <d v="2022-12-26T14:40:00"/>
        <d v="2022-12-26T16:00:00"/>
        <d v="2022-12-26T17:20:00"/>
        <d v="2022-12-26T18:40:00"/>
        <d v="2022-12-26T20:00:00"/>
        <d v="2022-12-26T21:20:00"/>
        <d v="2022-12-26T22:40:00"/>
        <d v="2022-12-27T00:00:00"/>
        <d v="2022-12-27T01:20:00"/>
        <d v="2022-12-27T02:40:00"/>
        <d v="2022-12-27T04:00:00"/>
        <d v="2022-12-27T05:20:00"/>
        <d v="2022-12-27T06:40:00"/>
        <d v="2022-12-27T08:00:00"/>
        <d v="2022-12-27T09:20:00"/>
        <d v="2022-12-27T10:40:00"/>
        <d v="2022-12-27T12:00:00"/>
        <d v="2022-12-27T13:20:00"/>
        <d v="2022-12-27T14:40:00"/>
        <d v="2022-12-27T16:00:00"/>
        <d v="2022-12-27T17:20:00"/>
        <d v="2022-12-27T18:40:00"/>
        <d v="2022-12-27T20:00:00"/>
        <d v="2022-12-27T21:20:00"/>
        <d v="2022-12-27T22:40:00"/>
        <d v="2022-12-28T00:00:00"/>
        <d v="2022-12-28T01:20:00"/>
        <d v="2022-12-28T02:40:00"/>
        <d v="2022-12-28T04:00:00"/>
        <d v="2022-12-28T05:20:00"/>
        <d v="2022-12-28T06:40:00"/>
        <d v="2022-12-28T08:00:00"/>
        <d v="2022-12-28T09:20:00"/>
        <d v="2022-12-28T10:40:00"/>
        <d v="2022-12-28T12:00:00"/>
        <d v="2022-12-28T13:20:00"/>
        <d v="2022-12-28T14:40:00"/>
        <d v="2022-12-28T16:00:00"/>
        <d v="2022-12-28T17:20:00"/>
        <d v="2022-12-28T18:40:00"/>
        <d v="2022-12-28T20:00:00"/>
        <d v="2022-12-28T21:20:00"/>
        <d v="2022-12-28T22:40:00"/>
        <d v="2022-12-29T00:00:00"/>
        <d v="2022-12-29T01:20:00"/>
        <d v="2022-12-29T02:40:00"/>
        <d v="2022-12-29T04:00:00"/>
        <d v="2022-12-29T05:20:00"/>
        <d v="2022-12-29T06:40:00"/>
        <d v="2022-12-29T08:00:00"/>
        <d v="2022-12-29T09:20:00"/>
        <d v="2022-12-29T10:40:00"/>
        <d v="2022-12-29T12:00:00"/>
        <d v="2022-12-29T13:20:00"/>
        <d v="2022-12-29T14:40:00"/>
        <d v="2022-12-29T16:00:00"/>
        <d v="2022-12-29T17:20:00"/>
        <d v="2022-12-29T18:40:00"/>
        <d v="2022-12-29T20:00:00"/>
        <d v="2022-12-29T21:20:00"/>
        <d v="2022-12-29T22:40:00"/>
        <d v="2022-12-30T00:00:00"/>
        <d v="2022-12-30T01:20:00"/>
        <d v="2022-12-30T02:40:00"/>
        <d v="2022-12-30T04:00:00"/>
        <d v="2022-12-30T05:20:00"/>
        <d v="2022-12-30T06:40:00"/>
        <d v="2022-12-30T08:00:00"/>
        <d v="2022-12-30T09:20:00"/>
        <d v="2022-12-30T10:40:00"/>
        <d v="2022-12-30T12:00:00"/>
        <d v="2022-12-30T13:20:00"/>
        <d v="2022-12-30T14:40:00"/>
        <d v="2022-12-30T16:00:00"/>
        <d v="2022-12-30T17:20:00"/>
        <d v="2022-12-30T18:40:00"/>
        <d v="2022-12-30T20:00:00"/>
        <d v="2022-12-30T21:20:00"/>
        <d v="2022-12-30T22:40:00"/>
        <d v="2022-12-31T00:00:00"/>
        <d v="2022-12-31T01:20:00"/>
        <d v="2022-12-31T02:40:00"/>
        <d v="2022-12-31T04:00:00"/>
        <d v="2022-12-31T05:20:00"/>
        <d v="2022-12-31T06:40:00"/>
        <d v="2022-12-31T08:00:00"/>
        <d v="2022-12-31T09:20:00"/>
        <d v="2022-12-31T10:40:00"/>
        <d v="2022-12-31T12:00:00"/>
        <d v="2022-12-31T13:20:00"/>
        <d v="2022-12-31T14:40:00"/>
        <d v="2022-12-31T16:00:00"/>
        <d v="2022-12-31T17:20:00"/>
        <d v="2022-12-31T18:40:00"/>
        <d v="2022-12-31T20:00:00"/>
        <d v="2022-12-31T21:20:00"/>
        <d v="2022-12-31T22:40:00"/>
      </sharedItems>
      <fieldGroup par="10" base="0">
        <rangePr groupBy="days" startDate="2022-10-01T00:00:00" endDate="2023-01-01T00:00:00"/>
        <groupItems count="368">
          <s v="&lt;01/10/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1/2023"/>
        </groupItems>
      </fieldGroup>
    </cacheField>
    <cacheField name="SKU" numFmtId="0">
      <sharedItems count="18">
        <s v="T01"/>
        <s v="T02"/>
        <s v="T03"/>
        <s v="T04"/>
        <s v="T05"/>
        <s v="B01"/>
        <s v="B02"/>
        <s v="B03"/>
        <s v="I01"/>
        <s v="I02"/>
        <s v="F01"/>
        <s v="F02"/>
        <s v="F03"/>
        <s v="A01"/>
        <s v="A02"/>
        <s v="A03"/>
        <s v="A04"/>
        <s v="A05"/>
      </sharedItems>
    </cacheField>
    <cacheField name="SALES" numFmtId="0">
      <sharedItems containsSemiMixedTypes="0" containsString="0" containsNumber="1" containsInteger="1" minValue="0" maxValue="1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 N0." numFmtId="0">
      <sharedItems containsSemiMixedTypes="0" containsString="0" containsNumber="1" containsInteger="1" minValue="40" maxValue="53" count="14"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AVG SP" numFmtId="164">
      <sharedItems containsSemiMixedTypes="0" containsString="0" containsNumber="1" containsInteger="1" minValue="80" maxValue="1469"/>
    </cacheField>
    <cacheField name="AVG CP" numFmtId="164">
      <sharedItems containsSemiMixedTypes="0" containsString="0" containsNumber="1" containsInteger="1" minValue="55" maxValue="1184"/>
    </cacheField>
    <cacheField name="REVENUE" numFmtId="164">
      <sharedItems containsSemiMixedTypes="0" containsString="0" containsNumber="1" containsInteger="1" minValue="0" maxValue="11037"/>
    </cacheField>
    <cacheField name="TCP" numFmtId="164">
      <sharedItems containsSemiMixedTypes="0" containsString="0" containsNumber="1" containsInteger="1" minValue="0" maxValue="6890"/>
    </cacheField>
    <cacheField name="PROFIT" numFmtId="164">
      <sharedItems containsSemiMixedTypes="0" containsString="0" containsNumber="1" containsInteger="1" minValue="0" maxValue="4147"/>
    </cacheField>
    <cacheField name="Months" numFmtId="0" databaseField="0">
      <fieldGroup base="0">
        <rangePr groupBy="months" startDate="2022-10-01T00:00:00" endDate="2023-01-01T00:00:00"/>
        <groupItems count="14">
          <s v="&lt;01/10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">
  <r>
    <x v="0"/>
    <x v="0"/>
    <n v="0"/>
    <x v="0"/>
    <x v="0"/>
    <n v="549"/>
    <n v="365"/>
    <n v="0"/>
    <n v="0"/>
    <n v="0"/>
  </r>
  <r>
    <x v="1"/>
    <x v="1"/>
    <n v="0"/>
    <x v="0"/>
    <x v="0"/>
    <n v="699"/>
    <n v="550"/>
    <n v="0"/>
    <n v="0"/>
    <n v="0"/>
  </r>
  <r>
    <x v="2"/>
    <x v="2"/>
    <n v="1"/>
    <x v="0"/>
    <x v="0"/>
    <n v="739"/>
    <n v="620"/>
    <n v="739"/>
    <n v="620"/>
    <n v="119"/>
  </r>
  <r>
    <x v="3"/>
    <x v="3"/>
    <n v="0"/>
    <x v="0"/>
    <x v="0"/>
    <n v="899"/>
    <n v="714"/>
    <n v="0"/>
    <n v="0"/>
    <n v="0"/>
  </r>
  <r>
    <x v="4"/>
    <x v="4"/>
    <n v="0"/>
    <x v="0"/>
    <x v="0"/>
    <n v="1379"/>
    <n v="890"/>
    <n v="0"/>
    <n v="0"/>
    <n v="0"/>
  </r>
  <r>
    <x v="5"/>
    <x v="5"/>
    <n v="8"/>
    <x v="0"/>
    <x v="0"/>
    <n v="849"/>
    <n v="530"/>
    <n v="6792"/>
    <n v="4240"/>
    <n v="2552"/>
  </r>
  <r>
    <x v="6"/>
    <x v="6"/>
    <n v="0"/>
    <x v="0"/>
    <x v="0"/>
    <n v="1000"/>
    <n v="768"/>
    <n v="0"/>
    <n v="0"/>
    <n v="0"/>
  </r>
  <r>
    <x v="7"/>
    <x v="7"/>
    <n v="1"/>
    <x v="0"/>
    <x v="0"/>
    <n v="680"/>
    <n v="570"/>
    <n v="680"/>
    <n v="570"/>
    <n v="110"/>
  </r>
  <r>
    <x v="8"/>
    <x v="8"/>
    <n v="0"/>
    <x v="0"/>
    <x v="0"/>
    <n v="199"/>
    <n v="140"/>
    <n v="0"/>
    <n v="0"/>
    <n v="0"/>
  </r>
  <r>
    <x v="9"/>
    <x v="9"/>
    <n v="0"/>
    <x v="0"/>
    <x v="0"/>
    <n v="219"/>
    <n v="132"/>
    <n v="0"/>
    <n v="0"/>
    <n v="0"/>
  </r>
  <r>
    <x v="10"/>
    <x v="10"/>
    <n v="0"/>
    <x v="0"/>
    <x v="0"/>
    <n v="1469"/>
    <n v="1184"/>
    <n v="0"/>
    <n v="0"/>
    <n v="0"/>
  </r>
  <r>
    <x v="11"/>
    <x v="11"/>
    <n v="0"/>
    <x v="0"/>
    <x v="0"/>
    <n v="89"/>
    <n v="59"/>
    <n v="0"/>
    <n v="0"/>
    <n v="0"/>
  </r>
  <r>
    <x v="12"/>
    <x v="12"/>
    <n v="0"/>
    <x v="0"/>
    <x v="0"/>
    <n v="310"/>
    <n v="206"/>
    <n v="0"/>
    <n v="0"/>
    <n v="0"/>
  </r>
  <r>
    <x v="13"/>
    <x v="13"/>
    <n v="0"/>
    <x v="0"/>
    <x v="0"/>
    <n v="540"/>
    <n v="397"/>
    <n v="0"/>
    <n v="0"/>
    <n v="0"/>
  </r>
  <r>
    <x v="14"/>
    <x v="14"/>
    <n v="0"/>
    <x v="0"/>
    <x v="0"/>
    <n v="360"/>
    <n v="248"/>
    <n v="0"/>
    <n v="0"/>
    <n v="0"/>
  </r>
  <r>
    <x v="15"/>
    <x v="15"/>
    <n v="0"/>
    <x v="0"/>
    <x v="0"/>
    <n v="250"/>
    <n v="190"/>
    <n v="0"/>
    <n v="0"/>
    <n v="0"/>
  </r>
  <r>
    <x v="16"/>
    <x v="16"/>
    <n v="0"/>
    <x v="0"/>
    <x v="0"/>
    <n v="120"/>
    <n v="85"/>
    <n v="0"/>
    <n v="0"/>
    <n v="0"/>
  </r>
  <r>
    <x v="17"/>
    <x v="17"/>
    <n v="0"/>
    <x v="0"/>
    <x v="0"/>
    <n v="80"/>
    <n v="55"/>
    <n v="0"/>
    <n v="0"/>
    <n v="0"/>
  </r>
  <r>
    <x v="18"/>
    <x v="0"/>
    <n v="1"/>
    <x v="1"/>
    <x v="1"/>
    <n v="549"/>
    <n v="365"/>
    <n v="549"/>
    <n v="365"/>
    <n v="184"/>
  </r>
  <r>
    <x v="19"/>
    <x v="1"/>
    <n v="6"/>
    <x v="1"/>
    <x v="1"/>
    <n v="699"/>
    <n v="550"/>
    <n v="4194"/>
    <n v="3300"/>
    <n v="894"/>
  </r>
  <r>
    <x v="20"/>
    <x v="2"/>
    <n v="4"/>
    <x v="1"/>
    <x v="1"/>
    <n v="739"/>
    <n v="620"/>
    <n v="2956"/>
    <n v="2480"/>
    <n v="476"/>
  </r>
  <r>
    <x v="21"/>
    <x v="3"/>
    <n v="0"/>
    <x v="1"/>
    <x v="1"/>
    <n v="899"/>
    <n v="714"/>
    <n v="0"/>
    <n v="0"/>
    <n v="0"/>
  </r>
  <r>
    <x v="22"/>
    <x v="4"/>
    <n v="0"/>
    <x v="1"/>
    <x v="1"/>
    <n v="1379"/>
    <n v="890"/>
    <n v="0"/>
    <n v="0"/>
    <n v="0"/>
  </r>
  <r>
    <x v="23"/>
    <x v="5"/>
    <n v="12"/>
    <x v="1"/>
    <x v="1"/>
    <n v="849"/>
    <n v="530"/>
    <n v="10188"/>
    <n v="6360"/>
    <n v="3828"/>
  </r>
  <r>
    <x v="24"/>
    <x v="6"/>
    <n v="2"/>
    <x v="1"/>
    <x v="1"/>
    <n v="1000"/>
    <n v="768"/>
    <n v="2000"/>
    <n v="1536"/>
    <n v="464"/>
  </r>
  <r>
    <x v="25"/>
    <x v="7"/>
    <n v="1"/>
    <x v="1"/>
    <x v="1"/>
    <n v="680"/>
    <n v="570"/>
    <n v="680"/>
    <n v="570"/>
    <n v="110"/>
  </r>
  <r>
    <x v="26"/>
    <x v="8"/>
    <n v="0"/>
    <x v="1"/>
    <x v="1"/>
    <n v="199"/>
    <n v="140"/>
    <n v="0"/>
    <n v="0"/>
    <n v="0"/>
  </r>
  <r>
    <x v="27"/>
    <x v="9"/>
    <n v="0"/>
    <x v="1"/>
    <x v="1"/>
    <n v="219"/>
    <n v="132"/>
    <n v="0"/>
    <n v="0"/>
    <n v="0"/>
  </r>
  <r>
    <x v="28"/>
    <x v="10"/>
    <n v="1"/>
    <x v="1"/>
    <x v="1"/>
    <n v="1469"/>
    <n v="1184"/>
    <n v="1469"/>
    <n v="1184"/>
    <n v="285"/>
  </r>
  <r>
    <x v="29"/>
    <x v="11"/>
    <n v="0"/>
    <x v="1"/>
    <x v="1"/>
    <n v="89"/>
    <n v="59"/>
    <n v="0"/>
    <n v="0"/>
    <n v="0"/>
  </r>
  <r>
    <x v="30"/>
    <x v="12"/>
    <n v="0"/>
    <x v="1"/>
    <x v="1"/>
    <n v="310"/>
    <n v="206"/>
    <n v="0"/>
    <n v="0"/>
    <n v="0"/>
  </r>
  <r>
    <x v="31"/>
    <x v="13"/>
    <n v="0"/>
    <x v="1"/>
    <x v="1"/>
    <n v="540"/>
    <n v="397"/>
    <n v="0"/>
    <n v="0"/>
    <n v="0"/>
  </r>
  <r>
    <x v="32"/>
    <x v="14"/>
    <n v="0"/>
    <x v="1"/>
    <x v="1"/>
    <n v="360"/>
    <n v="248"/>
    <n v="0"/>
    <n v="0"/>
    <n v="0"/>
  </r>
  <r>
    <x v="33"/>
    <x v="15"/>
    <n v="0"/>
    <x v="1"/>
    <x v="1"/>
    <n v="250"/>
    <n v="190"/>
    <n v="0"/>
    <n v="0"/>
    <n v="0"/>
  </r>
  <r>
    <x v="34"/>
    <x v="16"/>
    <n v="0"/>
    <x v="1"/>
    <x v="1"/>
    <n v="120"/>
    <n v="85"/>
    <n v="0"/>
    <n v="0"/>
    <n v="0"/>
  </r>
  <r>
    <x v="35"/>
    <x v="17"/>
    <n v="0"/>
    <x v="1"/>
    <x v="1"/>
    <n v="80"/>
    <n v="55"/>
    <n v="0"/>
    <n v="0"/>
    <n v="0"/>
  </r>
  <r>
    <x v="36"/>
    <x v="0"/>
    <n v="0"/>
    <x v="2"/>
    <x v="1"/>
    <n v="549"/>
    <n v="365"/>
    <n v="0"/>
    <n v="0"/>
    <n v="0"/>
  </r>
  <r>
    <x v="37"/>
    <x v="1"/>
    <n v="1"/>
    <x v="2"/>
    <x v="1"/>
    <n v="699"/>
    <n v="550"/>
    <n v="699"/>
    <n v="550"/>
    <n v="149"/>
  </r>
  <r>
    <x v="38"/>
    <x v="2"/>
    <n v="1"/>
    <x v="2"/>
    <x v="1"/>
    <n v="739"/>
    <n v="620"/>
    <n v="739"/>
    <n v="620"/>
    <n v="119"/>
  </r>
  <r>
    <x v="39"/>
    <x v="3"/>
    <n v="0"/>
    <x v="2"/>
    <x v="1"/>
    <n v="899"/>
    <n v="714"/>
    <n v="0"/>
    <n v="0"/>
    <n v="0"/>
  </r>
  <r>
    <x v="40"/>
    <x v="4"/>
    <n v="0"/>
    <x v="2"/>
    <x v="1"/>
    <n v="1379"/>
    <n v="890"/>
    <n v="0"/>
    <n v="0"/>
    <n v="0"/>
  </r>
  <r>
    <x v="41"/>
    <x v="5"/>
    <n v="4"/>
    <x v="2"/>
    <x v="1"/>
    <n v="849"/>
    <n v="530"/>
    <n v="3396"/>
    <n v="2120"/>
    <n v="1276"/>
  </r>
  <r>
    <x v="42"/>
    <x v="6"/>
    <n v="4"/>
    <x v="2"/>
    <x v="1"/>
    <n v="1000"/>
    <n v="768"/>
    <n v="4000"/>
    <n v="3072"/>
    <n v="928"/>
  </r>
  <r>
    <x v="43"/>
    <x v="7"/>
    <n v="3"/>
    <x v="2"/>
    <x v="1"/>
    <n v="680"/>
    <n v="570"/>
    <n v="2040"/>
    <n v="1710"/>
    <n v="330"/>
  </r>
  <r>
    <x v="44"/>
    <x v="8"/>
    <n v="0"/>
    <x v="2"/>
    <x v="1"/>
    <n v="199"/>
    <n v="140"/>
    <n v="0"/>
    <n v="0"/>
    <n v="0"/>
  </r>
  <r>
    <x v="45"/>
    <x v="9"/>
    <n v="0"/>
    <x v="2"/>
    <x v="1"/>
    <n v="219"/>
    <n v="132"/>
    <n v="0"/>
    <n v="0"/>
    <n v="0"/>
  </r>
  <r>
    <x v="46"/>
    <x v="10"/>
    <n v="0"/>
    <x v="2"/>
    <x v="1"/>
    <n v="1469"/>
    <n v="1184"/>
    <n v="0"/>
    <n v="0"/>
    <n v="0"/>
  </r>
  <r>
    <x v="47"/>
    <x v="11"/>
    <n v="0"/>
    <x v="2"/>
    <x v="1"/>
    <n v="89"/>
    <n v="59"/>
    <n v="0"/>
    <n v="0"/>
    <n v="0"/>
  </r>
  <r>
    <x v="48"/>
    <x v="12"/>
    <n v="0"/>
    <x v="2"/>
    <x v="1"/>
    <n v="310"/>
    <n v="206"/>
    <n v="0"/>
    <n v="0"/>
    <n v="0"/>
  </r>
  <r>
    <x v="49"/>
    <x v="13"/>
    <n v="0"/>
    <x v="2"/>
    <x v="1"/>
    <n v="540"/>
    <n v="397"/>
    <n v="0"/>
    <n v="0"/>
    <n v="0"/>
  </r>
  <r>
    <x v="50"/>
    <x v="14"/>
    <n v="0"/>
    <x v="2"/>
    <x v="1"/>
    <n v="360"/>
    <n v="248"/>
    <n v="0"/>
    <n v="0"/>
    <n v="0"/>
  </r>
  <r>
    <x v="51"/>
    <x v="15"/>
    <n v="0"/>
    <x v="2"/>
    <x v="1"/>
    <n v="250"/>
    <n v="190"/>
    <n v="0"/>
    <n v="0"/>
    <n v="0"/>
  </r>
  <r>
    <x v="52"/>
    <x v="16"/>
    <n v="0"/>
    <x v="2"/>
    <x v="1"/>
    <n v="120"/>
    <n v="85"/>
    <n v="0"/>
    <n v="0"/>
    <n v="0"/>
  </r>
  <r>
    <x v="53"/>
    <x v="17"/>
    <n v="0"/>
    <x v="2"/>
    <x v="1"/>
    <n v="80"/>
    <n v="55"/>
    <n v="0"/>
    <n v="0"/>
    <n v="0"/>
  </r>
  <r>
    <x v="54"/>
    <x v="0"/>
    <n v="1"/>
    <x v="3"/>
    <x v="1"/>
    <n v="549"/>
    <n v="365"/>
    <n v="549"/>
    <n v="365"/>
    <n v="184"/>
  </r>
  <r>
    <x v="55"/>
    <x v="1"/>
    <n v="1"/>
    <x v="3"/>
    <x v="1"/>
    <n v="699"/>
    <n v="550"/>
    <n v="699"/>
    <n v="550"/>
    <n v="149"/>
  </r>
  <r>
    <x v="56"/>
    <x v="2"/>
    <n v="3"/>
    <x v="3"/>
    <x v="1"/>
    <n v="739"/>
    <n v="620"/>
    <n v="2217"/>
    <n v="1860"/>
    <n v="357"/>
  </r>
  <r>
    <x v="57"/>
    <x v="3"/>
    <n v="0"/>
    <x v="3"/>
    <x v="1"/>
    <n v="899"/>
    <n v="714"/>
    <n v="0"/>
    <n v="0"/>
    <n v="0"/>
  </r>
  <r>
    <x v="58"/>
    <x v="4"/>
    <n v="0"/>
    <x v="3"/>
    <x v="1"/>
    <n v="1379"/>
    <n v="890"/>
    <n v="0"/>
    <n v="0"/>
    <n v="0"/>
  </r>
  <r>
    <x v="59"/>
    <x v="5"/>
    <n v="2"/>
    <x v="3"/>
    <x v="1"/>
    <n v="849"/>
    <n v="530"/>
    <n v="1698"/>
    <n v="1060"/>
    <n v="638"/>
  </r>
  <r>
    <x v="60"/>
    <x v="6"/>
    <n v="1"/>
    <x v="3"/>
    <x v="1"/>
    <n v="1000"/>
    <n v="768"/>
    <n v="1000"/>
    <n v="768"/>
    <n v="232"/>
  </r>
  <r>
    <x v="61"/>
    <x v="7"/>
    <n v="1"/>
    <x v="3"/>
    <x v="1"/>
    <n v="680"/>
    <n v="570"/>
    <n v="680"/>
    <n v="570"/>
    <n v="110"/>
  </r>
  <r>
    <x v="62"/>
    <x v="8"/>
    <n v="0"/>
    <x v="3"/>
    <x v="1"/>
    <n v="199"/>
    <n v="140"/>
    <n v="0"/>
    <n v="0"/>
    <n v="0"/>
  </r>
  <r>
    <x v="63"/>
    <x v="9"/>
    <n v="0"/>
    <x v="3"/>
    <x v="1"/>
    <n v="219"/>
    <n v="132"/>
    <n v="0"/>
    <n v="0"/>
    <n v="0"/>
  </r>
  <r>
    <x v="64"/>
    <x v="10"/>
    <n v="0"/>
    <x v="3"/>
    <x v="1"/>
    <n v="1469"/>
    <n v="1184"/>
    <n v="0"/>
    <n v="0"/>
    <n v="0"/>
  </r>
  <r>
    <x v="65"/>
    <x v="11"/>
    <n v="0"/>
    <x v="3"/>
    <x v="1"/>
    <n v="89"/>
    <n v="59"/>
    <n v="0"/>
    <n v="0"/>
    <n v="0"/>
  </r>
  <r>
    <x v="66"/>
    <x v="12"/>
    <n v="0"/>
    <x v="3"/>
    <x v="1"/>
    <n v="310"/>
    <n v="206"/>
    <n v="0"/>
    <n v="0"/>
    <n v="0"/>
  </r>
  <r>
    <x v="67"/>
    <x v="13"/>
    <n v="0"/>
    <x v="3"/>
    <x v="1"/>
    <n v="540"/>
    <n v="397"/>
    <n v="0"/>
    <n v="0"/>
    <n v="0"/>
  </r>
  <r>
    <x v="68"/>
    <x v="14"/>
    <n v="0"/>
    <x v="3"/>
    <x v="1"/>
    <n v="360"/>
    <n v="248"/>
    <n v="0"/>
    <n v="0"/>
    <n v="0"/>
  </r>
  <r>
    <x v="69"/>
    <x v="15"/>
    <n v="0"/>
    <x v="3"/>
    <x v="1"/>
    <n v="250"/>
    <n v="190"/>
    <n v="0"/>
    <n v="0"/>
    <n v="0"/>
  </r>
  <r>
    <x v="70"/>
    <x v="16"/>
    <n v="0"/>
    <x v="3"/>
    <x v="1"/>
    <n v="120"/>
    <n v="85"/>
    <n v="0"/>
    <n v="0"/>
    <n v="0"/>
  </r>
  <r>
    <x v="71"/>
    <x v="17"/>
    <n v="0"/>
    <x v="3"/>
    <x v="1"/>
    <n v="80"/>
    <n v="55"/>
    <n v="0"/>
    <n v="0"/>
    <n v="0"/>
  </r>
  <r>
    <x v="72"/>
    <x v="0"/>
    <n v="0"/>
    <x v="4"/>
    <x v="1"/>
    <n v="549"/>
    <n v="365"/>
    <n v="0"/>
    <n v="0"/>
    <n v="0"/>
  </r>
  <r>
    <x v="73"/>
    <x v="1"/>
    <n v="0"/>
    <x v="4"/>
    <x v="1"/>
    <n v="699"/>
    <n v="550"/>
    <n v="0"/>
    <n v="0"/>
    <n v="0"/>
  </r>
  <r>
    <x v="74"/>
    <x v="2"/>
    <n v="2"/>
    <x v="4"/>
    <x v="1"/>
    <n v="739"/>
    <n v="620"/>
    <n v="1478"/>
    <n v="1240"/>
    <n v="238"/>
  </r>
  <r>
    <x v="75"/>
    <x v="3"/>
    <n v="0"/>
    <x v="4"/>
    <x v="1"/>
    <n v="899"/>
    <n v="714"/>
    <n v="0"/>
    <n v="0"/>
    <n v="0"/>
  </r>
  <r>
    <x v="76"/>
    <x v="4"/>
    <n v="0"/>
    <x v="4"/>
    <x v="1"/>
    <n v="1379"/>
    <n v="890"/>
    <n v="0"/>
    <n v="0"/>
    <n v="0"/>
  </r>
  <r>
    <x v="77"/>
    <x v="5"/>
    <n v="0"/>
    <x v="4"/>
    <x v="1"/>
    <n v="849"/>
    <n v="530"/>
    <n v="0"/>
    <n v="0"/>
    <n v="0"/>
  </r>
  <r>
    <x v="78"/>
    <x v="6"/>
    <n v="0"/>
    <x v="4"/>
    <x v="1"/>
    <n v="1000"/>
    <n v="768"/>
    <n v="0"/>
    <n v="0"/>
    <n v="0"/>
  </r>
  <r>
    <x v="79"/>
    <x v="7"/>
    <n v="1"/>
    <x v="4"/>
    <x v="1"/>
    <n v="680"/>
    <n v="570"/>
    <n v="680"/>
    <n v="570"/>
    <n v="110"/>
  </r>
  <r>
    <x v="80"/>
    <x v="8"/>
    <n v="0"/>
    <x v="4"/>
    <x v="1"/>
    <n v="199"/>
    <n v="140"/>
    <n v="0"/>
    <n v="0"/>
    <n v="0"/>
  </r>
  <r>
    <x v="81"/>
    <x v="9"/>
    <n v="0"/>
    <x v="4"/>
    <x v="1"/>
    <n v="219"/>
    <n v="132"/>
    <n v="0"/>
    <n v="0"/>
    <n v="0"/>
  </r>
  <r>
    <x v="82"/>
    <x v="10"/>
    <n v="0"/>
    <x v="4"/>
    <x v="1"/>
    <n v="1469"/>
    <n v="1184"/>
    <n v="0"/>
    <n v="0"/>
    <n v="0"/>
  </r>
  <r>
    <x v="83"/>
    <x v="11"/>
    <n v="0"/>
    <x v="4"/>
    <x v="1"/>
    <n v="89"/>
    <n v="59"/>
    <n v="0"/>
    <n v="0"/>
    <n v="0"/>
  </r>
  <r>
    <x v="84"/>
    <x v="12"/>
    <n v="0"/>
    <x v="4"/>
    <x v="1"/>
    <n v="310"/>
    <n v="206"/>
    <n v="0"/>
    <n v="0"/>
    <n v="0"/>
  </r>
  <r>
    <x v="85"/>
    <x v="13"/>
    <n v="0"/>
    <x v="4"/>
    <x v="1"/>
    <n v="540"/>
    <n v="397"/>
    <n v="0"/>
    <n v="0"/>
    <n v="0"/>
  </r>
  <r>
    <x v="86"/>
    <x v="14"/>
    <n v="0"/>
    <x v="4"/>
    <x v="1"/>
    <n v="360"/>
    <n v="248"/>
    <n v="0"/>
    <n v="0"/>
    <n v="0"/>
  </r>
  <r>
    <x v="87"/>
    <x v="15"/>
    <n v="0"/>
    <x v="4"/>
    <x v="1"/>
    <n v="250"/>
    <n v="190"/>
    <n v="0"/>
    <n v="0"/>
    <n v="0"/>
  </r>
  <r>
    <x v="88"/>
    <x v="16"/>
    <n v="0"/>
    <x v="4"/>
    <x v="1"/>
    <n v="120"/>
    <n v="85"/>
    <n v="0"/>
    <n v="0"/>
    <n v="0"/>
  </r>
  <r>
    <x v="89"/>
    <x v="17"/>
    <n v="0"/>
    <x v="4"/>
    <x v="1"/>
    <n v="80"/>
    <n v="55"/>
    <n v="0"/>
    <n v="0"/>
    <n v="0"/>
  </r>
  <r>
    <x v="90"/>
    <x v="0"/>
    <n v="0"/>
    <x v="5"/>
    <x v="1"/>
    <n v="549"/>
    <n v="365"/>
    <n v="0"/>
    <n v="0"/>
    <n v="0"/>
  </r>
  <r>
    <x v="91"/>
    <x v="1"/>
    <n v="0"/>
    <x v="5"/>
    <x v="1"/>
    <n v="699"/>
    <n v="550"/>
    <n v="0"/>
    <n v="0"/>
    <n v="0"/>
  </r>
  <r>
    <x v="92"/>
    <x v="2"/>
    <n v="0"/>
    <x v="5"/>
    <x v="1"/>
    <n v="739"/>
    <n v="620"/>
    <n v="0"/>
    <n v="0"/>
    <n v="0"/>
  </r>
  <r>
    <x v="93"/>
    <x v="3"/>
    <n v="0"/>
    <x v="5"/>
    <x v="1"/>
    <n v="899"/>
    <n v="714"/>
    <n v="0"/>
    <n v="0"/>
    <n v="0"/>
  </r>
  <r>
    <x v="94"/>
    <x v="4"/>
    <n v="0"/>
    <x v="5"/>
    <x v="1"/>
    <n v="1379"/>
    <n v="890"/>
    <n v="0"/>
    <n v="0"/>
    <n v="0"/>
  </r>
  <r>
    <x v="95"/>
    <x v="5"/>
    <n v="0"/>
    <x v="5"/>
    <x v="1"/>
    <n v="849"/>
    <n v="530"/>
    <n v="0"/>
    <n v="0"/>
    <n v="0"/>
  </r>
  <r>
    <x v="96"/>
    <x v="6"/>
    <n v="0"/>
    <x v="5"/>
    <x v="1"/>
    <n v="1000"/>
    <n v="768"/>
    <n v="0"/>
    <n v="0"/>
    <n v="0"/>
  </r>
  <r>
    <x v="97"/>
    <x v="7"/>
    <n v="0"/>
    <x v="5"/>
    <x v="1"/>
    <n v="680"/>
    <n v="570"/>
    <n v="0"/>
    <n v="0"/>
    <n v="0"/>
  </r>
  <r>
    <x v="98"/>
    <x v="8"/>
    <n v="0"/>
    <x v="5"/>
    <x v="1"/>
    <n v="199"/>
    <n v="140"/>
    <n v="0"/>
    <n v="0"/>
    <n v="0"/>
  </r>
  <r>
    <x v="99"/>
    <x v="9"/>
    <n v="0"/>
    <x v="5"/>
    <x v="1"/>
    <n v="219"/>
    <n v="132"/>
    <n v="0"/>
    <n v="0"/>
    <n v="0"/>
  </r>
  <r>
    <x v="100"/>
    <x v="10"/>
    <n v="0"/>
    <x v="5"/>
    <x v="1"/>
    <n v="1469"/>
    <n v="1184"/>
    <n v="0"/>
    <n v="0"/>
    <n v="0"/>
  </r>
  <r>
    <x v="101"/>
    <x v="11"/>
    <n v="0"/>
    <x v="5"/>
    <x v="1"/>
    <n v="89"/>
    <n v="59"/>
    <n v="0"/>
    <n v="0"/>
    <n v="0"/>
  </r>
  <r>
    <x v="102"/>
    <x v="12"/>
    <n v="0"/>
    <x v="5"/>
    <x v="1"/>
    <n v="310"/>
    <n v="206"/>
    <n v="0"/>
    <n v="0"/>
    <n v="0"/>
  </r>
  <r>
    <x v="103"/>
    <x v="13"/>
    <n v="0"/>
    <x v="5"/>
    <x v="1"/>
    <n v="540"/>
    <n v="397"/>
    <n v="0"/>
    <n v="0"/>
    <n v="0"/>
  </r>
  <r>
    <x v="104"/>
    <x v="14"/>
    <n v="0"/>
    <x v="5"/>
    <x v="1"/>
    <n v="360"/>
    <n v="248"/>
    <n v="0"/>
    <n v="0"/>
    <n v="0"/>
  </r>
  <r>
    <x v="105"/>
    <x v="15"/>
    <n v="0"/>
    <x v="5"/>
    <x v="1"/>
    <n v="250"/>
    <n v="190"/>
    <n v="0"/>
    <n v="0"/>
    <n v="0"/>
  </r>
  <r>
    <x v="106"/>
    <x v="16"/>
    <n v="0"/>
    <x v="5"/>
    <x v="1"/>
    <n v="120"/>
    <n v="85"/>
    <n v="0"/>
    <n v="0"/>
    <n v="0"/>
  </r>
  <r>
    <x v="107"/>
    <x v="17"/>
    <n v="0"/>
    <x v="5"/>
    <x v="1"/>
    <n v="80"/>
    <n v="55"/>
    <n v="0"/>
    <n v="0"/>
    <n v="0"/>
  </r>
  <r>
    <x v="108"/>
    <x v="0"/>
    <n v="0"/>
    <x v="6"/>
    <x v="1"/>
    <n v="549"/>
    <n v="365"/>
    <n v="0"/>
    <n v="0"/>
    <n v="0"/>
  </r>
  <r>
    <x v="109"/>
    <x v="1"/>
    <n v="1"/>
    <x v="6"/>
    <x v="1"/>
    <n v="699"/>
    <n v="550"/>
    <n v="699"/>
    <n v="550"/>
    <n v="149"/>
  </r>
  <r>
    <x v="110"/>
    <x v="2"/>
    <n v="1"/>
    <x v="6"/>
    <x v="1"/>
    <n v="739"/>
    <n v="620"/>
    <n v="739"/>
    <n v="620"/>
    <n v="119"/>
  </r>
  <r>
    <x v="111"/>
    <x v="3"/>
    <n v="0"/>
    <x v="6"/>
    <x v="1"/>
    <n v="899"/>
    <n v="714"/>
    <n v="0"/>
    <n v="0"/>
    <n v="0"/>
  </r>
  <r>
    <x v="112"/>
    <x v="4"/>
    <n v="0"/>
    <x v="6"/>
    <x v="1"/>
    <n v="1379"/>
    <n v="890"/>
    <n v="0"/>
    <n v="0"/>
    <n v="0"/>
  </r>
  <r>
    <x v="113"/>
    <x v="5"/>
    <n v="0"/>
    <x v="6"/>
    <x v="1"/>
    <n v="849"/>
    <n v="530"/>
    <n v="0"/>
    <n v="0"/>
    <n v="0"/>
  </r>
  <r>
    <x v="114"/>
    <x v="6"/>
    <n v="0"/>
    <x v="6"/>
    <x v="1"/>
    <n v="1000"/>
    <n v="768"/>
    <n v="0"/>
    <n v="0"/>
    <n v="0"/>
  </r>
  <r>
    <x v="115"/>
    <x v="7"/>
    <n v="1"/>
    <x v="6"/>
    <x v="1"/>
    <n v="680"/>
    <n v="570"/>
    <n v="680"/>
    <n v="570"/>
    <n v="110"/>
  </r>
  <r>
    <x v="116"/>
    <x v="8"/>
    <n v="0"/>
    <x v="6"/>
    <x v="1"/>
    <n v="199"/>
    <n v="140"/>
    <n v="0"/>
    <n v="0"/>
    <n v="0"/>
  </r>
  <r>
    <x v="117"/>
    <x v="9"/>
    <n v="0"/>
    <x v="6"/>
    <x v="1"/>
    <n v="219"/>
    <n v="132"/>
    <n v="0"/>
    <n v="0"/>
    <n v="0"/>
  </r>
  <r>
    <x v="118"/>
    <x v="10"/>
    <n v="2"/>
    <x v="6"/>
    <x v="1"/>
    <n v="1469"/>
    <n v="1184"/>
    <n v="2938"/>
    <n v="2368"/>
    <n v="570"/>
  </r>
  <r>
    <x v="119"/>
    <x v="11"/>
    <n v="0"/>
    <x v="6"/>
    <x v="1"/>
    <n v="89"/>
    <n v="59"/>
    <n v="0"/>
    <n v="0"/>
    <n v="0"/>
  </r>
  <r>
    <x v="120"/>
    <x v="12"/>
    <n v="0"/>
    <x v="6"/>
    <x v="1"/>
    <n v="310"/>
    <n v="206"/>
    <n v="0"/>
    <n v="0"/>
    <n v="0"/>
  </r>
  <r>
    <x v="121"/>
    <x v="13"/>
    <n v="0"/>
    <x v="6"/>
    <x v="1"/>
    <n v="540"/>
    <n v="397"/>
    <n v="0"/>
    <n v="0"/>
    <n v="0"/>
  </r>
  <r>
    <x v="122"/>
    <x v="14"/>
    <n v="0"/>
    <x v="6"/>
    <x v="1"/>
    <n v="360"/>
    <n v="248"/>
    <n v="0"/>
    <n v="0"/>
    <n v="0"/>
  </r>
  <r>
    <x v="123"/>
    <x v="15"/>
    <n v="0"/>
    <x v="6"/>
    <x v="1"/>
    <n v="250"/>
    <n v="190"/>
    <n v="0"/>
    <n v="0"/>
    <n v="0"/>
  </r>
  <r>
    <x v="124"/>
    <x v="16"/>
    <n v="0"/>
    <x v="6"/>
    <x v="1"/>
    <n v="120"/>
    <n v="85"/>
    <n v="0"/>
    <n v="0"/>
    <n v="0"/>
  </r>
  <r>
    <x v="125"/>
    <x v="17"/>
    <n v="0"/>
    <x v="6"/>
    <x v="1"/>
    <n v="80"/>
    <n v="55"/>
    <n v="0"/>
    <n v="0"/>
    <n v="0"/>
  </r>
  <r>
    <x v="126"/>
    <x v="0"/>
    <n v="0"/>
    <x v="0"/>
    <x v="1"/>
    <n v="549"/>
    <n v="365"/>
    <n v="0"/>
    <n v="0"/>
    <n v="0"/>
  </r>
  <r>
    <x v="127"/>
    <x v="1"/>
    <n v="0"/>
    <x v="0"/>
    <x v="1"/>
    <n v="699"/>
    <n v="550"/>
    <n v="0"/>
    <n v="0"/>
    <n v="0"/>
  </r>
  <r>
    <x v="128"/>
    <x v="2"/>
    <n v="0"/>
    <x v="0"/>
    <x v="1"/>
    <n v="739"/>
    <n v="620"/>
    <n v="0"/>
    <n v="0"/>
    <n v="0"/>
  </r>
  <r>
    <x v="129"/>
    <x v="3"/>
    <n v="0"/>
    <x v="0"/>
    <x v="1"/>
    <n v="899"/>
    <n v="714"/>
    <n v="0"/>
    <n v="0"/>
    <n v="0"/>
  </r>
  <r>
    <x v="130"/>
    <x v="4"/>
    <n v="0"/>
    <x v="0"/>
    <x v="1"/>
    <n v="1379"/>
    <n v="890"/>
    <n v="0"/>
    <n v="0"/>
    <n v="0"/>
  </r>
  <r>
    <x v="131"/>
    <x v="5"/>
    <n v="0"/>
    <x v="0"/>
    <x v="1"/>
    <n v="849"/>
    <n v="530"/>
    <n v="0"/>
    <n v="0"/>
    <n v="0"/>
  </r>
  <r>
    <x v="132"/>
    <x v="6"/>
    <n v="0"/>
    <x v="0"/>
    <x v="1"/>
    <n v="1000"/>
    <n v="768"/>
    <n v="0"/>
    <n v="0"/>
    <n v="0"/>
  </r>
  <r>
    <x v="133"/>
    <x v="7"/>
    <n v="0"/>
    <x v="0"/>
    <x v="1"/>
    <n v="680"/>
    <n v="570"/>
    <n v="0"/>
    <n v="0"/>
    <n v="0"/>
  </r>
  <r>
    <x v="134"/>
    <x v="8"/>
    <n v="0"/>
    <x v="0"/>
    <x v="1"/>
    <n v="199"/>
    <n v="140"/>
    <n v="0"/>
    <n v="0"/>
    <n v="0"/>
  </r>
  <r>
    <x v="135"/>
    <x v="9"/>
    <n v="0"/>
    <x v="0"/>
    <x v="1"/>
    <n v="219"/>
    <n v="132"/>
    <n v="0"/>
    <n v="0"/>
    <n v="0"/>
  </r>
  <r>
    <x v="136"/>
    <x v="10"/>
    <n v="0"/>
    <x v="0"/>
    <x v="1"/>
    <n v="1469"/>
    <n v="1184"/>
    <n v="0"/>
    <n v="0"/>
    <n v="0"/>
  </r>
  <r>
    <x v="137"/>
    <x v="11"/>
    <n v="0"/>
    <x v="0"/>
    <x v="1"/>
    <n v="89"/>
    <n v="59"/>
    <n v="0"/>
    <n v="0"/>
    <n v="0"/>
  </r>
  <r>
    <x v="138"/>
    <x v="12"/>
    <n v="0"/>
    <x v="0"/>
    <x v="1"/>
    <n v="310"/>
    <n v="206"/>
    <n v="0"/>
    <n v="0"/>
    <n v="0"/>
  </r>
  <r>
    <x v="139"/>
    <x v="13"/>
    <n v="0"/>
    <x v="0"/>
    <x v="1"/>
    <n v="540"/>
    <n v="397"/>
    <n v="0"/>
    <n v="0"/>
    <n v="0"/>
  </r>
  <r>
    <x v="140"/>
    <x v="14"/>
    <n v="0"/>
    <x v="0"/>
    <x v="1"/>
    <n v="360"/>
    <n v="248"/>
    <n v="0"/>
    <n v="0"/>
    <n v="0"/>
  </r>
  <r>
    <x v="141"/>
    <x v="15"/>
    <n v="0"/>
    <x v="0"/>
    <x v="1"/>
    <n v="250"/>
    <n v="190"/>
    <n v="0"/>
    <n v="0"/>
    <n v="0"/>
  </r>
  <r>
    <x v="142"/>
    <x v="16"/>
    <n v="0"/>
    <x v="0"/>
    <x v="1"/>
    <n v="120"/>
    <n v="85"/>
    <n v="0"/>
    <n v="0"/>
    <n v="0"/>
  </r>
  <r>
    <x v="143"/>
    <x v="17"/>
    <n v="0"/>
    <x v="0"/>
    <x v="1"/>
    <n v="80"/>
    <n v="55"/>
    <n v="0"/>
    <n v="0"/>
    <n v="0"/>
  </r>
  <r>
    <x v="144"/>
    <x v="0"/>
    <n v="0"/>
    <x v="1"/>
    <x v="2"/>
    <n v="549"/>
    <n v="365"/>
    <n v="0"/>
    <n v="0"/>
    <n v="0"/>
  </r>
  <r>
    <x v="145"/>
    <x v="1"/>
    <n v="0"/>
    <x v="1"/>
    <x v="2"/>
    <n v="699"/>
    <n v="550"/>
    <n v="0"/>
    <n v="0"/>
    <n v="0"/>
  </r>
  <r>
    <x v="146"/>
    <x v="2"/>
    <n v="0"/>
    <x v="1"/>
    <x v="2"/>
    <n v="739"/>
    <n v="620"/>
    <n v="0"/>
    <n v="0"/>
    <n v="0"/>
  </r>
  <r>
    <x v="147"/>
    <x v="3"/>
    <n v="0"/>
    <x v="1"/>
    <x v="2"/>
    <n v="899"/>
    <n v="714"/>
    <n v="0"/>
    <n v="0"/>
    <n v="0"/>
  </r>
  <r>
    <x v="148"/>
    <x v="4"/>
    <n v="0"/>
    <x v="1"/>
    <x v="2"/>
    <n v="1379"/>
    <n v="890"/>
    <n v="0"/>
    <n v="0"/>
    <n v="0"/>
  </r>
  <r>
    <x v="149"/>
    <x v="5"/>
    <n v="0"/>
    <x v="1"/>
    <x v="2"/>
    <n v="849"/>
    <n v="530"/>
    <n v="0"/>
    <n v="0"/>
    <n v="0"/>
  </r>
  <r>
    <x v="150"/>
    <x v="6"/>
    <n v="0"/>
    <x v="1"/>
    <x v="2"/>
    <n v="1000"/>
    <n v="768"/>
    <n v="0"/>
    <n v="0"/>
    <n v="0"/>
  </r>
  <r>
    <x v="151"/>
    <x v="7"/>
    <n v="0"/>
    <x v="1"/>
    <x v="2"/>
    <n v="680"/>
    <n v="570"/>
    <n v="0"/>
    <n v="0"/>
    <n v="0"/>
  </r>
  <r>
    <x v="152"/>
    <x v="8"/>
    <n v="0"/>
    <x v="1"/>
    <x v="2"/>
    <n v="199"/>
    <n v="140"/>
    <n v="0"/>
    <n v="0"/>
    <n v="0"/>
  </r>
  <r>
    <x v="153"/>
    <x v="9"/>
    <n v="0"/>
    <x v="1"/>
    <x v="2"/>
    <n v="219"/>
    <n v="132"/>
    <n v="0"/>
    <n v="0"/>
    <n v="0"/>
  </r>
  <r>
    <x v="154"/>
    <x v="10"/>
    <n v="0"/>
    <x v="1"/>
    <x v="2"/>
    <n v="1469"/>
    <n v="1184"/>
    <n v="0"/>
    <n v="0"/>
    <n v="0"/>
  </r>
  <r>
    <x v="155"/>
    <x v="11"/>
    <n v="0"/>
    <x v="1"/>
    <x v="2"/>
    <n v="89"/>
    <n v="59"/>
    <n v="0"/>
    <n v="0"/>
    <n v="0"/>
  </r>
  <r>
    <x v="156"/>
    <x v="12"/>
    <n v="0"/>
    <x v="1"/>
    <x v="2"/>
    <n v="310"/>
    <n v="206"/>
    <n v="0"/>
    <n v="0"/>
    <n v="0"/>
  </r>
  <r>
    <x v="157"/>
    <x v="13"/>
    <n v="0"/>
    <x v="1"/>
    <x v="2"/>
    <n v="540"/>
    <n v="397"/>
    <n v="0"/>
    <n v="0"/>
    <n v="0"/>
  </r>
  <r>
    <x v="158"/>
    <x v="14"/>
    <n v="0"/>
    <x v="1"/>
    <x v="2"/>
    <n v="360"/>
    <n v="248"/>
    <n v="0"/>
    <n v="0"/>
    <n v="0"/>
  </r>
  <r>
    <x v="159"/>
    <x v="15"/>
    <n v="0"/>
    <x v="1"/>
    <x v="2"/>
    <n v="250"/>
    <n v="190"/>
    <n v="0"/>
    <n v="0"/>
    <n v="0"/>
  </r>
  <r>
    <x v="160"/>
    <x v="16"/>
    <n v="0"/>
    <x v="1"/>
    <x v="2"/>
    <n v="120"/>
    <n v="85"/>
    <n v="0"/>
    <n v="0"/>
    <n v="0"/>
  </r>
  <r>
    <x v="161"/>
    <x v="17"/>
    <n v="0"/>
    <x v="1"/>
    <x v="2"/>
    <n v="80"/>
    <n v="55"/>
    <n v="0"/>
    <n v="0"/>
    <n v="0"/>
  </r>
  <r>
    <x v="162"/>
    <x v="0"/>
    <n v="0"/>
    <x v="2"/>
    <x v="2"/>
    <n v="549"/>
    <n v="365"/>
    <n v="0"/>
    <n v="0"/>
    <n v="0"/>
  </r>
  <r>
    <x v="163"/>
    <x v="1"/>
    <n v="1"/>
    <x v="2"/>
    <x v="2"/>
    <n v="699"/>
    <n v="550"/>
    <n v="699"/>
    <n v="550"/>
    <n v="149"/>
  </r>
  <r>
    <x v="164"/>
    <x v="2"/>
    <n v="0"/>
    <x v="2"/>
    <x v="2"/>
    <n v="739"/>
    <n v="620"/>
    <n v="0"/>
    <n v="0"/>
    <n v="0"/>
  </r>
  <r>
    <x v="165"/>
    <x v="3"/>
    <n v="0"/>
    <x v="2"/>
    <x v="2"/>
    <n v="899"/>
    <n v="714"/>
    <n v="0"/>
    <n v="0"/>
    <n v="0"/>
  </r>
  <r>
    <x v="166"/>
    <x v="4"/>
    <n v="0"/>
    <x v="2"/>
    <x v="2"/>
    <n v="1379"/>
    <n v="890"/>
    <n v="0"/>
    <n v="0"/>
    <n v="0"/>
  </r>
  <r>
    <x v="167"/>
    <x v="5"/>
    <n v="2"/>
    <x v="2"/>
    <x v="2"/>
    <n v="849"/>
    <n v="530"/>
    <n v="1698"/>
    <n v="1060"/>
    <n v="638"/>
  </r>
  <r>
    <x v="168"/>
    <x v="6"/>
    <n v="0"/>
    <x v="2"/>
    <x v="2"/>
    <n v="1000"/>
    <n v="768"/>
    <n v="0"/>
    <n v="0"/>
    <n v="0"/>
  </r>
  <r>
    <x v="169"/>
    <x v="7"/>
    <n v="0"/>
    <x v="2"/>
    <x v="2"/>
    <n v="680"/>
    <n v="570"/>
    <n v="0"/>
    <n v="0"/>
    <n v="0"/>
  </r>
  <r>
    <x v="170"/>
    <x v="8"/>
    <n v="0"/>
    <x v="2"/>
    <x v="2"/>
    <n v="199"/>
    <n v="140"/>
    <n v="0"/>
    <n v="0"/>
    <n v="0"/>
  </r>
  <r>
    <x v="171"/>
    <x v="9"/>
    <n v="0"/>
    <x v="2"/>
    <x v="2"/>
    <n v="219"/>
    <n v="132"/>
    <n v="0"/>
    <n v="0"/>
    <n v="0"/>
  </r>
  <r>
    <x v="172"/>
    <x v="10"/>
    <n v="0"/>
    <x v="2"/>
    <x v="2"/>
    <n v="1469"/>
    <n v="1184"/>
    <n v="0"/>
    <n v="0"/>
    <n v="0"/>
  </r>
  <r>
    <x v="173"/>
    <x v="11"/>
    <n v="0"/>
    <x v="2"/>
    <x v="2"/>
    <n v="89"/>
    <n v="59"/>
    <n v="0"/>
    <n v="0"/>
    <n v="0"/>
  </r>
  <r>
    <x v="174"/>
    <x v="12"/>
    <n v="0"/>
    <x v="2"/>
    <x v="2"/>
    <n v="310"/>
    <n v="206"/>
    <n v="0"/>
    <n v="0"/>
    <n v="0"/>
  </r>
  <r>
    <x v="175"/>
    <x v="13"/>
    <n v="0"/>
    <x v="2"/>
    <x v="2"/>
    <n v="540"/>
    <n v="397"/>
    <n v="0"/>
    <n v="0"/>
    <n v="0"/>
  </r>
  <r>
    <x v="176"/>
    <x v="14"/>
    <n v="0"/>
    <x v="2"/>
    <x v="2"/>
    <n v="360"/>
    <n v="248"/>
    <n v="0"/>
    <n v="0"/>
    <n v="0"/>
  </r>
  <r>
    <x v="177"/>
    <x v="15"/>
    <n v="0"/>
    <x v="2"/>
    <x v="2"/>
    <n v="250"/>
    <n v="190"/>
    <n v="0"/>
    <n v="0"/>
    <n v="0"/>
  </r>
  <r>
    <x v="178"/>
    <x v="16"/>
    <n v="0"/>
    <x v="2"/>
    <x v="2"/>
    <n v="120"/>
    <n v="85"/>
    <n v="0"/>
    <n v="0"/>
    <n v="0"/>
  </r>
  <r>
    <x v="179"/>
    <x v="17"/>
    <n v="0"/>
    <x v="2"/>
    <x v="2"/>
    <n v="80"/>
    <n v="55"/>
    <n v="0"/>
    <n v="0"/>
    <n v="0"/>
  </r>
  <r>
    <x v="180"/>
    <x v="0"/>
    <n v="0"/>
    <x v="3"/>
    <x v="2"/>
    <n v="549"/>
    <n v="365"/>
    <n v="0"/>
    <n v="0"/>
    <n v="0"/>
  </r>
  <r>
    <x v="181"/>
    <x v="1"/>
    <n v="0"/>
    <x v="3"/>
    <x v="2"/>
    <n v="699"/>
    <n v="550"/>
    <n v="0"/>
    <n v="0"/>
    <n v="0"/>
  </r>
  <r>
    <x v="182"/>
    <x v="2"/>
    <n v="0"/>
    <x v="3"/>
    <x v="2"/>
    <n v="739"/>
    <n v="620"/>
    <n v="0"/>
    <n v="0"/>
    <n v="0"/>
  </r>
  <r>
    <x v="183"/>
    <x v="3"/>
    <n v="0"/>
    <x v="3"/>
    <x v="2"/>
    <n v="899"/>
    <n v="714"/>
    <n v="0"/>
    <n v="0"/>
    <n v="0"/>
  </r>
  <r>
    <x v="184"/>
    <x v="4"/>
    <n v="0"/>
    <x v="3"/>
    <x v="2"/>
    <n v="1379"/>
    <n v="890"/>
    <n v="0"/>
    <n v="0"/>
    <n v="0"/>
  </r>
  <r>
    <x v="185"/>
    <x v="5"/>
    <n v="0"/>
    <x v="3"/>
    <x v="2"/>
    <n v="849"/>
    <n v="530"/>
    <n v="0"/>
    <n v="0"/>
    <n v="0"/>
  </r>
  <r>
    <x v="186"/>
    <x v="6"/>
    <n v="0"/>
    <x v="3"/>
    <x v="2"/>
    <n v="1000"/>
    <n v="768"/>
    <n v="0"/>
    <n v="0"/>
    <n v="0"/>
  </r>
  <r>
    <x v="187"/>
    <x v="7"/>
    <n v="0"/>
    <x v="3"/>
    <x v="2"/>
    <n v="680"/>
    <n v="570"/>
    <n v="0"/>
    <n v="0"/>
    <n v="0"/>
  </r>
  <r>
    <x v="188"/>
    <x v="8"/>
    <n v="0"/>
    <x v="3"/>
    <x v="2"/>
    <n v="199"/>
    <n v="140"/>
    <n v="0"/>
    <n v="0"/>
    <n v="0"/>
  </r>
  <r>
    <x v="189"/>
    <x v="9"/>
    <n v="0"/>
    <x v="3"/>
    <x v="2"/>
    <n v="219"/>
    <n v="132"/>
    <n v="0"/>
    <n v="0"/>
    <n v="0"/>
  </r>
  <r>
    <x v="190"/>
    <x v="10"/>
    <n v="0"/>
    <x v="3"/>
    <x v="2"/>
    <n v="1469"/>
    <n v="1184"/>
    <n v="0"/>
    <n v="0"/>
    <n v="0"/>
  </r>
  <r>
    <x v="191"/>
    <x v="11"/>
    <n v="0"/>
    <x v="3"/>
    <x v="2"/>
    <n v="89"/>
    <n v="59"/>
    <n v="0"/>
    <n v="0"/>
    <n v="0"/>
  </r>
  <r>
    <x v="192"/>
    <x v="12"/>
    <n v="0"/>
    <x v="3"/>
    <x v="2"/>
    <n v="310"/>
    <n v="206"/>
    <n v="0"/>
    <n v="0"/>
    <n v="0"/>
  </r>
  <r>
    <x v="193"/>
    <x v="13"/>
    <n v="0"/>
    <x v="3"/>
    <x v="2"/>
    <n v="540"/>
    <n v="397"/>
    <n v="0"/>
    <n v="0"/>
    <n v="0"/>
  </r>
  <r>
    <x v="194"/>
    <x v="14"/>
    <n v="0"/>
    <x v="3"/>
    <x v="2"/>
    <n v="360"/>
    <n v="248"/>
    <n v="0"/>
    <n v="0"/>
    <n v="0"/>
  </r>
  <r>
    <x v="195"/>
    <x v="15"/>
    <n v="0"/>
    <x v="3"/>
    <x v="2"/>
    <n v="250"/>
    <n v="190"/>
    <n v="0"/>
    <n v="0"/>
    <n v="0"/>
  </r>
  <r>
    <x v="196"/>
    <x v="16"/>
    <n v="0"/>
    <x v="3"/>
    <x v="2"/>
    <n v="120"/>
    <n v="85"/>
    <n v="0"/>
    <n v="0"/>
    <n v="0"/>
  </r>
  <r>
    <x v="197"/>
    <x v="17"/>
    <n v="0"/>
    <x v="3"/>
    <x v="2"/>
    <n v="80"/>
    <n v="55"/>
    <n v="0"/>
    <n v="0"/>
    <n v="0"/>
  </r>
  <r>
    <x v="198"/>
    <x v="0"/>
    <n v="0"/>
    <x v="4"/>
    <x v="2"/>
    <n v="549"/>
    <n v="365"/>
    <n v="0"/>
    <n v="0"/>
    <n v="0"/>
  </r>
  <r>
    <x v="199"/>
    <x v="1"/>
    <n v="0"/>
    <x v="4"/>
    <x v="2"/>
    <n v="699"/>
    <n v="550"/>
    <n v="0"/>
    <n v="0"/>
    <n v="0"/>
  </r>
  <r>
    <x v="200"/>
    <x v="2"/>
    <n v="0"/>
    <x v="4"/>
    <x v="2"/>
    <n v="739"/>
    <n v="620"/>
    <n v="0"/>
    <n v="0"/>
    <n v="0"/>
  </r>
  <r>
    <x v="201"/>
    <x v="3"/>
    <n v="0"/>
    <x v="4"/>
    <x v="2"/>
    <n v="899"/>
    <n v="714"/>
    <n v="0"/>
    <n v="0"/>
    <n v="0"/>
  </r>
  <r>
    <x v="202"/>
    <x v="4"/>
    <n v="0"/>
    <x v="4"/>
    <x v="2"/>
    <n v="1379"/>
    <n v="890"/>
    <n v="0"/>
    <n v="0"/>
    <n v="0"/>
  </r>
  <r>
    <x v="203"/>
    <x v="5"/>
    <n v="0"/>
    <x v="4"/>
    <x v="2"/>
    <n v="849"/>
    <n v="530"/>
    <n v="0"/>
    <n v="0"/>
    <n v="0"/>
  </r>
  <r>
    <x v="204"/>
    <x v="6"/>
    <n v="0"/>
    <x v="4"/>
    <x v="2"/>
    <n v="1000"/>
    <n v="768"/>
    <n v="0"/>
    <n v="0"/>
    <n v="0"/>
  </r>
  <r>
    <x v="205"/>
    <x v="7"/>
    <n v="0"/>
    <x v="4"/>
    <x v="2"/>
    <n v="680"/>
    <n v="570"/>
    <n v="0"/>
    <n v="0"/>
    <n v="0"/>
  </r>
  <r>
    <x v="206"/>
    <x v="8"/>
    <n v="0"/>
    <x v="4"/>
    <x v="2"/>
    <n v="199"/>
    <n v="140"/>
    <n v="0"/>
    <n v="0"/>
    <n v="0"/>
  </r>
  <r>
    <x v="207"/>
    <x v="9"/>
    <n v="0"/>
    <x v="4"/>
    <x v="2"/>
    <n v="219"/>
    <n v="132"/>
    <n v="0"/>
    <n v="0"/>
    <n v="0"/>
  </r>
  <r>
    <x v="208"/>
    <x v="10"/>
    <n v="0"/>
    <x v="4"/>
    <x v="2"/>
    <n v="1469"/>
    <n v="1184"/>
    <n v="0"/>
    <n v="0"/>
    <n v="0"/>
  </r>
  <r>
    <x v="209"/>
    <x v="11"/>
    <n v="0"/>
    <x v="4"/>
    <x v="2"/>
    <n v="89"/>
    <n v="59"/>
    <n v="0"/>
    <n v="0"/>
    <n v="0"/>
  </r>
  <r>
    <x v="210"/>
    <x v="12"/>
    <n v="0"/>
    <x v="4"/>
    <x v="2"/>
    <n v="310"/>
    <n v="206"/>
    <n v="0"/>
    <n v="0"/>
    <n v="0"/>
  </r>
  <r>
    <x v="211"/>
    <x v="13"/>
    <n v="0"/>
    <x v="4"/>
    <x v="2"/>
    <n v="540"/>
    <n v="397"/>
    <n v="0"/>
    <n v="0"/>
    <n v="0"/>
  </r>
  <r>
    <x v="212"/>
    <x v="14"/>
    <n v="0"/>
    <x v="4"/>
    <x v="2"/>
    <n v="360"/>
    <n v="248"/>
    <n v="0"/>
    <n v="0"/>
    <n v="0"/>
  </r>
  <r>
    <x v="213"/>
    <x v="15"/>
    <n v="0"/>
    <x v="4"/>
    <x v="2"/>
    <n v="250"/>
    <n v="190"/>
    <n v="0"/>
    <n v="0"/>
    <n v="0"/>
  </r>
  <r>
    <x v="214"/>
    <x v="16"/>
    <n v="0"/>
    <x v="4"/>
    <x v="2"/>
    <n v="120"/>
    <n v="85"/>
    <n v="0"/>
    <n v="0"/>
    <n v="0"/>
  </r>
  <r>
    <x v="215"/>
    <x v="17"/>
    <n v="0"/>
    <x v="4"/>
    <x v="2"/>
    <n v="80"/>
    <n v="55"/>
    <n v="0"/>
    <n v="0"/>
    <n v="0"/>
  </r>
  <r>
    <x v="216"/>
    <x v="0"/>
    <n v="0"/>
    <x v="5"/>
    <x v="2"/>
    <n v="549"/>
    <n v="365"/>
    <n v="0"/>
    <n v="0"/>
    <n v="0"/>
  </r>
  <r>
    <x v="217"/>
    <x v="1"/>
    <n v="0"/>
    <x v="5"/>
    <x v="2"/>
    <n v="699"/>
    <n v="550"/>
    <n v="0"/>
    <n v="0"/>
    <n v="0"/>
  </r>
  <r>
    <x v="218"/>
    <x v="2"/>
    <n v="0"/>
    <x v="5"/>
    <x v="2"/>
    <n v="739"/>
    <n v="620"/>
    <n v="0"/>
    <n v="0"/>
    <n v="0"/>
  </r>
  <r>
    <x v="219"/>
    <x v="3"/>
    <n v="0"/>
    <x v="5"/>
    <x v="2"/>
    <n v="899"/>
    <n v="714"/>
    <n v="0"/>
    <n v="0"/>
    <n v="0"/>
  </r>
  <r>
    <x v="220"/>
    <x v="4"/>
    <n v="0"/>
    <x v="5"/>
    <x v="2"/>
    <n v="1379"/>
    <n v="890"/>
    <n v="0"/>
    <n v="0"/>
    <n v="0"/>
  </r>
  <r>
    <x v="221"/>
    <x v="5"/>
    <n v="0"/>
    <x v="5"/>
    <x v="2"/>
    <n v="849"/>
    <n v="530"/>
    <n v="0"/>
    <n v="0"/>
    <n v="0"/>
  </r>
  <r>
    <x v="222"/>
    <x v="6"/>
    <n v="0"/>
    <x v="5"/>
    <x v="2"/>
    <n v="1000"/>
    <n v="768"/>
    <n v="0"/>
    <n v="0"/>
    <n v="0"/>
  </r>
  <r>
    <x v="223"/>
    <x v="7"/>
    <n v="0"/>
    <x v="5"/>
    <x v="2"/>
    <n v="680"/>
    <n v="570"/>
    <n v="0"/>
    <n v="0"/>
    <n v="0"/>
  </r>
  <r>
    <x v="224"/>
    <x v="8"/>
    <n v="0"/>
    <x v="5"/>
    <x v="2"/>
    <n v="199"/>
    <n v="140"/>
    <n v="0"/>
    <n v="0"/>
    <n v="0"/>
  </r>
  <r>
    <x v="225"/>
    <x v="9"/>
    <n v="0"/>
    <x v="5"/>
    <x v="2"/>
    <n v="219"/>
    <n v="132"/>
    <n v="0"/>
    <n v="0"/>
    <n v="0"/>
  </r>
  <r>
    <x v="226"/>
    <x v="10"/>
    <n v="0"/>
    <x v="5"/>
    <x v="2"/>
    <n v="1469"/>
    <n v="1184"/>
    <n v="0"/>
    <n v="0"/>
    <n v="0"/>
  </r>
  <r>
    <x v="227"/>
    <x v="11"/>
    <n v="0"/>
    <x v="5"/>
    <x v="2"/>
    <n v="89"/>
    <n v="59"/>
    <n v="0"/>
    <n v="0"/>
    <n v="0"/>
  </r>
  <r>
    <x v="228"/>
    <x v="12"/>
    <n v="0"/>
    <x v="5"/>
    <x v="2"/>
    <n v="310"/>
    <n v="206"/>
    <n v="0"/>
    <n v="0"/>
    <n v="0"/>
  </r>
  <r>
    <x v="229"/>
    <x v="13"/>
    <n v="0"/>
    <x v="5"/>
    <x v="2"/>
    <n v="540"/>
    <n v="397"/>
    <n v="0"/>
    <n v="0"/>
    <n v="0"/>
  </r>
  <r>
    <x v="230"/>
    <x v="14"/>
    <n v="0"/>
    <x v="5"/>
    <x v="2"/>
    <n v="360"/>
    <n v="248"/>
    <n v="0"/>
    <n v="0"/>
    <n v="0"/>
  </r>
  <r>
    <x v="231"/>
    <x v="15"/>
    <n v="0"/>
    <x v="5"/>
    <x v="2"/>
    <n v="250"/>
    <n v="190"/>
    <n v="0"/>
    <n v="0"/>
    <n v="0"/>
  </r>
  <r>
    <x v="232"/>
    <x v="16"/>
    <n v="0"/>
    <x v="5"/>
    <x v="2"/>
    <n v="120"/>
    <n v="85"/>
    <n v="0"/>
    <n v="0"/>
    <n v="0"/>
  </r>
  <r>
    <x v="233"/>
    <x v="17"/>
    <n v="0"/>
    <x v="5"/>
    <x v="2"/>
    <n v="80"/>
    <n v="55"/>
    <n v="0"/>
    <n v="0"/>
    <n v="0"/>
  </r>
  <r>
    <x v="234"/>
    <x v="0"/>
    <n v="0"/>
    <x v="6"/>
    <x v="2"/>
    <n v="549"/>
    <n v="365"/>
    <n v="0"/>
    <n v="0"/>
    <n v="0"/>
  </r>
  <r>
    <x v="235"/>
    <x v="1"/>
    <n v="0"/>
    <x v="6"/>
    <x v="2"/>
    <n v="699"/>
    <n v="550"/>
    <n v="0"/>
    <n v="0"/>
    <n v="0"/>
  </r>
  <r>
    <x v="236"/>
    <x v="2"/>
    <n v="0"/>
    <x v="6"/>
    <x v="2"/>
    <n v="739"/>
    <n v="620"/>
    <n v="0"/>
    <n v="0"/>
    <n v="0"/>
  </r>
  <r>
    <x v="237"/>
    <x v="3"/>
    <n v="0"/>
    <x v="6"/>
    <x v="2"/>
    <n v="899"/>
    <n v="714"/>
    <n v="0"/>
    <n v="0"/>
    <n v="0"/>
  </r>
  <r>
    <x v="238"/>
    <x v="4"/>
    <n v="0"/>
    <x v="6"/>
    <x v="2"/>
    <n v="1379"/>
    <n v="890"/>
    <n v="0"/>
    <n v="0"/>
    <n v="0"/>
  </r>
  <r>
    <x v="239"/>
    <x v="5"/>
    <n v="0"/>
    <x v="6"/>
    <x v="2"/>
    <n v="849"/>
    <n v="530"/>
    <n v="0"/>
    <n v="0"/>
    <n v="0"/>
  </r>
  <r>
    <x v="240"/>
    <x v="6"/>
    <n v="0"/>
    <x v="6"/>
    <x v="2"/>
    <n v="1000"/>
    <n v="768"/>
    <n v="0"/>
    <n v="0"/>
    <n v="0"/>
  </r>
  <r>
    <x v="241"/>
    <x v="7"/>
    <n v="0"/>
    <x v="6"/>
    <x v="2"/>
    <n v="680"/>
    <n v="570"/>
    <n v="0"/>
    <n v="0"/>
    <n v="0"/>
  </r>
  <r>
    <x v="242"/>
    <x v="8"/>
    <n v="0"/>
    <x v="6"/>
    <x v="2"/>
    <n v="199"/>
    <n v="140"/>
    <n v="0"/>
    <n v="0"/>
    <n v="0"/>
  </r>
  <r>
    <x v="243"/>
    <x v="9"/>
    <n v="0"/>
    <x v="6"/>
    <x v="2"/>
    <n v="219"/>
    <n v="132"/>
    <n v="0"/>
    <n v="0"/>
    <n v="0"/>
  </r>
  <r>
    <x v="244"/>
    <x v="10"/>
    <n v="0"/>
    <x v="6"/>
    <x v="2"/>
    <n v="1469"/>
    <n v="1184"/>
    <n v="0"/>
    <n v="0"/>
    <n v="0"/>
  </r>
  <r>
    <x v="245"/>
    <x v="11"/>
    <n v="0"/>
    <x v="6"/>
    <x v="2"/>
    <n v="89"/>
    <n v="59"/>
    <n v="0"/>
    <n v="0"/>
    <n v="0"/>
  </r>
  <r>
    <x v="246"/>
    <x v="12"/>
    <n v="0"/>
    <x v="6"/>
    <x v="2"/>
    <n v="310"/>
    <n v="206"/>
    <n v="0"/>
    <n v="0"/>
    <n v="0"/>
  </r>
  <r>
    <x v="247"/>
    <x v="13"/>
    <n v="0"/>
    <x v="6"/>
    <x v="2"/>
    <n v="540"/>
    <n v="397"/>
    <n v="0"/>
    <n v="0"/>
    <n v="0"/>
  </r>
  <r>
    <x v="248"/>
    <x v="14"/>
    <n v="0"/>
    <x v="6"/>
    <x v="2"/>
    <n v="360"/>
    <n v="248"/>
    <n v="0"/>
    <n v="0"/>
    <n v="0"/>
  </r>
  <r>
    <x v="249"/>
    <x v="15"/>
    <n v="0"/>
    <x v="6"/>
    <x v="2"/>
    <n v="250"/>
    <n v="190"/>
    <n v="0"/>
    <n v="0"/>
    <n v="0"/>
  </r>
  <r>
    <x v="250"/>
    <x v="16"/>
    <n v="0"/>
    <x v="6"/>
    <x v="2"/>
    <n v="120"/>
    <n v="85"/>
    <n v="0"/>
    <n v="0"/>
    <n v="0"/>
  </r>
  <r>
    <x v="251"/>
    <x v="17"/>
    <n v="0"/>
    <x v="6"/>
    <x v="2"/>
    <n v="80"/>
    <n v="55"/>
    <n v="0"/>
    <n v="0"/>
    <n v="0"/>
  </r>
  <r>
    <x v="252"/>
    <x v="0"/>
    <n v="0"/>
    <x v="0"/>
    <x v="2"/>
    <n v="549"/>
    <n v="365"/>
    <n v="0"/>
    <n v="0"/>
    <n v="0"/>
  </r>
  <r>
    <x v="253"/>
    <x v="1"/>
    <n v="0"/>
    <x v="0"/>
    <x v="2"/>
    <n v="699"/>
    <n v="550"/>
    <n v="0"/>
    <n v="0"/>
    <n v="0"/>
  </r>
  <r>
    <x v="254"/>
    <x v="2"/>
    <n v="0"/>
    <x v="0"/>
    <x v="2"/>
    <n v="739"/>
    <n v="620"/>
    <n v="0"/>
    <n v="0"/>
    <n v="0"/>
  </r>
  <r>
    <x v="255"/>
    <x v="3"/>
    <n v="0"/>
    <x v="0"/>
    <x v="2"/>
    <n v="899"/>
    <n v="714"/>
    <n v="0"/>
    <n v="0"/>
    <n v="0"/>
  </r>
  <r>
    <x v="256"/>
    <x v="4"/>
    <n v="0"/>
    <x v="0"/>
    <x v="2"/>
    <n v="1379"/>
    <n v="890"/>
    <n v="0"/>
    <n v="0"/>
    <n v="0"/>
  </r>
  <r>
    <x v="257"/>
    <x v="5"/>
    <n v="0"/>
    <x v="0"/>
    <x v="2"/>
    <n v="849"/>
    <n v="530"/>
    <n v="0"/>
    <n v="0"/>
    <n v="0"/>
  </r>
  <r>
    <x v="258"/>
    <x v="6"/>
    <n v="0"/>
    <x v="0"/>
    <x v="2"/>
    <n v="1000"/>
    <n v="768"/>
    <n v="0"/>
    <n v="0"/>
    <n v="0"/>
  </r>
  <r>
    <x v="259"/>
    <x v="7"/>
    <n v="0"/>
    <x v="0"/>
    <x v="2"/>
    <n v="680"/>
    <n v="570"/>
    <n v="0"/>
    <n v="0"/>
    <n v="0"/>
  </r>
  <r>
    <x v="260"/>
    <x v="8"/>
    <n v="0"/>
    <x v="0"/>
    <x v="2"/>
    <n v="199"/>
    <n v="140"/>
    <n v="0"/>
    <n v="0"/>
    <n v="0"/>
  </r>
  <r>
    <x v="261"/>
    <x v="9"/>
    <n v="0"/>
    <x v="0"/>
    <x v="2"/>
    <n v="219"/>
    <n v="132"/>
    <n v="0"/>
    <n v="0"/>
    <n v="0"/>
  </r>
  <r>
    <x v="262"/>
    <x v="10"/>
    <n v="0"/>
    <x v="0"/>
    <x v="2"/>
    <n v="1469"/>
    <n v="1184"/>
    <n v="0"/>
    <n v="0"/>
    <n v="0"/>
  </r>
  <r>
    <x v="263"/>
    <x v="11"/>
    <n v="0"/>
    <x v="0"/>
    <x v="2"/>
    <n v="89"/>
    <n v="59"/>
    <n v="0"/>
    <n v="0"/>
    <n v="0"/>
  </r>
  <r>
    <x v="264"/>
    <x v="12"/>
    <n v="0"/>
    <x v="0"/>
    <x v="2"/>
    <n v="310"/>
    <n v="206"/>
    <n v="0"/>
    <n v="0"/>
    <n v="0"/>
  </r>
  <r>
    <x v="265"/>
    <x v="13"/>
    <n v="0"/>
    <x v="0"/>
    <x v="2"/>
    <n v="540"/>
    <n v="397"/>
    <n v="0"/>
    <n v="0"/>
    <n v="0"/>
  </r>
  <r>
    <x v="266"/>
    <x v="14"/>
    <n v="0"/>
    <x v="0"/>
    <x v="2"/>
    <n v="360"/>
    <n v="248"/>
    <n v="0"/>
    <n v="0"/>
    <n v="0"/>
  </r>
  <r>
    <x v="267"/>
    <x v="15"/>
    <n v="0"/>
    <x v="0"/>
    <x v="2"/>
    <n v="250"/>
    <n v="190"/>
    <n v="0"/>
    <n v="0"/>
    <n v="0"/>
  </r>
  <r>
    <x v="268"/>
    <x v="16"/>
    <n v="0"/>
    <x v="0"/>
    <x v="2"/>
    <n v="120"/>
    <n v="85"/>
    <n v="0"/>
    <n v="0"/>
    <n v="0"/>
  </r>
  <r>
    <x v="269"/>
    <x v="17"/>
    <n v="0"/>
    <x v="0"/>
    <x v="2"/>
    <n v="80"/>
    <n v="55"/>
    <n v="0"/>
    <n v="0"/>
    <n v="0"/>
  </r>
  <r>
    <x v="270"/>
    <x v="0"/>
    <n v="0"/>
    <x v="1"/>
    <x v="3"/>
    <n v="549"/>
    <n v="365"/>
    <n v="0"/>
    <n v="0"/>
    <n v="0"/>
  </r>
  <r>
    <x v="271"/>
    <x v="1"/>
    <n v="0"/>
    <x v="1"/>
    <x v="3"/>
    <n v="699"/>
    <n v="550"/>
    <n v="0"/>
    <n v="0"/>
    <n v="0"/>
  </r>
  <r>
    <x v="272"/>
    <x v="2"/>
    <n v="0"/>
    <x v="1"/>
    <x v="3"/>
    <n v="739"/>
    <n v="620"/>
    <n v="0"/>
    <n v="0"/>
    <n v="0"/>
  </r>
  <r>
    <x v="273"/>
    <x v="3"/>
    <n v="0"/>
    <x v="1"/>
    <x v="3"/>
    <n v="899"/>
    <n v="714"/>
    <n v="0"/>
    <n v="0"/>
    <n v="0"/>
  </r>
  <r>
    <x v="274"/>
    <x v="4"/>
    <n v="0"/>
    <x v="1"/>
    <x v="3"/>
    <n v="1379"/>
    <n v="890"/>
    <n v="0"/>
    <n v="0"/>
    <n v="0"/>
  </r>
  <r>
    <x v="275"/>
    <x v="5"/>
    <n v="0"/>
    <x v="1"/>
    <x v="3"/>
    <n v="849"/>
    <n v="530"/>
    <n v="0"/>
    <n v="0"/>
    <n v="0"/>
  </r>
  <r>
    <x v="276"/>
    <x v="6"/>
    <n v="0"/>
    <x v="1"/>
    <x v="3"/>
    <n v="1000"/>
    <n v="768"/>
    <n v="0"/>
    <n v="0"/>
    <n v="0"/>
  </r>
  <r>
    <x v="277"/>
    <x v="7"/>
    <n v="0"/>
    <x v="1"/>
    <x v="3"/>
    <n v="680"/>
    <n v="570"/>
    <n v="0"/>
    <n v="0"/>
    <n v="0"/>
  </r>
  <r>
    <x v="278"/>
    <x v="8"/>
    <n v="0"/>
    <x v="1"/>
    <x v="3"/>
    <n v="199"/>
    <n v="140"/>
    <n v="0"/>
    <n v="0"/>
    <n v="0"/>
  </r>
  <r>
    <x v="279"/>
    <x v="9"/>
    <n v="0"/>
    <x v="1"/>
    <x v="3"/>
    <n v="219"/>
    <n v="132"/>
    <n v="0"/>
    <n v="0"/>
    <n v="0"/>
  </r>
  <r>
    <x v="280"/>
    <x v="10"/>
    <n v="0"/>
    <x v="1"/>
    <x v="3"/>
    <n v="1469"/>
    <n v="1184"/>
    <n v="0"/>
    <n v="0"/>
    <n v="0"/>
  </r>
  <r>
    <x v="281"/>
    <x v="11"/>
    <n v="0"/>
    <x v="1"/>
    <x v="3"/>
    <n v="89"/>
    <n v="59"/>
    <n v="0"/>
    <n v="0"/>
    <n v="0"/>
  </r>
  <r>
    <x v="282"/>
    <x v="12"/>
    <n v="0"/>
    <x v="1"/>
    <x v="3"/>
    <n v="310"/>
    <n v="206"/>
    <n v="0"/>
    <n v="0"/>
    <n v="0"/>
  </r>
  <r>
    <x v="283"/>
    <x v="13"/>
    <n v="0"/>
    <x v="1"/>
    <x v="3"/>
    <n v="540"/>
    <n v="397"/>
    <n v="0"/>
    <n v="0"/>
    <n v="0"/>
  </r>
  <r>
    <x v="284"/>
    <x v="14"/>
    <n v="0"/>
    <x v="1"/>
    <x v="3"/>
    <n v="360"/>
    <n v="248"/>
    <n v="0"/>
    <n v="0"/>
    <n v="0"/>
  </r>
  <r>
    <x v="285"/>
    <x v="15"/>
    <n v="0"/>
    <x v="1"/>
    <x v="3"/>
    <n v="250"/>
    <n v="190"/>
    <n v="0"/>
    <n v="0"/>
    <n v="0"/>
  </r>
  <r>
    <x v="286"/>
    <x v="16"/>
    <n v="0"/>
    <x v="1"/>
    <x v="3"/>
    <n v="120"/>
    <n v="85"/>
    <n v="0"/>
    <n v="0"/>
    <n v="0"/>
  </r>
  <r>
    <x v="287"/>
    <x v="17"/>
    <n v="0"/>
    <x v="1"/>
    <x v="3"/>
    <n v="80"/>
    <n v="55"/>
    <n v="0"/>
    <n v="0"/>
    <n v="0"/>
  </r>
  <r>
    <x v="288"/>
    <x v="0"/>
    <n v="0"/>
    <x v="2"/>
    <x v="3"/>
    <n v="549"/>
    <n v="365"/>
    <n v="0"/>
    <n v="0"/>
    <n v="0"/>
  </r>
  <r>
    <x v="289"/>
    <x v="1"/>
    <n v="1"/>
    <x v="2"/>
    <x v="3"/>
    <n v="699"/>
    <n v="550"/>
    <n v="699"/>
    <n v="550"/>
    <n v="149"/>
  </r>
  <r>
    <x v="290"/>
    <x v="2"/>
    <n v="2"/>
    <x v="2"/>
    <x v="3"/>
    <n v="739"/>
    <n v="620"/>
    <n v="1478"/>
    <n v="1240"/>
    <n v="238"/>
  </r>
  <r>
    <x v="291"/>
    <x v="3"/>
    <n v="0"/>
    <x v="2"/>
    <x v="3"/>
    <n v="899"/>
    <n v="714"/>
    <n v="0"/>
    <n v="0"/>
    <n v="0"/>
  </r>
  <r>
    <x v="292"/>
    <x v="4"/>
    <n v="0"/>
    <x v="2"/>
    <x v="3"/>
    <n v="1379"/>
    <n v="890"/>
    <n v="0"/>
    <n v="0"/>
    <n v="0"/>
  </r>
  <r>
    <x v="293"/>
    <x v="5"/>
    <n v="2"/>
    <x v="2"/>
    <x v="3"/>
    <n v="849"/>
    <n v="530"/>
    <n v="1698"/>
    <n v="1060"/>
    <n v="638"/>
  </r>
  <r>
    <x v="294"/>
    <x v="6"/>
    <n v="0"/>
    <x v="2"/>
    <x v="3"/>
    <n v="1000"/>
    <n v="768"/>
    <n v="0"/>
    <n v="0"/>
    <n v="0"/>
  </r>
  <r>
    <x v="295"/>
    <x v="7"/>
    <n v="0"/>
    <x v="2"/>
    <x v="3"/>
    <n v="680"/>
    <n v="570"/>
    <n v="0"/>
    <n v="0"/>
    <n v="0"/>
  </r>
  <r>
    <x v="296"/>
    <x v="8"/>
    <n v="0"/>
    <x v="2"/>
    <x v="3"/>
    <n v="199"/>
    <n v="140"/>
    <n v="0"/>
    <n v="0"/>
    <n v="0"/>
  </r>
  <r>
    <x v="297"/>
    <x v="9"/>
    <n v="0"/>
    <x v="2"/>
    <x v="3"/>
    <n v="219"/>
    <n v="132"/>
    <n v="0"/>
    <n v="0"/>
    <n v="0"/>
  </r>
  <r>
    <x v="298"/>
    <x v="10"/>
    <n v="1"/>
    <x v="2"/>
    <x v="3"/>
    <n v="1469"/>
    <n v="1184"/>
    <n v="1469"/>
    <n v="1184"/>
    <n v="285"/>
  </r>
  <r>
    <x v="299"/>
    <x v="11"/>
    <n v="0"/>
    <x v="2"/>
    <x v="3"/>
    <n v="89"/>
    <n v="59"/>
    <n v="0"/>
    <n v="0"/>
    <n v="0"/>
  </r>
  <r>
    <x v="300"/>
    <x v="12"/>
    <n v="0"/>
    <x v="2"/>
    <x v="3"/>
    <n v="310"/>
    <n v="206"/>
    <n v="0"/>
    <n v="0"/>
    <n v="0"/>
  </r>
  <r>
    <x v="301"/>
    <x v="13"/>
    <n v="0"/>
    <x v="2"/>
    <x v="3"/>
    <n v="540"/>
    <n v="397"/>
    <n v="0"/>
    <n v="0"/>
    <n v="0"/>
  </r>
  <r>
    <x v="302"/>
    <x v="14"/>
    <n v="0"/>
    <x v="2"/>
    <x v="3"/>
    <n v="360"/>
    <n v="248"/>
    <n v="0"/>
    <n v="0"/>
    <n v="0"/>
  </r>
  <r>
    <x v="303"/>
    <x v="15"/>
    <n v="0"/>
    <x v="2"/>
    <x v="3"/>
    <n v="250"/>
    <n v="190"/>
    <n v="0"/>
    <n v="0"/>
    <n v="0"/>
  </r>
  <r>
    <x v="304"/>
    <x v="16"/>
    <n v="0"/>
    <x v="2"/>
    <x v="3"/>
    <n v="120"/>
    <n v="85"/>
    <n v="0"/>
    <n v="0"/>
    <n v="0"/>
  </r>
  <r>
    <x v="305"/>
    <x v="17"/>
    <n v="0"/>
    <x v="2"/>
    <x v="3"/>
    <n v="80"/>
    <n v="55"/>
    <n v="0"/>
    <n v="0"/>
    <n v="0"/>
  </r>
  <r>
    <x v="306"/>
    <x v="0"/>
    <n v="0"/>
    <x v="3"/>
    <x v="3"/>
    <n v="549"/>
    <n v="365"/>
    <n v="0"/>
    <n v="0"/>
    <n v="0"/>
  </r>
  <r>
    <x v="307"/>
    <x v="1"/>
    <n v="0"/>
    <x v="3"/>
    <x v="3"/>
    <n v="699"/>
    <n v="550"/>
    <n v="0"/>
    <n v="0"/>
    <n v="0"/>
  </r>
  <r>
    <x v="308"/>
    <x v="2"/>
    <n v="0"/>
    <x v="3"/>
    <x v="3"/>
    <n v="739"/>
    <n v="620"/>
    <n v="0"/>
    <n v="0"/>
    <n v="0"/>
  </r>
  <r>
    <x v="309"/>
    <x v="3"/>
    <n v="0"/>
    <x v="3"/>
    <x v="3"/>
    <n v="899"/>
    <n v="714"/>
    <n v="0"/>
    <n v="0"/>
    <n v="0"/>
  </r>
  <r>
    <x v="310"/>
    <x v="4"/>
    <n v="0"/>
    <x v="3"/>
    <x v="3"/>
    <n v="1379"/>
    <n v="890"/>
    <n v="0"/>
    <n v="0"/>
    <n v="0"/>
  </r>
  <r>
    <x v="311"/>
    <x v="5"/>
    <n v="0"/>
    <x v="3"/>
    <x v="3"/>
    <n v="849"/>
    <n v="530"/>
    <n v="0"/>
    <n v="0"/>
    <n v="0"/>
  </r>
  <r>
    <x v="312"/>
    <x v="6"/>
    <n v="0"/>
    <x v="3"/>
    <x v="3"/>
    <n v="1000"/>
    <n v="768"/>
    <n v="0"/>
    <n v="0"/>
    <n v="0"/>
  </r>
  <r>
    <x v="313"/>
    <x v="7"/>
    <n v="0"/>
    <x v="3"/>
    <x v="3"/>
    <n v="680"/>
    <n v="570"/>
    <n v="0"/>
    <n v="0"/>
    <n v="0"/>
  </r>
  <r>
    <x v="314"/>
    <x v="8"/>
    <n v="0"/>
    <x v="3"/>
    <x v="3"/>
    <n v="199"/>
    <n v="140"/>
    <n v="0"/>
    <n v="0"/>
    <n v="0"/>
  </r>
  <r>
    <x v="315"/>
    <x v="9"/>
    <n v="0"/>
    <x v="3"/>
    <x v="3"/>
    <n v="219"/>
    <n v="132"/>
    <n v="0"/>
    <n v="0"/>
    <n v="0"/>
  </r>
  <r>
    <x v="316"/>
    <x v="10"/>
    <n v="0"/>
    <x v="3"/>
    <x v="3"/>
    <n v="1469"/>
    <n v="1184"/>
    <n v="0"/>
    <n v="0"/>
    <n v="0"/>
  </r>
  <r>
    <x v="317"/>
    <x v="11"/>
    <n v="0"/>
    <x v="3"/>
    <x v="3"/>
    <n v="89"/>
    <n v="59"/>
    <n v="0"/>
    <n v="0"/>
    <n v="0"/>
  </r>
  <r>
    <x v="318"/>
    <x v="12"/>
    <n v="0"/>
    <x v="3"/>
    <x v="3"/>
    <n v="310"/>
    <n v="206"/>
    <n v="0"/>
    <n v="0"/>
    <n v="0"/>
  </r>
  <r>
    <x v="319"/>
    <x v="13"/>
    <n v="0"/>
    <x v="3"/>
    <x v="3"/>
    <n v="540"/>
    <n v="397"/>
    <n v="0"/>
    <n v="0"/>
    <n v="0"/>
  </r>
  <r>
    <x v="320"/>
    <x v="14"/>
    <n v="0"/>
    <x v="3"/>
    <x v="3"/>
    <n v="360"/>
    <n v="248"/>
    <n v="0"/>
    <n v="0"/>
    <n v="0"/>
  </r>
  <r>
    <x v="321"/>
    <x v="15"/>
    <n v="0"/>
    <x v="3"/>
    <x v="3"/>
    <n v="250"/>
    <n v="190"/>
    <n v="0"/>
    <n v="0"/>
    <n v="0"/>
  </r>
  <r>
    <x v="322"/>
    <x v="16"/>
    <n v="0"/>
    <x v="3"/>
    <x v="3"/>
    <n v="120"/>
    <n v="85"/>
    <n v="0"/>
    <n v="0"/>
    <n v="0"/>
  </r>
  <r>
    <x v="323"/>
    <x v="17"/>
    <n v="0"/>
    <x v="3"/>
    <x v="3"/>
    <n v="80"/>
    <n v="55"/>
    <n v="0"/>
    <n v="0"/>
    <n v="0"/>
  </r>
  <r>
    <x v="324"/>
    <x v="0"/>
    <n v="0"/>
    <x v="4"/>
    <x v="3"/>
    <n v="549"/>
    <n v="365"/>
    <n v="0"/>
    <n v="0"/>
    <n v="0"/>
  </r>
  <r>
    <x v="325"/>
    <x v="1"/>
    <n v="0"/>
    <x v="4"/>
    <x v="3"/>
    <n v="699"/>
    <n v="550"/>
    <n v="0"/>
    <n v="0"/>
    <n v="0"/>
  </r>
  <r>
    <x v="326"/>
    <x v="2"/>
    <n v="0"/>
    <x v="4"/>
    <x v="3"/>
    <n v="739"/>
    <n v="620"/>
    <n v="0"/>
    <n v="0"/>
    <n v="0"/>
  </r>
  <r>
    <x v="327"/>
    <x v="3"/>
    <n v="0"/>
    <x v="4"/>
    <x v="3"/>
    <n v="899"/>
    <n v="714"/>
    <n v="0"/>
    <n v="0"/>
    <n v="0"/>
  </r>
  <r>
    <x v="328"/>
    <x v="4"/>
    <n v="0"/>
    <x v="4"/>
    <x v="3"/>
    <n v="1379"/>
    <n v="890"/>
    <n v="0"/>
    <n v="0"/>
    <n v="0"/>
  </r>
  <r>
    <x v="329"/>
    <x v="5"/>
    <n v="0"/>
    <x v="4"/>
    <x v="3"/>
    <n v="849"/>
    <n v="530"/>
    <n v="0"/>
    <n v="0"/>
    <n v="0"/>
  </r>
  <r>
    <x v="330"/>
    <x v="6"/>
    <n v="0"/>
    <x v="4"/>
    <x v="3"/>
    <n v="1000"/>
    <n v="768"/>
    <n v="0"/>
    <n v="0"/>
    <n v="0"/>
  </r>
  <r>
    <x v="331"/>
    <x v="7"/>
    <n v="0"/>
    <x v="4"/>
    <x v="3"/>
    <n v="680"/>
    <n v="570"/>
    <n v="0"/>
    <n v="0"/>
    <n v="0"/>
  </r>
  <r>
    <x v="332"/>
    <x v="8"/>
    <n v="0"/>
    <x v="4"/>
    <x v="3"/>
    <n v="199"/>
    <n v="140"/>
    <n v="0"/>
    <n v="0"/>
    <n v="0"/>
  </r>
  <r>
    <x v="333"/>
    <x v="9"/>
    <n v="0"/>
    <x v="4"/>
    <x v="3"/>
    <n v="219"/>
    <n v="132"/>
    <n v="0"/>
    <n v="0"/>
    <n v="0"/>
  </r>
  <r>
    <x v="334"/>
    <x v="10"/>
    <n v="0"/>
    <x v="4"/>
    <x v="3"/>
    <n v="1469"/>
    <n v="1184"/>
    <n v="0"/>
    <n v="0"/>
    <n v="0"/>
  </r>
  <r>
    <x v="335"/>
    <x v="11"/>
    <n v="0"/>
    <x v="4"/>
    <x v="3"/>
    <n v="89"/>
    <n v="59"/>
    <n v="0"/>
    <n v="0"/>
    <n v="0"/>
  </r>
  <r>
    <x v="336"/>
    <x v="12"/>
    <n v="0"/>
    <x v="4"/>
    <x v="3"/>
    <n v="310"/>
    <n v="206"/>
    <n v="0"/>
    <n v="0"/>
    <n v="0"/>
  </r>
  <r>
    <x v="337"/>
    <x v="13"/>
    <n v="0"/>
    <x v="4"/>
    <x v="3"/>
    <n v="540"/>
    <n v="397"/>
    <n v="0"/>
    <n v="0"/>
    <n v="0"/>
  </r>
  <r>
    <x v="338"/>
    <x v="14"/>
    <n v="0"/>
    <x v="4"/>
    <x v="3"/>
    <n v="360"/>
    <n v="248"/>
    <n v="0"/>
    <n v="0"/>
    <n v="0"/>
  </r>
  <r>
    <x v="339"/>
    <x v="15"/>
    <n v="0"/>
    <x v="4"/>
    <x v="3"/>
    <n v="250"/>
    <n v="190"/>
    <n v="0"/>
    <n v="0"/>
    <n v="0"/>
  </r>
  <r>
    <x v="340"/>
    <x v="16"/>
    <n v="0"/>
    <x v="4"/>
    <x v="3"/>
    <n v="120"/>
    <n v="85"/>
    <n v="0"/>
    <n v="0"/>
    <n v="0"/>
  </r>
  <r>
    <x v="341"/>
    <x v="17"/>
    <n v="0"/>
    <x v="4"/>
    <x v="3"/>
    <n v="80"/>
    <n v="55"/>
    <n v="0"/>
    <n v="0"/>
    <n v="0"/>
  </r>
  <r>
    <x v="342"/>
    <x v="0"/>
    <n v="0"/>
    <x v="5"/>
    <x v="3"/>
    <n v="549"/>
    <n v="365"/>
    <n v="0"/>
    <n v="0"/>
    <n v="0"/>
  </r>
  <r>
    <x v="343"/>
    <x v="1"/>
    <n v="0"/>
    <x v="5"/>
    <x v="3"/>
    <n v="699"/>
    <n v="550"/>
    <n v="0"/>
    <n v="0"/>
    <n v="0"/>
  </r>
  <r>
    <x v="344"/>
    <x v="2"/>
    <n v="0"/>
    <x v="5"/>
    <x v="3"/>
    <n v="739"/>
    <n v="620"/>
    <n v="0"/>
    <n v="0"/>
    <n v="0"/>
  </r>
  <r>
    <x v="345"/>
    <x v="3"/>
    <n v="0"/>
    <x v="5"/>
    <x v="3"/>
    <n v="899"/>
    <n v="714"/>
    <n v="0"/>
    <n v="0"/>
    <n v="0"/>
  </r>
  <r>
    <x v="346"/>
    <x v="4"/>
    <n v="0"/>
    <x v="5"/>
    <x v="3"/>
    <n v="1379"/>
    <n v="890"/>
    <n v="0"/>
    <n v="0"/>
    <n v="0"/>
  </r>
  <r>
    <x v="347"/>
    <x v="5"/>
    <n v="0"/>
    <x v="5"/>
    <x v="3"/>
    <n v="849"/>
    <n v="530"/>
    <n v="0"/>
    <n v="0"/>
    <n v="0"/>
  </r>
  <r>
    <x v="348"/>
    <x v="6"/>
    <n v="0"/>
    <x v="5"/>
    <x v="3"/>
    <n v="1000"/>
    <n v="768"/>
    <n v="0"/>
    <n v="0"/>
    <n v="0"/>
  </r>
  <r>
    <x v="349"/>
    <x v="7"/>
    <n v="0"/>
    <x v="5"/>
    <x v="3"/>
    <n v="680"/>
    <n v="570"/>
    <n v="0"/>
    <n v="0"/>
    <n v="0"/>
  </r>
  <r>
    <x v="350"/>
    <x v="8"/>
    <n v="0"/>
    <x v="5"/>
    <x v="3"/>
    <n v="199"/>
    <n v="140"/>
    <n v="0"/>
    <n v="0"/>
    <n v="0"/>
  </r>
  <r>
    <x v="351"/>
    <x v="9"/>
    <n v="0"/>
    <x v="5"/>
    <x v="3"/>
    <n v="219"/>
    <n v="132"/>
    <n v="0"/>
    <n v="0"/>
    <n v="0"/>
  </r>
  <r>
    <x v="352"/>
    <x v="10"/>
    <n v="0"/>
    <x v="5"/>
    <x v="3"/>
    <n v="1469"/>
    <n v="1184"/>
    <n v="0"/>
    <n v="0"/>
    <n v="0"/>
  </r>
  <r>
    <x v="353"/>
    <x v="11"/>
    <n v="0"/>
    <x v="5"/>
    <x v="3"/>
    <n v="89"/>
    <n v="59"/>
    <n v="0"/>
    <n v="0"/>
    <n v="0"/>
  </r>
  <r>
    <x v="354"/>
    <x v="12"/>
    <n v="0"/>
    <x v="5"/>
    <x v="3"/>
    <n v="310"/>
    <n v="206"/>
    <n v="0"/>
    <n v="0"/>
    <n v="0"/>
  </r>
  <r>
    <x v="355"/>
    <x v="13"/>
    <n v="0"/>
    <x v="5"/>
    <x v="3"/>
    <n v="540"/>
    <n v="397"/>
    <n v="0"/>
    <n v="0"/>
    <n v="0"/>
  </r>
  <r>
    <x v="356"/>
    <x v="14"/>
    <n v="0"/>
    <x v="5"/>
    <x v="3"/>
    <n v="360"/>
    <n v="248"/>
    <n v="0"/>
    <n v="0"/>
    <n v="0"/>
  </r>
  <r>
    <x v="357"/>
    <x v="15"/>
    <n v="0"/>
    <x v="5"/>
    <x v="3"/>
    <n v="250"/>
    <n v="190"/>
    <n v="0"/>
    <n v="0"/>
    <n v="0"/>
  </r>
  <r>
    <x v="358"/>
    <x v="16"/>
    <n v="0"/>
    <x v="5"/>
    <x v="3"/>
    <n v="120"/>
    <n v="85"/>
    <n v="0"/>
    <n v="0"/>
    <n v="0"/>
  </r>
  <r>
    <x v="359"/>
    <x v="17"/>
    <n v="0"/>
    <x v="5"/>
    <x v="3"/>
    <n v="80"/>
    <n v="55"/>
    <n v="0"/>
    <n v="0"/>
    <n v="0"/>
  </r>
  <r>
    <x v="360"/>
    <x v="0"/>
    <n v="0"/>
    <x v="6"/>
    <x v="3"/>
    <n v="549"/>
    <n v="365"/>
    <n v="0"/>
    <n v="0"/>
    <n v="0"/>
  </r>
  <r>
    <x v="361"/>
    <x v="1"/>
    <n v="2"/>
    <x v="6"/>
    <x v="3"/>
    <n v="699"/>
    <n v="550"/>
    <n v="1398"/>
    <n v="1100"/>
    <n v="298"/>
  </r>
  <r>
    <x v="362"/>
    <x v="2"/>
    <n v="4"/>
    <x v="6"/>
    <x v="3"/>
    <n v="739"/>
    <n v="620"/>
    <n v="2956"/>
    <n v="2480"/>
    <n v="476"/>
  </r>
  <r>
    <x v="363"/>
    <x v="3"/>
    <n v="0"/>
    <x v="6"/>
    <x v="3"/>
    <n v="899"/>
    <n v="714"/>
    <n v="0"/>
    <n v="0"/>
    <n v="0"/>
  </r>
  <r>
    <x v="364"/>
    <x v="4"/>
    <n v="0"/>
    <x v="6"/>
    <x v="3"/>
    <n v="1379"/>
    <n v="890"/>
    <n v="0"/>
    <n v="0"/>
    <n v="0"/>
  </r>
  <r>
    <x v="365"/>
    <x v="5"/>
    <n v="6"/>
    <x v="6"/>
    <x v="3"/>
    <n v="849"/>
    <n v="530"/>
    <n v="5094"/>
    <n v="3180"/>
    <n v="1914"/>
  </r>
  <r>
    <x v="366"/>
    <x v="6"/>
    <n v="0"/>
    <x v="6"/>
    <x v="3"/>
    <n v="1000"/>
    <n v="768"/>
    <n v="0"/>
    <n v="0"/>
    <n v="0"/>
  </r>
  <r>
    <x v="367"/>
    <x v="7"/>
    <n v="0"/>
    <x v="6"/>
    <x v="3"/>
    <n v="680"/>
    <n v="570"/>
    <n v="0"/>
    <n v="0"/>
    <n v="0"/>
  </r>
  <r>
    <x v="368"/>
    <x v="8"/>
    <n v="0"/>
    <x v="6"/>
    <x v="3"/>
    <n v="199"/>
    <n v="140"/>
    <n v="0"/>
    <n v="0"/>
    <n v="0"/>
  </r>
  <r>
    <x v="369"/>
    <x v="9"/>
    <n v="0"/>
    <x v="6"/>
    <x v="3"/>
    <n v="219"/>
    <n v="132"/>
    <n v="0"/>
    <n v="0"/>
    <n v="0"/>
  </r>
  <r>
    <x v="370"/>
    <x v="10"/>
    <n v="0"/>
    <x v="6"/>
    <x v="3"/>
    <n v="1469"/>
    <n v="1184"/>
    <n v="0"/>
    <n v="0"/>
    <n v="0"/>
  </r>
  <r>
    <x v="371"/>
    <x v="11"/>
    <n v="0"/>
    <x v="6"/>
    <x v="3"/>
    <n v="89"/>
    <n v="59"/>
    <n v="0"/>
    <n v="0"/>
    <n v="0"/>
  </r>
  <r>
    <x v="372"/>
    <x v="12"/>
    <n v="0"/>
    <x v="6"/>
    <x v="3"/>
    <n v="310"/>
    <n v="206"/>
    <n v="0"/>
    <n v="0"/>
    <n v="0"/>
  </r>
  <r>
    <x v="373"/>
    <x v="13"/>
    <n v="0"/>
    <x v="6"/>
    <x v="3"/>
    <n v="540"/>
    <n v="397"/>
    <n v="0"/>
    <n v="0"/>
    <n v="0"/>
  </r>
  <r>
    <x v="374"/>
    <x v="14"/>
    <n v="0"/>
    <x v="6"/>
    <x v="3"/>
    <n v="360"/>
    <n v="248"/>
    <n v="0"/>
    <n v="0"/>
    <n v="0"/>
  </r>
  <r>
    <x v="375"/>
    <x v="15"/>
    <n v="0"/>
    <x v="6"/>
    <x v="3"/>
    <n v="250"/>
    <n v="190"/>
    <n v="0"/>
    <n v="0"/>
    <n v="0"/>
  </r>
  <r>
    <x v="376"/>
    <x v="16"/>
    <n v="0"/>
    <x v="6"/>
    <x v="3"/>
    <n v="120"/>
    <n v="85"/>
    <n v="0"/>
    <n v="0"/>
    <n v="0"/>
  </r>
  <r>
    <x v="377"/>
    <x v="17"/>
    <n v="0"/>
    <x v="6"/>
    <x v="3"/>
    <n v="80"/>
    <n v="55"/>
    <n v="0"/>
    <n v="0"/>
    <n v="0"/>
  </r>
  <r>
    <x v="378"/>
    <x v="0"/>
    <n v="0"/>
    <x v="0"/>
    <x v="3"/>
    <n v="549"/>
    <n v="365"/>
    <n v="0"/>
    <n v="0"/>
    <n v="0"/>
  </r>
  <r>
    <x v="379"/>
    <x v="1"/>
    <n v="1"/>
    <x v="0"/>
    <x v="3"/>
    <n v="699"/>
    <n v="550"/>
    <n v="699"/>
    <n v="550"/>
    <n v="149"/>
  </r>
  <r>
    <x v="380"/>
    <x v="2"/>
    <n v="1"/>
    <x v="0"/>
    <x v="3"/>
    <n v="739"/>
    <n v="620"/>
    <n v="739"/>
    <n v="620"/>
    <n v="119"/>
  </r>
  <r>
    <x v="381"/>
    <x v="3"/>
    <n v="0"/>
    <x v="0"/>
    <x v="3"/>
    <n v="899"/>
    <n v="714"/>
    <n v="0"/>
    <n v="0"/>
    <n v="0"/>
  </r>
  <r>
    <x v="382"/>
    <x v="4"/>
    <n v="0"/>
    <x v="0"/>
    <x v="3"/>
    <n v="1379"/>
    <n v="890"/>
    <n v="0"/>
    <n v="0"/>
    <n v="0"/>
  </r>
  <r>
    <x v="383"/>
    <x v="5"/>
    <n v="0"/>
    <x v="0"/>
    <x v="3"/>
    <n v="849"/>
    <n v="530"/>
    <n v="0"/>
    <n v="0"/>
    <n v="0"/>
  </r>
  <r>
    <x v="384"/>
    <x v="6"/>
    <n v="0"/>
    <x v="0"/>
    <x v="3"/>
    <n v="1000"/>
    <n v="768"/>
    <n v="0"/>
    <n v="0"/>
    <n v="0"/>
  </r>
  <r>
    <x v="385"/>
    <x v="7"/>
    <n v="1"/>
    <x v="0"/>
    <x v="3"/>
    <n v="680"/>
    <n v="570"/>
    <n v="680"/>
    <n v="570"/>
    <n v="110"/>
  </r>
  <r>
    <x v="386"/>
    <x v="8"/>
    <n v="0"/>
    <x v="0"/>
    <x v="3"/>
    <n v="199"/>
    <n v="140"/>
    <n v="0"/>
    <n v="0"/>
    <n v="0"/>
  </r>
  <r>
    <x v="387"/>
    <x v="9"/>
    <n v="0"/>
    <x v="0"/>
    <x v="3"/>
    <n v="219"/>
    <n v="132"/>
    <n v="0"/>
    <n v="0"/>
    <n v="0"/>
  </r>
  <r>
    <x v="388"/>
    <x v="10"/>
    <n v="1"/>
    <x v="0"/>
    <x v="3"/>
    <n v="1469"/>
    <n v="1184"/>
    <n v="1469"/>
    <n v="1184"/>
    <n v="285"/>
  </r>
  <r>
    <x v="389"/>
    <x v="11"/>
    <n v="0"/>
    <x v="0"/>
    <x v="3"/>
    <n v="89"/>
    <n v="59"/>
    <n v="0"/>
    <n v="0"/>
    <n v="0"/>
  </r>
  <r>
    <x v="390"/>
    <x v="12"/>
    <n v="0"/>
    <x v="0"/>
    <x v="3"/>
    <n v="310"/>
    <n v="206"/>
    <n v="0"/>
    <n v="0"/>
    <n v="0"/>
  </r>
  <r>
    <x v="391"/>
    <x v="13"/>
    <n v="0"/>
    <x v="0"/>
    <x v="3"/>
    <n v="540"/>
    <n v="397"/>
    <n v="0"/>
    <n v="0"/>
    <n v="0"/>
  </r>
  <r>
    <x v="392"/>
    <x v="14"/>
    <n v="0"/>
    <x v="0"/>
    <x v="3"/>
    <n v="360"/>
    <n v="248"/>
    <n v="0"/>
    <n v="0"/>
    <n v="0"/>
  </r>
  <r>
    <x v="393"/>
    <x v="15"/>
    <n v="0"/>
    <x v="0"/>
    <x v="3"/>
    <n v="250"/>
    <n v="190"/>
    <n v="0"/>
    <n v="0"/>
    <n v="0"/>
  </r>
  <r>
    <x v="394"/>
    <x v="16"/>
    <n v="0"/>
    <x v="0"/>
    <x v="3"/>
    <n v="120"/>
    <n v="85"/>
    <n v="0"/>
    <n v="0"/>
    <n v="0"/>
  </r>
  <r>
    <x v="395"/>
    <x v="17"/>
    <n v="0"/>
    <x v="0"/>
    <x v="3"/>
    <n v="80"/>
    <n v="55"/>
    <n v="0"/>
    <n v="0"/>
    <n v="0"/>
  </r>
  <r>
    <x v="396"/>
    <x v="0"/>
    <n v="0"/>
    <x v="1"/>
    <x v="4"/>
    <n v="549"/>
    <n v="365"/>
    <n v="0"/>
    <n v="0"/>
    <n v="0"/>
  </r>
  <r>
    <x v="397"/>
    <x v="1"/>
    <n v="0"/>
    <x v="1"/>
    <x v="4"/>
    <n v="699"/>
    <n v="550"/>
    <n v="0"/>
    <n v="0"/>
    <n v="0"/>
  </r>
  <r>
    <x v="398"/>
    <x v="2"/>
    <n v="0"/>
    <x v="1"/>
    <x v="4"/>
    <n v="739"/>
    <n v="620"/>
    <n v="0"/>
    <n v="0"/>
    <n v="0"/>
  </r>
  <r>
    <x v="399"/>
    <x v="3"/>
    <n v="0"/>
    <x v="1"/>
    <x v="4"/>
    <n v="899"/>
    <n v="714"/>
    <n v="0"/>
    <n v="0"/>
    <n v="0"/>
  </r>
  <r>
    <x v="400"/>
    <x v="4"/>
    <n v="0"/>
    <x v="1"/>
    <x v="4"/>
    <n v="1379"/>
    <n v="890"/>
    <n v="0"/>
    <n v="0"/>
    <n v="0"/>
  </r>
  <r>
    <x v="401"/>
    <x v="5"/>
    <n v="0"/>
    <x v="1"/>
    <x v="4"/>
    <n v="849"/>
    <n v="530"/>
    <n v="0"/>
    <n v="0"/>
    <n v="0"/>
  </r>
  <r>
    <x v="402"/>
    <x v="6"/>
    <n v="0"/>
    <x v="1"/>
    <x v="4"/>
    <n v="1000"/>
    <n v="768"/>
    <n v="0"/>
    <n v="0"/>
    <n v="0"/>
  </r>
  <r>
    <x v="403"/>
    <x v="7"/>
    <n v="0"/>
    <x v="1"/>
    <x v="4"/>
    <n v="680"/>
    <n v="570"/>
    <n v="0"/>
    <n v="0"/>
    <n v="0"/>
  </r>
  <r>
    <x v="404"/>
    <x v="8"/>
    <n v="0"/>
    <x v="1"/>
    <x v="4"/>
    <n v="199"/>
    <n v="140"/>
    <n v="0"/>
    <n v="0"/>
    <n v="0"/>
  </r>
  <r>
    <x v="405"/>
    <x v="9"/>
    <n v="0"/>
    <x v="1"/>
    <x v="4"/>
    <n v="219"/>
    <n v="132"/>
    <n v="0"/>
    <n v="0"/>
    <n v="0"/>
  </r>
  <r>
    <x v="406"/>
    <x v="10"/>
    <n v="0"/>
    <x v="1"/>
    <x v="4"/>
    <n v="1469"/>
    <n v="1184"/>
    <n v="0"/>
    <n v="0"/>
    <n v="0"/>
  </r>
  <r>
    <x v="407"/>
    <x v="11"/>
    <n v="0"/>
    <x v="1"/>
    <x v="4"/>
    <n v="89"/>
    <n v="59"/>
    <n v="0"/>
    <n v="0"/>
    <n v="0"/>
  </r>
  <r>
    <x v="408"/>
    <x v="12"/>
    <n v="0"/>
    <x v="1"/>
    <x v="4"/>
    <n v="310"/>
    <n v="206"/>
    <n v="0"/>
    <n v="0"/>
    <n v="0"/>
  </r>
  <r>
    <x v="409"/>
    <x v="13"/>
    <n v="0"/>
    <x v="1"/>
    <x v="4"/>
    <n v="540"/>
    <n v="397"/>
    <n v="0"/>
    <n v="0"/>
    <n v="0"/>
  </r>
  <r>
    <x v="410"/>
    <x v="14"/>
    <n v="0"/>
    <x v="1"/>
    <x v="4"/>
    <n v="360"/>
    <n v="248"/>
    <n v="0"/>
    <n v="0"/>
    <n v="0"/>
  </r>
  <r>
    <x v="411"/>
    <x v="15"/>
    <n v="0"/>
    <x v="1"/>
    <x v="4"/>
    <n v="250"/>
    <n v="190"/>
    <n v="0"/>
    <n v="0"/>
    <n v="0"/>
  </r>
  <r>
    <x v="412"/>
    <x v="16"/>
    <n v="0"/>
    <x v="1"/>
    <x v="4"/>
    <n v="120"/>
    <n v="85"/>
    <n v="0"/>
    <n v="0"/>
    <n v="0"/>
  </r>
  <r>
    <x v="413"/>
    <x v="17"/>
    <n v="0"/>
    <x v="1"/>
    <x v="4"/>
    <n v="80"/>
    <n v="55"/>
    <n v="0"/>
    <n v="0"/>
    <n v="0"/>
  </r>
  <r>
    <x v="414"/>
    <x v="0"/>
    <n v="0"/>
    <x v="2"/>
    <x v="4"/>
    <n v="549"/>
    <n v="365"/>
    <n v="0"/>
    <n v="0"/>
    <n v="0"/>
  </r>
  <r>
    <x v="415"/>
    <x v="1"/>
    <n v="0"/>
    <x v="2"/>
    <x v="4"/>
    <n v="699"/>
    <n v="550"/>
    <n v="0"/>
    <n v="0"/>
    <n v="0"/>
  </r>
  <r>
    <x v="416"/>
    <x v="2"/>
    <n v="0"/>
    <x v="2"/>
    <x v="4"/>
    <n v="739"/>
    <n v="620"/>
    <n v="0"/>
    <n v="0"/>
    <n v="0"/>
  </r>
  <r>
    <x v="417"/>
    <x v="3"/>
    <n v="0"/>
    <x v="2"/>
    <x v="4"/>
    <n v="899"/>
    <n v="714"/>
    <n v="0"/>
    <n v="0"/>
    <n v="0"/>
  </r>
  <r>
    <x v="418"/>
    <x v="4"/>
    <n v="0"/>
    <x v="2"/>
    <x v="4"/>
    <n v="1379"/>
    <n v="890"/>
    <n v="0"/>
    <n v="0"/>
    <n v="0"/>
  </r>
  <r>
    <x v="419"/>
    <x v="5"/>
    <n v="0"/>
    <x v="2"/>
    <x v="4"/>
    <n v="849"/>
    <n v="530"/>
    <n v="0"/>
    <n v="0"/>
    <n v="0"/>
  </r>
  <r>
    <x v="420"/>
    <x v="6"/>
    <n v="0"/>
    <x v="2"/>
    <x v="4"/>
    <n v="1000"/>
    <n v="768"/>
    <n v="0"/>
    <n v="0"/>
    <n v="0"/>
  </r>
  <r>
    <x v="421"/>
    <x v="7"/>
    <n v="0"/>
    <x v="2"/>
    <x v="4"/>
    <n v="680"/>
    <n v="570"/>
    <n v="0"/>
    <n v="0"/>
    <n v="0"/>
  </r>
  <r>
    <x v="422"/>
    <x v="8"/>
    <n v="0"/>
    <x v="2"/>
    <x v="4"/>
    <n v="199"/>
    <n v="140"/>
    <n v="0"/>
    <n v="0"/>
    <n v="0"/>
  </r>
  <r>
    <x v="423"/>
    <x v="9"/>
    <n v="0"/>
    <x v="2"/>
    <x v="4"/>
    <n v="219"/>
    <n v="132"/>
    <n v="0"/>
    <n v="0"/>
    <n v="0"/>
  </r>
  <r>
    <x v="424"/>
    <x v="10"/>
    <n v="0"/>
    <x v="2"/>
    <x v="4"/>
    <n v="1469"/>
    <n v="1184"/>
    <n v="0"/>
    <n v="0"/>
    <n v="0"/>
  </r>
  <r>
    <x v="425"/>
    <x v="11"/>
    <n v="0"/>
    <x v="2"/>
    <x v="4"/>
    <n v="89"/>
    <n v="59"/>
    <n v="0"/>
    <n v="0"/>
    <n v="0"/>
  </r>
  <r>
    <x v="426"/>
    <x v="12"/>
    <n v="0"/>
    <x v="2"/>
    <x v="4"/>
    <n v="310"/>
    <n v="206"/>
    <n v="0"/>
    <n v="0"/>
    <n v="0"/>
  </r>
  <r>
    <x v="427"/>
    <x v="13"/>
    <n v="0"/>
    <x v="2"/>
    <x v="4"/>
    <n v="540"/>
    <n v="397"/>
    <n v="0"/>
    <n v="0"/>
    <n v="0"/>
  </r>
  <r>
    <x v="428"/>
    <x v="14"/>
    <n v="0"/>
    <x v="2"/>
    <x v="4"/>
    <n v="360"/>
    <n v="248"/>
    <n v="0"/>
    <n v="0"/>
    <n v="0"/>
  </r>
  <r>
    <x v="429"/>
    <x v="15"/>
    <n v="0"/>
    <x v="2"/>
    <x v="4"/>
    <n v="250"/>
    <n v="190"/>
    <n v="0"/>
    <n v="0"/>
    <n v="0"/>
  </r>
  <r>
    <x v="430"/>
    <x v="16"/>
    <n v="0"/>
    <x v="2"/>
    <x v="4"/>
    <n v="120"/>
    <n v="85"/>
    <n v="0"/>
    <n v="0"/>
    <n v="0"/>
  </r>
  <r>
    <x v="431"/>
    <x v="17"/>
    <n v="0"/>
    <x v="2"/>
    <x v="4"/>
    <n v="80"/>
    <n v="55"/>
    <n v="0"/>
    <n v="0"/>
    <n v="0"/>
  </r>
  <r>
    <x v="432"/>
    <x v="0"/>
    <n v="0"/>
    <x v="3"/>
    <x v="4"/>
    <n v="549"/>
    <n v="365"/>
    <n v="0"/>
    <n v="0"/>
    <n v="0"/>
  </r>
  <r>
    <x v="433"/>
    <x v="1"/>
    <n v="0"/>
    <x v="3"/>
    <x v="4"/>
    <n v="699"/>
    <n v="550"/>
    <n v="0"/>
    <n v="0"/>
    <n v="0"/>
  </r>
  <r>
    <x v="434"/>
    <x v="2"/>
    <n v="0"/>
    <x v="3"/>
    <x v="4"/>
    <n v="739"/>
    <n v="620"/>
    <n v="0"/>
    <n v="0"/>
    <n v="0"/>
  </r>
  <r>
    <x v="435"/>
    <x v="3"/>
    <n v="0"/>
    <x v="3"/>
    <x v="4"/>
    <n v="899"/>
    <n v="714"/>
    <n v="0"/>
    <n v="0"/>
    <n v="0"/>
  </r>
  <r>
    <x v="436"/>
    <x v="4"/>
    <n v="0"/>
    <x v="3"/>
    <x v="4"/>
    <n v="1379"/>
    <n v="890"/>
    <n v="0"/>
    <n v="0"/>
    <n v="0"/>
  </r>
  <r>
    <x v="437"/>
    <x v="5"/>
    <n v="0"/>
    <x v="3"/>
    <x v="4"/>
    <n v="849"/>
    <n v="530"/>
    <n v="0"/>
    <n v="0"/>
    <n v="0"/>
  </r>
  <r>
    <x v="438"/>
    <x v="6"/>
    <n v="0"/>
    <x v="3"/>
    <x v="4"/>
    <n v="1000"/>
    <n v="768"/>
    <n v="0"/>
    <n v="0"/>
    <n v="0"/>
  </r>
  <r>
    <x v="439"/>
    <x v="7"/>
    <n v="0"/>
    <x v="3"/>
    <x v="4"/>
    <n v="680"/>
    <n v="570"/>
    <n v="0"/>
    <n v="0"/>
    <n v="0"/>
  </r>
  <r>
    <x v="440"/>
    <x v="8"/>
    <n v="0"/>
    <x v="3"/>
    <x v="4"/>
    <n v="199"/>
    <n v="140"/>
    <n v="0"/>
    <n v="0"/>
    <n v="0"/>
  </r>
  <r>
    <x v="441"/>
    <x v="9"/>
    <n v="0"/>
    <x v="3"/>
    <x v="4"/>
    <n v="219"/>
    <n v="132"/>
    <n v="0"/>
    <n v="0"/>
    <n v="0"/>
  </r>
  <r>
    <x v="442"/>
    <x v="10"/>
    <n v="0"/>
    <x v="3"/>
    <x v="4"/>
    <n v="1469"/>
    <n v="1184"/>
    <n v="0"/>
    <n v="0"/>
    <n v="0"/>
  </r>
  <r>
    <x v="443"/>
    <x v="11"/>
    <n v="0"/>
    <x v="3"/>
    <x v="4"/>
    <n v="89"/>
    <n v="59"/>
    <n v="0"/>
    <n v="0"/>
    <n v="0"/>
  </r>
  <r>
    <x v="444"/>
    <x v="12"/>
    <n v="0"/>
    <x v="3"/>
    <x v="4"/>
    <n v="310"/>
    <n v="206"/>
    <n v="0"/>
    <n v="0"/>
    <n v="0"/>
  </r>
  <r>
    <x v="445"/>
    <x v="13"/>
    <n v="0"/>
    <x v="3"/>
    <x v="4"/>
    <n v="540"/>
    <n v="397"/>
    <n v="0"/>
    <n v="0"/>
    <n v="0"/>
  </r>
  <r>
    <x v="446"/>
    <x v="14"/>
    <n v="0"/>
    <x v="3"/>
    <x v="4"/>
    <n v="360"/>
    <n v="248"/>
    <n v="0"/>
    <n v="0"/>
    <n v="0"/>
  </r>
  <r>
    <x v="447"/>
    <x v="15"/>
    <n v="0"/>
    <x v="3"/>
    <x v="4"/>
    <n v="250"/>
    <n v="190"/>
    <n v="0"/>
    <n v="0"/>
    <n v="0"/>
  </r>
  <r>
    <x v="448"/>
    <x v="16"/>
    <n v="0"/>
    <x v="3"/>
    <x v="4"/>
    <n v="120"/>
    <n v="85"/>
    <n v="0"/>
    <n v="0"/>
    <n v="0"/>
  </r>
  <r>
    <x v="449"/>
    <x v="17"/>
    <n v="0"/>
    <x v="3"/>
    <x v="4"/>
    <n v="80"/>
    <n v="55"/>
    <n v="0"/>
    <n v="0"/>
    <n v="0"/>
  </r>
  <r>
    <x v="450"/>
    <x v="0"/>
    <n v="0"/>
    <x v="4"/>
    <x v="4"/>
    <n v="549"/>
    <n v="365"/>
    <n v="0"/>
    <n v="0"/>
    <n v="0"/>
  </r>
  <r>
    <x v="451"/>
    <x v="1"/>
    <n v="1"/>
    <x v="4"/>
    <x v="4"/>
    <n v="699"/>
    <n v="550"/>
    <n v="699"/>
    <n v="550"/>
    <n v="149"/>
  </r>
  <r>
    <x v="452"/>
    <x v="2"/>
    <n v="1"/>
    <x v="4"/>
    <x v="4"/>
    <n v="739"/>
    <n v="620"/>
    <n v="739"/>
    <n v="620"/>
    <n v="119"/>
  </r>
  <r>
    <x v="453"/>
    <x v="3"/>
    <n v="0"/>
    <x v="4"/>
    <x v="4"/>
    <n v="899"/>
    <n v="714"/>
    <n v="0"/>
    <n v="0"/>
    <n v="0"/>
  </r>
  <r>
    <x v="454"/>
    <x v="4"/>
    <n v="0"/>
    <x v="4"/>
    <x v="4"/>
    <n v="1379"/>
    <n v="890"/>
    <n v="0"/>
    <n v="0"/>
    <n v="0"/>
  </r>
  <r>
    <x v="455"/>
    <x v="5"/>
    <n v="1"/>
    <x v="4"/>
    <x v="4"/>
    <n v="849"/>
    <n v="530"/>
    <n v="849"/>
    <n v="530"/>
    <n v="319"/>
  </r>
  <r>
    <x v="456"/>
    <x v="6"/>
    <n v="0"/>
    <x v="4"/>
    <x v="4"/>
    <n v="1000"/>
    <n v="768"/>
    <n v="0"/>
    <n v="0"/>
    <n v="0"/>
  </r>
  <r>
    <x v="457"/>
    <x v="7"/>
    <n v="1"/>
    <x v="4"/>
    <x v="4"/>
    <n v="680"/>
    <n v="570"/>
    <n v="680"/>
    <n v="570"/>
    <n v="110"/>
  </r>
  <r>
    <x v="458"/>
    <x v="8"/>
    <n v="0"/>
    <x v="4"/>
    <x v="4"/>
    <n v="199"/>
    <n v="140"/>
    <n v="0"/>
    <n v="0"/>
    <n v="0"/>
  </r>
  <r>
    <x v="459"/>
    <x v="9"/>
    <n v="0"/>
    <x v="4"/>
    <x v="4"/>
    <n v="219"/>
    <n v="132"/>
    <n v="0"/>
    <n v="0"/>
    <n v="0"/>
  </r>
  <r>
    <x v="460"/>
    <x v="10"/>
    <n v="0"/>
    <x v="4"/>
    <x v="4"/>
    <n v="1469"/>
    <n v="1184"/>
    <n v="0"/>
    <n v="0"/>
    <n v="0"/>
  </r>
  <r>
    <x v="461"/>
    <x v="11"/>
    <n v="0"/>
    <x v="4"/>
    <x v="4"/>
    <n v="89"/>
    <n v="59"/>
    <n v="0"/>
    <n v="0"/>
    <n v="0"/>
  </r>
  <r>
    <x v="462"/>
    <x v="12"/>
    <n v="0"/>
    <x v="4"/>
    <x v="4"/>
    <n v="310"/>
    <n v="206"/>
    <n v="0"/>
    <n v="0"/>
    <n v="0"/>
  </r>
  <r>
    <x v="463"/>
    <x v="13"/>
    <n v="0"/>
    <x v="4"/>
    <x v="4"/>
    <n v="540"/>
    <n v="397"/>
    <n v="0"/>
    <n v="0"/>
    <n v="0"/>
  </r>
  <r>
    <x v="464"/>
    <x v="14"/>
    <n v="0"/>
    <x v="4"/>
    <x v="4"/>
    <n v="360"/>
    <n v="248"/>
    <n v="0"/>
    <n v="0"/>
    <n v="0"/>
  </r>
  <r>
    <x v="465"/>
    <x v="15"/>
    <n v="0"/>
    <x v="4"/>
    <x v="4"/>
    <n v="250"/>
    <n v="190"/>
    <n v="0"/>
    <n v="0"/>
    <n v="0"/>
  </r>
  <r>
    <x v="466"/>
    <x v="16"/>
    <n v="0"/>
    <x v="4"/>
    <x v="4"/>
    <n v="120"/>
    <n v="85"/>
    <n v="0"/>
    <n v="0"/>
    <n v="0"/>
  </r>
  <r>
    <x v="467"/>
    <x v="17"/>
    <n v="0"/>
    <x v="4"/>
    <x v="4"/>
    <n v="80"/>
    <n v="55"/>
    <n v="0"/>
    <n v="0"/>
    <n v="0"/>
  </r>
  <r>
    <x v="468"/>
    <x v="0"/>
    <n v="0"/>
    <x v="5"/>
    <x v="4"/>
    <n v="549"/>
    <n v="365"/>
    <n v="0"/>
    <n v="0"/>
    <n v="0"/>
  </r>
  <r>
    <x v="469"/>
    <x v="1"/>
    <n v="1"/>
    <x v="5"/>
    <x v="4"/>
    <n v="699"/>
    <n v="550"/>
    <n v="699"/>
    <n v="550"/>
    <n v="149"/>
  </r>
  <r>
    <x v="470"/>
    <x v="2"/>
    <n v="2"/>
    <x v="5"/>
    <x v="4"/>
    <n v="739"/>
    <n v="620"/>
    <n v="1478"/>
    <n v="1240"/>
    <n v="238"/>
  </r>
  <r>
    <x v="471"/>
    <x v="3"/>
    <n v="0"/>
    <x v="5"/>
    <x v="4"/>
    <n v="899"/>
    <n v="714"/>
    <n v="0"/>
    <n v="0"/>
    <n v="0"/>
  </r>
  <r>
    <x v="472"/>
    <x v="4"/>
    <n v="0"/>
    <x v="5"/>
    <x v="4"/>
    <n v="1379"/>
    <n v="890"/>
    <n v="0"/>
    <n v="0"/>
    <n v="0"/>
  </r>
  <r>
    <x v="473"/>
    <x v="5"/>
    <n v="0"/>
    <x v="5"/>
    <x v="4"/>
    <n v="849"/>
    <n v="530"/>
    <n v="0"/>
    <n v="0"/>
    <n v="0"/>
  </r>
  <r>
    <x v="474"/>
    <x v="6"/>
    <n v="0"/>
    <x v="5"/>
    <x v="4"/>
    <n v="1000"/>
    <n v="768"/>
    <n v="0"/>
    <n v="0"/>
    <n v="0"/>
  </r>
  <r>
    <x v="475"/>
    <x v="7"/>
    <n v="0"/>
    <x v="5"/>
    <x v="4"/>
    <n v="680"/>
    <n v="570"/>
    <n v="0"/>
    <n v="0"/>
    <n v="0"/>
  </r>
  <r>
    <x v="476"/>
    <x v="8"/>
    <n v="0"/>
    <x v="5"/>
    <x v="4"/>
    <n v="199"/>
    <n v="140"/>
    <n v="0"/>
    <n v="0"/>
    <n v="0"/>
  </r>
  <r>
    <x v="477"/>
    <x v="9"/>
    <n v="0"/>
    <x v="5"/>
    <x v="4"/>
    <n v="219"/>
    <n v="132"/>
    <n v="0"/>
    <n v="0"/>
    <n v="0"/>
  </r>
  <r>
    <x v="478"/>
    <x v="10"/>
    <n v="0"/>
    <x v="5"/>
    <x v="4"/>
    <n v="1469"/>
    <n v="1184"/>
    <n v="0"/>
    <n v="0"/>
    <n v="0"/>
  </r>
  <r>
    <x v="479"/>
    <x v="11"/>
    <n v="0"/>
    <x v="5"/>
    <x v="4"/>
    <n v="89"/>
    <n v="59"/>
    <n v="0"/>
    <n v="0"/>
    <n v="0"/>
  </r>
  <r>
    <x v="480"/>
    <x v="12"/>
    <n v="0"/>
    <x v="5"/>
    <x v="4"/>
    <n v="310"/>
    <n v="206"/>
    <n v="0"/>
    <n v="0"/>
    <n v="0"/>
  </r>
  <r>
    <x v="481"/>
    <x v="13"/>
    <n v="0"/>
    <x v="5"/>
    <x v="4"/>
    <n v="540"/>
    <n v="397"/>
    <n v="0"/>
    <n v="0"/>
    <n v="0"/>
  </r>
  <r>
    <x v="482"/>
    <x v="14"/>
    <n v="0"/>
    <x v="5"/>
    <x v="4"/>
    <n v="360"/>
    <n v="248"/>
    <n v="0"/>
    <n v="0"/>
    <n v="0"/>
  </r>
  <r>
    <x v="483"/>
    <x v="15"/>
    <n v="0"/>
    <x v="5"/>
    <x v="4"/>
    <n v="250"/>
    <n v="190"/>
    <n v="0"/>
    <n v="0"/>
    <n v="0"/>
  </r>
  <r>
    <x v="484"/>
    <x v="16"/>
    <n v="0"/>
    <x v="5"/>
    <x v="4"/>
    <n v="120"/>
    <n v="85"/>
    <n v="0"/>
    <n v="0"/>
    <n v="0"/>
  </r>
  <r>
    <x v="485"/>
    <x v="17"/>
    <n v="0"/>
    <x v="5"/>
    <x v="4"/>
    <n v="80"/>
    <n v="55"/>
    <n v="0"/>
    <n v="0"/>
    <n v="0"/>
  </r>
  <r>
    <x v="486"/>
    <x v="0"/>
    <n v="1"/>
    <x v="6"/>
    <x v="4"/>
    <n v="549"/>
    <n v="365"/>
    <n v="549"/>
    <n v="365"/>
    <n v="184"/>
  </r>
  <r>
    <x v="487"/>
    <x v="1"/>
    <n v="0"/>
    <x v="6"/>
    <x v="4"/>
    <n v="699"/>
    <n v="550"/>
    <n v="0"/>
    <n v="0"/>
    <n v="0"/>
  </r>
  <r>
    <x v="488"/>
    <x v="2"/>
    <n v="0"/>
    <x v="6"/>
    <x v="4"/>
    <n v="739"/>
    <n v="620"/>
    <n v="0"/>
    <n v="0"/>
    <n v="0"/>
  </r>
  <r>
    <x v="489"/>
    <x v="3"/>
    <n v="0"/>
    <x v="6"/>
    <x v="4"/>
    <n v="899"/>
    <n v="714"/>
    <n v="0"/>
    <n v="0"/>
    <n v="0"/>
  </r>
  <r>
    <x v="490"/>
    <x v="4"/>
    <n v="0"/>
    <x v="6"/>
    <x v="4"/>
    <n v="1379"/>
    <n v="890"/>
    <n v="0"/>
    <n v="0"/>
    <n v="0"/>
  </r>
  <r>
    <x v="491"/>
    <x v="5"/>
    <n v="0"/>
    <x v="6"/>
    <x v="4"/>
    <n v="849"/>
    <n v="530"/>
    <n v="0"/>
    <n v="0"/>
    <n v="0"/>
  </r>
  <r>
    <x v="492"/>
    <x v="6"/>
    <n v="0"/>
    <x v="6"/>
    <x v="4"/>
    <n v="1000"/>
    <n v="768"/>
    <n v="0"/>
    <n v="0"/>
    <n v="0"/>
  </r>
  <r>
    <x v="493"/>
    <x v="7"/>
    <n v="0"/>
    <x v="6"/>
    <x v="4"/>
    <n v="680"/>
    <n v="570"/>
    <n v="0"/>
    <n v="0"/>
    <n v="0"/>
  </r>
  <r>
    <x v="494"/>
    <x v="8"/>
    <n v="0"/>
    <x v="6"/>
    <x v="4"/>
    <n v="199"/>
    <n v="140"/>
    <n v="0"/>
    <n v="0"/>
    <n v="0"/>
  </r>
  <r>
    <x v="495"/>
    <x v="9"/>
    <n v="0"/>
    <x v="6"/>
    <x v="4"/>
    <n v="219"/>
    <n v="132"/>
    <n v="0"/>
    <n v="0"/>
    <n v="0"/>
  </r>
  <r>
    <x v="496"/>
    <x v="10"/>
    <n v="1"/>
    <x v="6"/>
    <x v="4"/>
    <n v="1469"/>
    <n v="1184"/>
    <n v="1469"/>
    <n v="1184"/>
    <n v="285"/>
  </r>
  <r>
    <x v="497"/>
    <x v="11"/>
    <n v="0"/>
    <x v="6"/>
    <x v="4"/>
    <n v="89"/>
    <n v="59"/>
    <n v="0"/>
    <n v="0"/>
    <n v="0"/>
  </r>
  <r>
    <x v="498"/>
    <x v="12"/>
    <n v="0"/>
    <x v="6"/>
    <x v="4"/>
    <n v="310"/>
    <n v="206"/>
    <n v="0"/>
    <n v="0"/>
    <n v="0"/>
  </r>
  <r>
    <x v="499"/>
    <x v="13"/>
    <n v="0"/>
    <x v="6"/>
    <x v="4"/>
    <n v="540"/>
    <n v="397"/>
    <n v="0"/>
    <n v="0"/>
    <n v="0"/>
  </r>
  <r>
    <x v="500"/>
    <x v="14"/>
    <n v="0"/>
    <x v="6"/>
    <x v="4"/>
    <n v="360"/>
    <n v="248"/>
    <n v="0"/>
    <n v="0"/>
    <n v="0"/>
  </r>
  <r>
    <x v="501"/>
    <x v="15"/>
    <n v="0"/>
    <x v="6"/>
    <x v="4"/>
    <n v="250"/>
    <n v="190"/>
    <n v="0"/>
    <n v="0"/>
    <n v="0"/>
  </r>
  <r>
    <x v="502"/>
    <x v="16"/>
    <n v="0"/>
    <x v="6"/>
    <x v="4"/>
    <n v="120"/>
    <n v="85"/>
    <n v="0"/>
    <n v="0"/>
    <n v="0"/>
  </r>
  <r>
    <x v="503"/>
    <x v="17"/>
    <n v="0"/>
    <x v="6"/>
    <x v="4"/>
    <n v="80"/>
    <n v="55"/>
    <n v="0"/>
    <n v="0"/>
    <n v="0"/>
  </r>
  <r>
    <x v="504"/>
    <x v="0"/>
    <n v="0"/>
    <x v="0"/>
    <x v="4"/>
    <n v="549"/>
    <n v="365"/>
    <n v="0"/>
    <n v="0"/>
    <n v="0"/>
  </r>
  <r>
    <x v="505"/>
    <x v="1"/>
    <n v="1"/>
    <x v="0"/>
    <x v="4"/>
    <n v="699"/>
    <n v="550"/>
    <n v="699"/>
    <n v="550"/>
    <n v="149"/>
  </r>
  <r>
    <x v="506"/>
    <x v="2"/>
    <n v="2"/>
    <x v="0"/>
    <x v="4"/>
    <n v="739"/>
    <n v="620"/>
    <n v="1478"/>
    <n v="1240"/>
    <n v="238"/>
  </r>
  <r>
    <x v="507"/>
    <x v="3"/>
    <n v="6"/>
    <x v="0"/>
    <x v="4"/>
    <n v="899"/>
    <n v="714"/>
    <n v="5394"/>
    <n v="4284"/>
    <n v="1110"/>
  </r>
  <r>
    <x v="508"/>
    <x v="4"/>
    <n v="0"/>
    <x v="0"/>
    <x v="4"/>
    <n v="1379"/>
    <n v="890"/>
    <n v="0"/>
    <n v="0"/>
    <n v="0"/>
  </r>
  <r>
    <x v="509"/>
    <x v="5"/>
    <n v="13"/>
    <x v="0"/>
    <x v="4"/>
    <n v="849"/>
    <n v="530"/>
    <n v="11037"/>
    <n v="6890"/>
    <n v="4147"/>
  </r>
  <r>
    <x v="510"/>
    <x v="6"/>
    <n v="1"/>
    <x v="0"/>
    <x v="4"/>
    <n v="1000"/>
    <n v="768"/>
    <n v="1000"/>
    <n v="768"/>
    <n v="232"/>
  </r>
  <r>
    <x v="511"/>
    <x v="7"/>
    <n v="1"/>
    <x v="0"/>
    <x v="4"/>
    <n v="680"/>
    <n v="570"/>
    <n v="680"/>
    <n v="570"/>
    <n v="110"/>
  </r>
  <r>
    <x v="512"/>
    <x v="8"/>
    <n v="0"/>
    <x v="0"/>
    <x v="4"/>
    <n v="199"/>
    <n v="140"/>
    <n v="0"/>
    <n v="0"/>
    <n v="0"/>
  </r>
  <r>
    <x v="513"/>
    <x v="9"/>
    <n v="0"/>
    <x v="0"/>
    <x v="4"/>
    <n v="219"/>
    <n v="132"/>
    <n v="0"/>
    <n v="0"/>
    <n v="0"/>
  </r>
  <r>
    <x v="514"/>
    <x v="10"/>
    <n v="0"/>
    <x v="0"/>
    <x v="4"/>
    <n v="1469"/>
    <n v="1184"/>
    <n v="0"/>
    <n v="0"/>
    <n v="0"/>
  </r>
  <r>
    <x v="515"/>
    <x v="11"/>
    <n v="0"/>
    <x v="0"/>
    <x v="4"/>
    <n v="89"/>
    <n v="59"/>
    <n v="0"/>
    <n v="0"/>
    <n v="0"/>
  </r>
  <r>
    <x v="516"/>
    <x v="12"/>
    <n v="0"/>
    <x v="0"/>
    <x v="4"/>
    <n v="310"/>
    <n v="206"/>
    <n v="0"/>
    <n v="0"/>
    <n v="0"/>
  </r>
  <r>
    <x v="517"/>
    <x v="13"/>
    <n v="0"/>
    <x v="0"/>
    <x v="4"/>
    <n v="540"/>
    <n v="397"/>
    <n v="0"/>
    <n v="0"/>
    <n v="0"/>
  </r>
  <r>
    <x v="518"/>
    <x v="14"/>
    <n v="0"/>
    <x v="0"/>
    <x v="4"/>
    <n v="360"/>
    <n v="248"/>
    <n v="0"/>
    <n v="0"/>
    <n v="0"/>
  </r>
  <r>
    <x v="519"/>
    <x v="15"/>
    <n v="0"/>
    <x v="0"/>
    <x v="4"/>
    <n v="250"/>
    <n v="190"/>
    <n v="0"/>
    <n v="0"/>
    <n v="0"/>
  </r>
  <r>
    <x v="520"/>
    <x v="16"/>
    <n v="0"/>
    <x v="0"/>
    <x v="4"/>
    <n v="120"/>
    <n v="85"/>
    <n v="0"/>
    <n v="0"/>
    <n v="0"/>
  </r>
  <r>
    <x v="521"/>
    <x v="17"/>
    <n v="0"/>
    <x v="0"/>
    <x v="4"/>
    <n v="80"/>
    <n v="55"/>
    <n v="0"/>
    <n v="0"/>
    <n v="0"/>
  </r>
  <r>
    <x v="522"/>
    <x v="0"/>
    <n v="0"/>
    <x v="1"/>
    <x v="5"/>
    <n v="549"/>
    <n v="365"/>
    <n v="0"/>
    <n v="0"/>
    <n v="0"/>
  </r>
  <r>
    <x v="523"/>
    <x v="1"/>
    <n v="2"/>
    <x v="1"/>
    <x v="5"/>
    <n v="699"/>
    <n v="550"/>
    <n v="1398"/>
    <n v="1100"/>
    <n v="298"/>
  </r>
  <r>
    <x v="524"/>
    <x v="2"/>
    <n v="3"/>
    <x v="1"/>
    <x v="5"/>
    <n v="739"/>
    <n v="620"/>
    <n v="2217"/>
    <n v="1860"/>
    <n v="357"/>
  </r>
  <r>
    <x v="525"/>
    <x v="3"/>
    <n v="0"/>
    <x v="1"/>
    <x v="5"/>
    <n v="899"/>
    <n v="714"/>
    <n v="0"/>
    <n v="0"/>
    <n v="0"/>
  </r>
  <r>
    <x v="526"/>
    <x v="4"/>
    <n v="0"/>
    <x v="1"/>
    <x v="5"/>
    <n v="1379"/>
    <n v="890"/>
    <n v="0"/>
    <n v="0"/>
    <n v="0"/>
  </r>
  <r>
    <x v="527"/>
    <x v="5"/>
    <n v="2"/>
    <x v="1"/>
    <x v="5"/>
    <n v="849"/>
    <n v="530"/>
    <n v="1698"/>
    <n v="1060"/>
    <n v="638"/>
  </r>
  <r>
    <x v="528"/>
    <x v="6"/>
    <n v="0"/>
    <x v="1"/>
    <x v="5"/>
    <n v="1000"/>
    <n v="768"/>
    <n v="0"/>
    <n v="0"/>
    <n v="0"/>
  </r>
  <r>
    <x v="529"/>
    <x v="7"/>
    <n v="1"/>
    <x v="1"/>
    <x v="5"/>
    <n v="680"/>
    <n v="570"/>
    <n v="680"/>
    <n v="570"/>
    <n v="110"/>
  </r>
  <r>
    <x v="530"/>
    <x v="8"/>
    <n v="0"/>
    <x v="1"/>
    <x v="5"/>
    <n v="199"/>
    <n v="140"/>
    <n v="0"/>
    <n v="0"/>
    <n v="0"/>
  </r>
  <r>
    <x v="531"/>
    <x v="9"/>
    <n v="0"/>
    <x v="1"/>
    <x v="5"/>
    <n v="219"/>
    <n v="132"/>
    <n v="0"/>
    <n v="0"/>
    <n v="0"/>
  </r>
  <r>
    <x v="532"/>
    <x v="10"/>
    <n v="2"/>
    <x v="1"/>
    <x v="5"/>
    <n v="1469"/>
    <n v="1184"/>
    <n v="2938"/>
    <n v="2368"/>
    <n v="570"/>
  </r>
  <r>
    <x v="533"/>
    <x v="11"/>
    <n v="0"/>
    <x v="1"/>
    <x v="5"/>
    <n v="89"/>
    <n v="59"/>
    <n v="0"/>
    <n v="0"/>
    <n v="0"/>
  </r>
  <r>
    <x v="534"/>
    <x v="12"/>
    <n v="0"/>
    <x v="1"/>
    <x v="5"/>
    <n v="310"/>
    <n v="206"/>
    <n v="0"/>
    <n v="0"/>
    <n v="0"/>
  </r>
  <r>
    <x v="535"/>
    <x v="13"/>
    <n v="0"/>
    <x v="1"/>
    <x v="5"/>
    <n v="540"/>
    <n v="397"/>
    <n v="0"/>
    <n v="0"/>
    <n v="0"/>
  </r>
  <r>
    <x v="536"/>
    <x v="14"/>
    <n v="0"/>
    <x v="1"/>
    <x v="5"/>
    <n v="360"/>
    <n v="248"/>
    <n v="0"/>
    <n v="0"/>
    <n v="0"/>
  </r>
  <r>
    <x v="537"/>
    <x v="15"/>
    <n v="0"/>
    <x v="1"/>
    <x v="5"/>
    <n v="250"/>
    <n v="190"/>
    <n v="0"/>
    <n v="0"/>
    <n v="0"/>
  </r>
  <r>
    <x v="538"/>
    <x v="16"/>
    <n v="0"/>
    <x v="1"/>
    <x v="5"/>
    <n v="120"/>
    <n v="85"/>
    <n v="0"/>
    <n v="0"/>
    <n v="0"/>
  </r>
  <r>
    <x v="539"/>
    <x v="17"/>
    <n v="0"/>
    <x v="1"/>
    <x v="5"/>
    <n v="80"/>
    <n v="55"/>
    <n v="0"/>
    <n v="0"/>
    <n v="0"/>
  </r>
  <r>
    <x v="540"/>
    <x v="0"/>
    <n v="0"/>
    <x v="2"/>
    <x v="5"/>
    <n v="549"/>
    <n v="365"/>
    <n v="0"/>
    <n v="0"/>
    <n v="0"/>
  </r>
  <r>
    <x v="541"/>
    <x v="1"/>
    <n v="0"/>
    <x v="2"/>
    <x v="5"/>
    <n v="699"/>
    <n v="550"/>
    <n v="0"/>
    <n v="0"/>
    <n v="0"/>
  </r>
  <r>
    <x v="542"/>
    <x v="2"/>
    <n v="0"/>
    <x v="2"/>
    <x v="5"/>
    <n v="739"/>
    <n v="620"/>
    <n v="0"/>
    <n v="0"/>
    <n v="0"/>
  </r>
  <r>
    <x v="543"/>
    <x v="3"/>
    <n v="0"/>
    <x v="2"/>
    <x v="5"/>
    <n v="899"/>
    <n v="714"/>
    <n v="0"/>
    <n v="0"/>
    <n v="0"/>
  </r>
  <r>
    <x v="544"/>
    <x v="4"/>
    <n v="0"/>
    <x v="2"/>
    <x v="5"/>
    <n v="1379"/>
    <n v="890"/>
    <n v="0"/>
    <n v="0"/>
    <n v="0"/>
  </r>
  <r>
    <x v="545"/>
    <x v="5"/>
    <n v="0"/>
    <x v="2"/>
    <x v="5"/>
    <n v="849"/>
    <n v="530"/>
    <n v="0"/>
    <n v="0"/>
    <n v="0"/>
  </r>
  <r>
    <x v="546"/>
    <x v="6"/>
    <n v="0"/>
    <x v="2"/>
    <x v="5"/>
    <n v="1000"/>
    <n v="768"/>
    <n v="0"/>
    <n v="0"/>
    <n v="0"/>
  </r>
  <r>
    <x v="547"/>
    <x v="7"/>
    <n v="0"/>
    <x v="2"/>
    <x v="5"/>
    <n v="680"/>
    <n v="570"/>
    <n v="0"/>
    <n v="0"/>
    <n v="0"/>
  </r>
  <r>
    <x v="548"/>
    <x v="8"/>
    <n v="0"/>
    <x v="2"/>
    <x v="5"/>
    <n v="199"/>
    <n v="140"/>
    <n v="0"/>
    <n v="0"/>
    <n v="0"/>
  </r>
  <r>
    <x v="549"/>
    <x v="9"/>
    <n v="0"/>
    <x v="2"/>
    <x v="5"/>
    <n v="219"/>
    <n v="132"/>
    <n v="0"/>
    <n v="0"/>
    <n v="0"/>
  </r>
  <r>
    <x v="550"/>
    <x v="10"/>
    <n v="0"/>
    <x v="2"/>
    <x v="5"/>
    <n v="1469"/>
    <n v="1184"/>
    <n v="0"/>
    <n v="0"/>
    <n v="0"/>
  </r>
  <r>
    <x v="551"/>
    <x v="11"/>
    <n v="0"/>
    <x v="2"/>
    <x v="5"/>
    <n v="89"/>
    <n v="59"/>
    <n v="0"/>
    <n v="0"/>
    <n v="0"/>
  </r>
  <r>
    <x v="552"/>
    <x v="12"/>
    <n v="0"/>
    <x v="2"/>
    <x v="5"/>
    <n v="310"/>
    <n v="206"/>
    <n v="0"/>
    <n v="0"/>
    <n v="0"/>
  </r>
  <r>
    <x v="553"/>
    <x v="13"/>
    <n v="0"/>
    <x v="2"/>
    <x v="5"/>
    <n v="540"/>
    <n v="397"/>
    <n v="0"/>
    <n v="0"/>
    <n v="0"/>
  </r>
  <r>
    <x v="554"/>
    <x v="14"/>
    <n v="0"/>
    <x v="2"/>
    <x v="5"/>
    <n v="360"/>
    <n v="248"/>
    <n v="0"/>
    <n v="0"/>
    <n v="0"/>
  </r>
  <r>
    <x v="555"/>
    <x v="15"/>
    <n v="0"/>
    <x v="2"/>
    <x v="5"/>
    <n v="250"/>
    <n v="190"/>
    <n v="0"/>
    <n v="0"/>
    <n v="0"/>
  </r>
  <r>
    <x v="556"/>
    <x v="16"/>
    <n v="0"/>
    <x v="2"/>
    <x v="5"/>
    <n v="120"/>
    <n v="85"/>
    <n v="0"/>
    <n v="0"/>
    <n v="0"/>
  </r>
  <r>
    <x v="557"/>
    <x v="17"/>
    <n v="0"/>
    <x v="2"/>
    <x v="5"/>
    <n v="80"/>
    <n v="55"/>
    <n v="0"/>
    <n v="0"/>
    <n v="0"/>
  </r>
  <r>
    <x v="558"/>
    <x v="0"/>
    <n v="0"/>
    <x v="3"/>
    <x v="5"/>
    <n v="549"/>
    <n v="365"/>
    <n v="0"/>
    <n v="0"/>
    <n v="0"/>
  </r>
  <r>
    <x v="559"/>
    <x v="1"/>
    <n v="0"/>
    <x v="3"/>
    <x v="5"/>
    <n v="699"/>
    <n v="550"/>
    <n v="0"/>
    <n v="0"/>
    <n v="0"/>
  </r>
  <r>
    <x v="560"/>
    <x v="2"/>
    <n v="0"/>
    <x v="3"/>
    <x v="5"/>
    <n v="739"/>
    <n v="620"/>
    <n v="0"/>
    <n v="0"/>
    <n v="0"/>
  </r>
  <r>
    <x v="561"/>
    <x v="3"/>
    <n v="0"/>
    <x v="3"/>
    <x v="5"/>
    <n v="899"/>
    <n v="714"/>
    <n v="0"/>
    <n v="0"/>
    <n v="0"/>
  </r>
  <r>
    <x v="562"/>
    <x v="4"/>
    <n v="0"/>
    <x v="3"/>
    <x v="5"/>
    <n v="1379"/>
    <n v="890"/>
    <n v="0"/>
    <n v="0"/>
    <n v="0"/>
  </r>
  <r>
    <x v="563"/>
    <x v="5"/>
    <n v="0"/>
    <x v="3"/>
    <x v="5"/>
    <n v="849"/>
    <n v="530"/>
    <n v="0"/>
    <n v="0"/>
    <n v="0"/>
  </r>
  <r>
    <x v="564"/>
    <x v="6"/>
    <n v="0"/>
    <x v="3"/>
    <x v="5"/>
    <n v="1000"/>
    <n v="768"/>
    <n v="0"/>
    <n v="0"/>
    <n v="0"/>
  </r>
  <r>
    <x v="565"/>
    <x v="7"/>
    <n v="0"/>
    <x v="3"/>
    <x v="5"/>
    <n v="680"/>
    <n v="570"/>
    <n v="0"/>
    <n v="0"/>
    <n v="0"/>
  </r>
  <r>
    <x v="566"/>
    <x v="8"/>
    <n v="0"/>
    <x v="3"/>
    <x v="5"/>
    <n v="199"/>
    <n v="140"/>
    <n v="0"/>
    <n v="0"/>
    <n v="0"/>
  </r>
  <r>
    <x v="567"/>
    <x v="9"/>
    <n v="0"/>
    <x v="3"/>
    <x v="5"/>
    <n v="219"/>
    <n v="132"/>
    <n v="0"/>
    <n v="0"/>
    <n v="0"/>
  </r>
  <r>
    <x v="568"/>
    <x v="10"/>
    <n v="0"/>
    <x v="3"/>
    <x v="5"/>
    <n v="1469"/>
    <n v="1184"/>
    <n v="0"/>
    <n v="0"/>
    <n v="0"/>
  </r>
  <r>
    <x v="569"/>
    <x v="11"/>
    <n v="0"/>
    <x v="3"/>
    <x v="5"/>
    <n v="89"/>
    <n v="59"/>
    <n v="0"/>
    <n v="0"/>
    <n v="0"/>
  </r>
  <r>
    <x v="570"/>
    <x v="12"/>
    <n v="0"/>
    <x v="3"/>
    <x v="5"/>
    <n v="310"/>
    <n v="206"/>
    <n v="0"/>
    <n v="0"/>
    <n v="0"/>
  </r>
  <r>
    <x v="571"/>
    <x v="13"/>
    <n v="0"/>
    <x v="3"/>
    <x v="5"/>
    <n v="540"/>
    <n v="397"/>
    <n v="0"/>
    <n v="0"/>
    <n v="0"/>
  </r>
  <r>
    <x v="572"/>
    <x v="14"/>
    <n v="0"/>
    <x v="3"/>
    <x v="5"/>
    <n v="360"/>
    <n v="248"/>
    <n v="0"/>
    <n v="0"/>
    <n v="0"/>
  </r>
  <r>
    <x v="573"/>
    <x v="15"/>
    <n v="0"/>
    <x v="3"/>
    <x v="5"/>
    <n v="250"/>
    <n v="190"/>
    <n v="0"/>
    <n v="0"/>
    <n v="0"/>
  </r>
  <r>
    <x v="574"/>
    <x v="16"/>
    <n v="0"/>
    <x v="3"/>
    <x v="5"/>
    <n v="120"/>
    <n v="85"/>
    <n v="0"/>
    <n v="0"/>
    <n v="0"/>
  </r>
  <r>
    <x v="575"/>
    <x v="17"/>
    <n v="0"/>
    <x v="3"/>
    <x v="5"/>
    <n v="80"/>
    <n v="55"/>
    <n v="0"/>
    <n v="0"/>
    <n v="0"/>
  </r>
  <r>
    <x v="576"/>
    <x v="0"/>
    <n v="0"/>
    <x v="4"/>
    <x v="5"/>
    <n v="549"/>
    <n v="365"/>
    <n v="0"/>
    <n v="0"/>
    <n v="0"/>
  </r>
  <r>
    <x v="577"/>
    <x v="1"/>
    <n v="1"/>
    <x v="4"/>
    <x v="5"/>
    <n v="699"/>
    <n v="550"/>
    <n v="699"/>
    <n v="550"/>
    <n v="149"/>
  </r>
  <r>
    <x v="578"/>
    <x v="2"/>
    <n v="2"/>
    <x v="4"/>
    <x v="5"/>
    <n v="739"/>
    <n v="620"/>
    <n v="1478"/>
    <n v="1240"/>
    <n v="238"/>
  </r>
  <r>
    <x v="579"/>
    <x v="3"/>
    <n v="0"/>
    <x v="4"/>
    <x v="5"/>
    <n v="899"/>
    <n v="714"/>
    <n v="0"/>
    <n v="0"/>
    <n v="0"/>
  </r>
  <r>
    <x v="580"/>
    <x v="4"/>
    <n v="0"/>
    <x v="4"/>
    <x v="5"/>
    <n v="1379"/>
    <n v="890"/>
    <n v="0"/>
    <n v="0"/>
    <n v="0"/>
  </r>
  <r>
    <x v="581"/>
    <x v="5"/>
    <n v="2"/>
    <x v="4"/>
    <x v="5"/>
    <n v="849"/>
    <n v="530"/>
    <n v="1698"/>
    <n v="1060"/>
    <n v="638"/>
  </r>
  <r>
    <x v="582"/>
    <x v="6"/>
    <n v="0"/>
    <x v="4"/>
    <x v="5"/>
    <n v="1000"/>
    <n v="768"/>
    <n v="0"/>
    <n v="0"/>
    <n v="0"/>
  </r>
  <r>
    <x v="583"/>
    <x v="7"/>
    <n v="0"/>
    <x v="4"/>
    <x v="5"/>
    <n v="680"/>
    <n v="570"/>
    <n v="0"/>
    <n v="0"/>
    <n v="0"/>
  </r>
  <r>
    <x v="584"/>
    <x v="8"/>
    <n v="0"/>
    <x v="4"/>
    <x v="5"/>
    <n v="199"/>
    <n v="140"/>
    <n v="0"/>
    <n v="0"/>
    <n v="0"/>
  </r>
  <r>
    <x v="585"/>
    <x v="9"/>
    <n v="0"/>
    <x v="4"/>
    <x v="5"/>
    <n v="219"/>
    <n v="132"/>
    <n v="0"/>
    <n v="0"/>
    <n v="0"/>
  </r>
  <r>
    <x v="586"/>
    <x v="10"/>
    <n v="0"/>
    <x v="4"/>
    <x v="5"/>
    <n v="1469"/>
    <n v="1184"/>
    <n v="0"/>
    <n v="0"/>
    <n v="0"/>
  </r>
  <r>
    <x v="587"/>
    <x v="11"/>
    <n v="0"/>
    <x v="4"/>
    <x v="5"/>
    <n v="89"/>
    <n v="59"/>
    <n v="0"/>
    <n v="0"/>
    <n v="0"/>
  </r>
  <r>
    <x v="588"/>
    <x v="12"/>
    <n v="0"/>
    <x v="4"/>
    <x v="5"/>
    <n v="310"/>
    <n v="206"/>
    <n v="0"/>
    <n v="0"/>
    <n v="0"/>
  </r>
  <r>
    <x v="589"/>
    <x v="13"/>
    <n v="0"/>
    <x v="4"/>
    <x v="5"/>
    <n v="540"/>
    <n v="397"/>
    <n v="0"/>
    <n v="0"/>
    <n v="0"/>
  </r>
  <r>
    <x v="590"/>
    <x v="14"/>
    <n v="0"/>
    <x v="4"/>
    <x v="5"/>
    <n v="360"/>
    <n v="248"/>
    <n v="0"/>
    <n v="0"/>
    <n v="0"/>
  </r>
  <r>
    <x v="591"/>
    <x v="15"/>
    <n v="0"/>
    <x v="4"/>
    <x v="5"/>
    <n v="250"/>
    <n v="190"/>
    <n v="0"/>
    <n v="0"/>
    <n v="0"/>
  </r>
  <r>
    <x v="592"/>
    <x v="16"/>
    <n v="0"/>
    <x v="4"/>
    <x v="5"/>
    <n v="120"/>
    <n v="85"/>
    <n v="0"/>
    <n v="0"/>
    <n v="0"/>
  </r>
  <r>
    <x v="593"/>
    <x v="17"/>
    <n v="0"/>
    <x v="4"/>
    <x v="5"/>
    <n v="80"/>
    <n v="55"/>
    <n v="0"/>
    <n v="0"/>
    <n v="0"/>
  </r>
  <r>
    <x v="594"/>
    <x v="0"/>
    <n v="0"/>
    <x v="5"/>
    <x v="5"/>
    <n v="549"/>
    <n v="365"/>
    <n v="0"/>
    <n v="0"/>
    <n v="0"/>
  </r>
  <r>
    <x v="595"/>
    <x v="1"/>
    <n v="1"/>
    <x v="5"/>
    <x v="5"/>
    <n v="699"/>
    <n v="550"/>
    <n v="699"/>
    <n v="550"/>
    <n v="149"/>
  </r>
  <r>
    <x v="596"/>
    <x v="2"/>
    <n v="0"/>
    <x v="5"/>
    <x v="5"/>
    <n v="739"/>
    <n v="620"/>
    <n v="0"/>
    <n v="0"/>
    <n v="0"/>
  </r>
  <r>
    <x v="597"/>
    <x v="3"/>
    <n v="0"/>
    <x v="5"/>
    <x v="5"/>
    <n v="899"/>
    <n v="714"/>
    <n v="0"/>
    <n v="0"/>
    <n v="0"/>
  </r>
  <r>
    <x v="598"/>
    <x v="4"/>
    <n v="0"/>
    <x v="5"/>
    <x v="5"/>
    <n v="1379"/>
    <n v="890"/>
    <n v="0"/>
    <n v="0"/>
    <n v="0"/>
  </r>
  <r>
    <x v="599"/>
    <x v="5"/>
    <n v="1"/>
    <x v="5"/>
    <x v="5"/>
    <n v="849"/>
    <n v="530"/>
    <n v="849"/>
    <n v="530"/>
    <n v="319"/>
  </r>
  <r>
    <x v="600"/>
    <x v="6"/>
    <n v="0"/>
    <x v="5"/>
    <x v="5"/>
    <n v="1000"/>
    <n v="768"/>
    <n v="0"/>
    <n v="0"/>
    <n v="0"/>
  </r>
  <r>
    <x v="601"/>
    <x v="7"/>
    <n v="0"/>
    <x v="5"/>
    <x v="5"/>
    <n v="680"/>
    <n v="570"/>
    <n v="0"/>
    <n v="0"/>
    <n v="0"/>
  </r>
  <r>
    <x v="602"/>
    <x v="8"/>
    <n v="0"/>
    <x v="5"/>
    <x v="5"/>
    <n v="199"/>
    <n v="140"/>
    <n v="0"/>
    <n v="0"/>
    <n v="0"/>
  </r>
  <r>
    <x v="603"/>
    <x v="9"/>
    <n v="0"/>
    <x v="5"/>
    <x v="5"/>
    <n v="219"/>
    <n v="132"/>
    <n v="0"/>
    <n v="0"/>
    <n v="0"/>
  </r>
  <r>
    <x v="604"/>
    <x v="10"/>
    <n v="0"/>
    <x v="5"/>
    <x v="5"/>
    <n v="1469"/>
    <n v="1184"/>
    <n v="0"/>
    <n v="0"/>
    <n v="0"/>
  </r>
  <r>
    <x v="605"/>
    <x v="11"/>
    <n v="0"/>
    <x v="5"/>
    <x v="5"/>
    <n v="89"/>
    <n v="59"/>
    <n v="0"/>
    <n v="0"/>
    <n v="0"/>
  </r>
  <r>
    <x v="606"/>
    <x v="12"/>
    <n v="0"/>
    <x v="5"/>
    <x v="5"/>
    <n v="310"/>
    <n v="206"/>
    <n v="0"/>
    <n v="0"/>
    <n v="0"/>
  </r>
  <r>
    <x v="607"/>
    <x v="13"/>
    <n v="0"/>
    <x v="5"/>
    <x v="5"/>
    <n v="540"/>
    <n v="397"/>
    <n v="0"/>
    <n v="0"/>
    <n v="0"/>
  </r>
  <r>
    <x v="608"/>
    <x v="14"/>
    <n v="0"/>
    <x v="5"/>
    <x v="5"/>
    <n v="360"/>
    <n v="248"/>
    <n v="0"/>
    <n v="0"/>
    <n v="0"/>
  </r>
  <r>
    <x v="609"/>
    <x v="15"/>
    <n v="0"/>
    <x v="5"/>
    <x v="5"/>
    <n v="250"/>
    <n v="190"/>
    <n v="0"/>
    <n v="0"/>
    <n v="0"/>
  </r>
  <r>
    <x v="610"/>
    <x v="16"/>
    <n v="0"/>
    <x v="5"/>
    <x v="5"/>
    <n v="120"/>
    <n v="85"/>
    <n v="0"/>
    <n v="0"/>
    <n v="0"/>
  </r>
  <r>
    <x v="611"/>
    <x v="17"/>
    <n v="0"/>
    <x v="5"/>
    <x v="5"/>
    <n v="80"/>
    <n v="55"/>
    <n v="0"/>
    <n v="0"/>
    <n v="0"/>
  </r>
  <r>
    <x v="612"/>
    <x v="0"/>
    <n v="0"/>
    <x v="6"/>
    <x v="5"/>
    <n v="549"/>
    <n v="365"/>
    <n v="0"/>
    <n v="0"/>
    <n v="0"/>
  </r>
  <r>
    <x v="613"/>
    <x v="1"/>
    <n v="0"/>
    <x v="6"/>
    <x v="5"/>
    <n v="699"/>
    <n v="550"/>
    <n v="0"/>
    <n v="0"/>
    <n v="0"/>
  </r>
  <r>
    <x v="614"/>
    <x v="2"/>
    <n v="0"/>
    <x v="6"/>
    <x v="5"/>
    <n v="739"/>
    <n v="620"/>
    <n v="0"/>
    <n v="0"/>
    <n v="0"/>
  </r>
  <r>
    <x v="615"/>
    <x v="3"/>
    <n v="0"/>
    <x v="6"/>
    <x v="5"/>
    <n v="899"/>
    <n v="714"/>
    <n v="0"/>
    <n v="0"/>
    <n v="0"/>
  </r>
  <r>
    <x v="616"/>
    <x v="4"/>
    <n v="0"/>
    <x v="6"/>
    <x v="5"/>
    <n v="1379"/>
    <n v="890"/>
    <n v="0"/>
    <n v="0"/>
    <n v="0"/>
  </r>
  <r>
    <x v="617"/>
    <x v="5"/>
    <n v="0"/>
    <x v="6"/>
    <x v="5"/>
    <n v="849"/>
    <n v="530"/>
    <n v="0"/>
    <n v="0"/>
    <n v="0"/>
  </r>
  <r>
    <x v="618"/>
    <x v="6"/>
    <n v="0"/>
    <x v="6"/>
    <x v="5"/>
    <n v="1000"/>
    <n v="768"/>
    <n v="0"/>
    <n v="0"/>
    <n v="0"/>
  </r>
  <r>
    <x v="619"/>
    <x v="7"/>
    <n v="0"/>
    <x v="6"/>
    <x v="5"/>
    <n v="680"/>
    <n v="570"/>
    <n v="0"/>
    <n v="0"/>
    <n v="0"/>
  </r>
  <r>
    <x v="620"/>
    <x v="8"/>
    <n v="0"/>
    <x v="6"/>
    <x v="5"/>
    <n v="199"/>
    <n v="140"/>
    <n v="0"/>
    <n v="0"/>
    <n v="0"/>
  </r>
  <r>
    <x v="621"/>
    <x v="9"/>
    <n v="0"/>
    <x v="6"/>
    <x v="5"/>
    <n v="219"/>
    <n v="132"/>
    <n v="0"/>
    <n v="0"/>
    <n v="0"/>
  </r>
  <r>
    <x v="622"/>
    <x v="10"/>
    <n v="0"/>
    <x v="6"/>
    <x v="5"/>
    <n v="1469"/>
    <n v="1184"/>
    <n v="0"/>
    <n v="0"/>
    <n v="0"/>
  </r>
  <r>
    <x v="623"/>
    <x v="11"/>
    <n v="0"/>
    <x v="6"/>
    <x v="5"/>
    <n v="89"/>
    <n v="59"/>
    <n v="0"/>
    <n v="0"/>
    <n v="0"/>
  </r>
  <r>
    <x v="624"/>
    <x v="12"/>
    <n v="0"/>
    <x v="6"/>
    <x v="5"/>
    <n v="310"/>
    <n v="206"/>
    <n v="0"/>
    <n v="0"/>
    <n v="0"/>
  </r>
  <r>
    <x v="625"/>
    <x v="13"/>
    <n v="0"/>
    <x v="6"/>
    <x v="5"/>
    <n v="540"/>
    <n v="397"/>
    <n v="0"/>
    <n v="0"/>
    <n v="0"/>
  </r>
  <r>
    <x v="626"/>
    <x v="14"/>
    <n v="0"/>
    <x v="6"/>
    <x v="5"/>
    <n v="360"/>
    <n v="248"/>
    <n v="0"/>
    <n v="0"/>
    <n v="0"/>
  </r>
  <r>
    <x v="627"/>
    <x v="15"/>
    <n v="0"/>
    <x v="6"/>
    <x v="5"/>
    <n v="250"/>
    <n v="190"/>
    <n v="0"/>
    <n v="0"/>
    <n v="0"/>
  </r>
  <r>
    <x v="628"/>
    <x v="16"/>
    <n v="0"/>
    <x v="6"/>
    <x v="5"/>
    <n v="120"/>
    <n v="85"/>
    <n v="0"/>
    <n v="0"/>
    <n v="0"/>
  </r>
  <r>
    <x v="629"/>
    <x v="17"/>
    <n v="0"/>
    <x v="6"/>
    <x v="5"/>
    <n v="80"/>
    <n v="55"/>
    <n v="0"/>
    <n v="0"/>
    <n v="0"/>
  </r>
  <r>
    <x v="630"/>
    <x v="0"/>
    <n v="0"/>
    <x v="0"/>
    <x v="5"/>
    <n v="549"/>
    <n v="365"/>
    <n v="0"/>
    <n v="0"/>
    <n v="0"/>
  </r>
  <r>
    <x v="631"/>
    <x v="1"/>
    <n v="0"/>
    <x v="0"/>
    <x v="5"/>
    <n v="699"/>
    <n v="550"/>
    <n v="0"/>
    <n v="0"/>
    <n v="0"/>
  </r>
  <r>
    <x v="632"/>
    <x v="2"/>
    <n v="0"/>
    <x v="0"/>
    <x v="5"/>
    <n v="739"/>
    <n v="620"/>
    <n v="0"/>
    <n v="0"/>
    <n v="0"/>
  </r>
  <r>
    <x v="633"/>
    <x v="3"/>
    <n v="0"/>
    <x v="0"/>
    <x v="5"/>
    <n v="899"/>
    <n v="714"/>
    <n v="0"/>
    <n v="0"/>
    <n v="0"/>
  </r>
  <r>
    <x v="634"/>
    <x v="4"/>
    <n v="0"/>
    <x v="0"/>
    <x v="5"/>
    <n v="1379"/>
    <n v="890"/>
    <n v="0"/>
    <n v="0"/>
    <n v="0"/>
  </r>
  <r>
    <x v="635"/>
    <x v="5"/>
    <n v="0"/>
    <x v="0"/>
    <x v="5"/>
    <n v="849"/>
    <n v="530"/>
    <n v="0"/>
    <n v="0"/>
    <n v="0"/>
  </r>
  <r>
    <x v="636"/>
    <x v="6"/>
    <n v="0"/>
    <x v="0"/>
    <x v="5"/>
    <n v="1000"/>
    <n v="768"/>
    <n v="0"/>
    <n v="0"/>
    <n v="0"/>
  </r>
  <r>
    <x v="637"/>
    <x v="7"/>
    <n v="0"/>
    <x v="0"/>
    <x v="5"/>
    <n v="680"/>
    <n v="570"/>
    <n v="0"/>
    <n v="0"/>
    <n v="0"/>
  </r>
  <r>
    <x v="638"/>
    <x v="8"/>
    <n v="0"/>
    <x v="0"/>
    <x v="5"/>
    <n v="199"/>
    <n v="140"/>
    <n v="0"/>
    <n v="0"/>
    <n v="0"/>
  </r>
  <r>
    <x v="639"/>
    <x v="9"/>
    <n v="0"/>
    <x v="0"/>
    <x v="5"/>
    <n v="219"/>
    <n v="132"/>
    <n v="0"/>
    <n v="0"/>
    <n v="0"/>
  </r>
  <r>
    <x v="640"/>
    <x v="10"/>
    <n v="0"/>
    <x v="0"/>
    <x v="5"/>
    <n v="1469"/>
    <n v="1184"/>
    <n v="0"/>
    <n v="0"/>
    <n v="0"/>
  </r>
  <r>
    <x v="641"/>
    <x v="11"/>
    <n v="0"/>
    <x v="0"/>
    <x v="5"/>
    <n v="89"/>
    <n v="59"/>
    <n v="0"/>
    <n v="0"/>
    <n v="0"/>
  </r>
  <r>
    <x v="642"/>
    <x v="12"/>
    <n v="0"/>
    <x v="0"/>
    <x v="5"/>
    <n v="310"/>
    <n v="206"/>
    <n v="0"/>
    <n v="0"/>
    <n v="0"/>
  </r>
  <r>
    <x v="643"/>
    <x v="13"/>
    <n v="0"/>
    <x v="0"/>
    <x v="5"/>
    <n v="540"/>
    <n v="397"/>
    <n v="0"/>
    <n v="0"/>
    <n v="0"/>
  </r>
  <r>
    <x v="644"/>
    <x v="14"/>
    <n v="0"/>
    <x v="0"/>
    <x v="5"/>
    <n v="360"/>
    <n v="248"/>
    <n v="0"/>
    <n v="0"/>
    <n v="0"/>
  </r>
  <r>
    <x v="645"/>
    <x v="15"/>
    <n v="0"/>
    <x v="0"/>
    <x v="5"/>
    <n v="250"/>
    <n v="190"/>
    <n v="0"/>
    <n v="0"/>
    <n v="0"/>
  </r>
  <r>
    <x v="646"/>
    <x v="16"/>
    <n v="0"/>
    <x v="0"/>
    <x v="5"/>
    <n v="120"/>
    <n v="85"/>
    <n v="0"/>
    <n v="0"/>
    <n v="0"/>
  </r>
  <r>
    <x v="647"/>
    <x v="17"/>
    <n v="0"/>
    <x v="0"/>
    <x v="5"/>
    <n v="80"/>
    <n v="55"/>
    <n v="0"/>
    <n v="0"/>
    <n v="0"/>
  </r>
  <r>
    <x v="648"/>
    <x v="0"/>
    <n v="0"/>
    <x v="1"/>
    <x v="6"/>
    <n v="549"/>
    <n v="365"/>
    <n v="0"/>
    <n v="0"/>
    <n v="0"/>
  </r>
  <r>
    <x v="649"/>
    <x v="1"/>
    <n v="0"/>
    <x v="1"/>
    <x v="6"/>
    <n v="699"/>
    <n v="550"/>
    <n v="0"/>
    <n v="0"/>
    <n v="0"/>
  </r>
  <r>
    <x v="650"/>
    <x v="2"/>
    <n v="0"/>
    <x v="1"/>
    <x v="6"/>
    <n v="739"/>
    <n v="620"/>
    <n v="0"/>
    <n v="0"/>
    <n v="0"/>
  </r>
  <r>
    <x v="651"/>
    <x v="3"/>
    <n v="0"/>
    <x v="1"/>
    <x v="6"/>
    <n v="899"/>
    <n v="714"/>
    <n v="0"/>
    <n v="0"/>
    <n v="0"/>
  </r>
  <r>
    <x v="652"/>
    <x v="4"/>
    <n v="0"/>
    <x v="1"/>
    <x v="6"/>
    <n v="1379"/>
    <n v="890"/>
    <n v="0"/>
    <n v="0"/>
    <n v="0"/>
  </r>
  <r>
    <x v="653"/>
    <x v="5"/>
    <n v="0"/>
    <x v="1"/>
    <x v="6"/>
    <n v="849"/>
    <n v="530"/>
    <n v="0"/>
    <n v="0"/>
    <n v="0"/>
  </r>
  <r>
    <x v="654"/>
    <x v="6"/>
    <n v="0"/>
    <x v="1"/>
    <x v="6"/>
    <n v="1000"/>
    <n v="768"/>
    <n v="0"/>
    <n v="0"/>
    <n v="0"/>
  </r>
  <r>
    <x v="655"/>
    <x v="7"/>
    <n v="0"/>
    <x v="1"/>
    <x v="6"/>
    <n v="680"/>
    <n v="570"/>
    <n v="0"/>
    <n v="0"/>
    <n v="0"/>
  </r>
  <r>
    <x v="656"/>
    <x v="8"/>
    <n v="0"/>
    <x v="1"/>
    <x v="6"/>
    <n v="199"/>
    <n v="140"/>
    <n v="0"/>
    <n v="0"/>
    <n v="0"/>
  </r>
  <r>
    <x v="657"/>
    <x v="9"/>
    <n v="0"/>
    <x v="1"/>
    <x v="6"/>
    <n v="219"/>
    <n v="132"/>
    <n v="0"/>
    <n v="0"/>
    <n v="0"/>
  </r>
  <r>
    <x v="658"/>
    <x v="10"/>
    <n v="0"/>
    <x v="1"/>
    <x v="6"/>
    <n v="1469"/>
    <n v="1184"/>
    <n v="0"/>
    <n v="0"/>
    <n v="0"/>
  </r>
  <r>
    <x v="659"/>
    <x v="11"/>
    <n v="0"/>
    <x v="1"/>
    <x v="6"/>
    <n v="89"/>
    <n v="59"/>
    <n v="0"/>
    <n v="0"/>
    <n v="0"/>
  </r>
  <r>
    <x v="660"/>
    <x v="12"/>
    <n v="0"/>
    <x v="1"/>
    <x v="6"/>
    <n v="310"/>
    <n v="206"/>
    <n v="0"/>
    <n v="0"/>
    <n v="0"/>
  </r>
  <r>
    <x v="661"/>
    <x v="13"/>
    <n v="0"/>
    <x v="1"/>
    <x v="6"/>
    <n v="540"/>
    <n v="397"/>
    <n v="0"/>
    <n v="0"/>
    <n v="0"/>
  </r>
  <r>
    <x v="662"/>
    <x v="14"/>
    <n v="0"/>
    <x v="1"/>
    <x v="6"/>
    <n v="360"/>
    <n v="248"/>
    <n v="0"/>
    <n v="0"/>
    <n v="0"/>
  </r>
  <r>
    <x v="663"/>
    <x v="15"/>
    <n v="0"/>
    <x v="1"/>
    <x v="6"/>
    <n v="250"/>
    <n v="190"/>
    <n v="0"/>
    <n v="0"/>
    <n v="0"/>
  </r>
  <r>
    <x v="664"/>
    <x v="16"/>
    <n v="0"/>
    <x v="1"/>
    <x v="6"/>
    <n v="120"/>
    <n v="85"/>
    <n v="0"/>
    <n v="0"/>
    <n v="0"/>
  </r>
  <r>
    <x v="665"/>
    <x v="17"/>
    <n v="0"/>
    <x v="1"/>
    <x v="6"/>
    <n v="80"/>
    <n v="55"/>
    <n v="0"/>
    <n v="0"/>
    <n v="0"/>
  </r>
  <r>
    <x v="666"/>
    <x v="0"/>
    <n v="0"/>
    <x v="2"/>
    <x v="6"/>
    <n v="549"/>
    <n v="365"/>
    <n v="0"/>
    <n v="0"/>
    <n v="0"/>
  </r>
  <r>
    <x v="667"/>
    <x v="1"/>
    <n v="0"/>
    <x v="2"/>
    <x v="6"/>
    <n v="699"/>
    <n v="550"/>
    <n v="0"/>
    <n v="0"/>
    <n v="0"/>
  </r>
  <r>
    <x v="668"/>
    <x v="2"/>
    <n v="0"/>
    <x v="2"/>
    <x v="6"/>
    <n v="739"/>
    <n v="620"/>
    <n v="0"/>
    <n v="0"/>
    <n v="0"/>
  </r>
  <r>
    <x v="669"/>
    <x v="3"/>
    <n v="0"/>
    <x v="2"/>
    <x v="6"/>
    <n v="899"/>
    <n v="714"/>
    <n v="0"/>
    <n v="0"/>
    <n v="0"/>
  </r>
  <r>
    <x v="670"/>
    <x v="4"/>
    <n v="0"/>
    <x v="2"/>
    <x v="6"/>
    <n v="1379"/>
    <n v="890"/>
    <n v="0"/>
    <n v="0"/>
    <n v="0"/>
  </r>
  <r>
    <x v="671"/>
    <x v="5"/>
    <n v="0"/>
    <x v="2"/>
    <x v="6"/>
    <n v="849"/>
    <n v="530"/>
    <n v="0"/>
    <n v="0"/>
    <n v="0"/>
  </r>
  <r>
    <x v="672"/>
    <x v="6"/>
    <n v="0"/>
    <x v="2"/>
    <x v="6"/>
    <n v="1000"/>
    <n v="768"/>
    <n v="0"/>
    <n v="0"/>
    <n v="0"/>
  </r>
  <r>
    <x v="673"/>
    <x v="7"/>
    <n v="0"/>
    <x v="2"/>
    <x v="6"/>
    <n v="680"/>
    <n v="570"/>
    <n v="0"/>
    <n v="0"/>
    <n v="0"/>
  </r>
  <r>
    <x v="674"/>
    <x v="8"/>
    <n v="0"/>
    <x v="2"/>
    <x v="6"/>
    <n v="199"/>
    <n v="140"/>
    <n v="0"/>
    <n v="0"/>
    <n v="0"/>
  </r>
  <r>
    <x v="675"/>
    <x v="9"/>
    <n v="0"/>
    <x v="2"/>
    <x v="6"/>
    <n v="219"/>
    <n v="132"/>
    <n v="0"/>
    <n v="0"/>
    <n v="0"/>
  </r>
  <r>
    <x v="676"/>
    <x v="10"/>
    <n v="0"/>
    <x v="2"/>
    <x v="6"/>
    <n v="1469"/>
    <n v="1184"/>
    <n v="0"/>
    <n v="0"/>
    <n v="0"/>
  </r>
  <r>
    <x v="677"/>
    <x v="11"/>
    <n v="0"/>
    <x v="2"/>
    <x v="6"/>
    <n v="89"/>
    <n v="59"/>
    <n v="0"/>
    <n v="0"/>
    <n v="0"/>
  </r>
  <r>
    <x v="678"/>
    <x v="12"/>
    <n v="0"/>
    <x v="2"/>
    <x v="6"/>
    <n v="310"/>
    <n v="206"/>
    <n v="0"/>
    <n v="0"/>
    <n v="0"/>
  </r>
  <r>
    <x v="679"/>
    <x v="13"/>
    <n v="0"/>
    <x v="2"/>
    <x v="6"/>
    <n v="540"/>
    <n v="397"/>
    <n v="0"/>
    <n v="0"/>
    <n v="0"/>
  </r>
  <r>
    <x v="680"/>
    <x v="14"/>
    <n v="0"/>
    <x v="2"/>
    <x v="6"/>
    <n v="360"/>
    <n v="248"/>
    <n v="0"/>
    <n v="0"/>
    <n v="0"/>
  </r>
  <r>
    <x v="681"/>
    <x v="15"/>
    <n v="0"/>
    <x v="2"/>
    <x v="6"/>
    <n v="250"/>
    <n v="190"/>
    <n v="0"/>
    <n v="0"/>
    <n v="0"/>
  </r>
  <r>
    <x v="682"/>
    <x v="16"/>
    <n v="0"/>
    <x v="2"/>
    <x v="6"/>
    <n v="120"/>
    <n v="85"/>
    <n v="0"/>
    <n v="0"/>
    <n v="0"/>
  </r>
  <r>
    <x v="683"/>
    <x v="17"/>
    <n v="0"/>
    <x v="2"/>
    <x v="6"/>
    <n v="80"/>
    <n v="55"/>
    <n v="0"/>
    <n v="0"/>
    <n v="0"/>
  </r>
  <r>
    <x v="684"/>
    <x v="0"/>
    <n v="0"/>
    <x v="3"/>
    <x v="6"/>
    <n v="549"/>
    <n v="365"/>
    <n v="0"/>
    <n v="0"/>
    <n v="0"/>
  </r>
  <r>
    <x v="685"/>
    <x v="1"/>
    <n v="0"/>
    <x v="3"/>
    <x v="6"/>
    <n v="699"/>
    <n v="550"/>
    <n v="0"/>
    <n v="0"/>
    <n v="0"/>
  </r>
  <r>
    <x v="686"/>
    <x v="2"/>
    <n v="0"/>
    <x v="3"/>
    <x v="6"/>
    <n v="739"/>
    <n v="620"/>
    <n v="0"/>
    <n v="0"/>
    <n v="0"/>
  </r>
  <r>
    <x v="687"/>
    <x v="3"/>
    <n v="0"/>
    <x v="3"/>
    <x v="6"/>
    <n v="899"/>
    <n v="714"/>
    <n v="0"/>
    <n v="0"/>
    <n v="0"/>
  </r>
  <r>
    <x v="688"/>
    <x v="4"/>
    <n v="0"/>
    <x v="3"/>
    <x v="6"/>
    <n v="1379"/>
    <n v="890"/>
    <n v="0"/>
    <n v="0"/>
    <n v="0"/>
  </r>
  <r>
    <x v="689"/>
    <x v="5"/>
    <n v="0"/>
    <x v="3"/>
    <x v="6"/>
    <n v="849"/>
    <n v="530"/>
    <n v="0"/>
    <n v="0"/>
    <n v="0"/>
  </r>
  <r>
    <x v="690"/>
    <x v="6"/>
    <n v="0"/>
    <x v="3"/>
    <x v="6"/>
    <n v="1000"/>
    <n v="768"/>
    <n v="0"/>
    <n v="0"/>
    <n v="0"/>
  </r>
  <r>
    <x v="691"/>
    <x v="7"/>
    <n v="0"/>
    <x v="3"/>
    <x v="6"/>
    <n v="680"/>
    <n v="570"/>
    <n v="0"/>
    <n v="0"/>
    <n v="0"/>
  </r>
  <r>
    <x v="692"/>
    <x v="8"/>
    <n v="0"/>
    <x v="3"/>
    <x v="6"/>
    <n v="199"/>
    <n v="140"/>
    <n v="0"/>
    <n v="0"/>
    <n v="0"/>
  </r>
  <r>
    <x v="693"/>
    <x v="9"/>
    <n v="0"/>
    <x v="3"/>
    <x v="6"/>
    <n v="219"/>
    <n v="132"/>
    <n v="0"/>
    <n v="0"/>
    <n v="0"/>
  </r>
  <r>
    <x v="694"/>
    <x v="10"/>
    <n v="0"/>
    <x v="3"/>
    <x v="6"/>
    <n v="1469"/>
    <n v="1184"/>
    <n v="0"/>
    <n v="0"/>
    <n v="0"/>
  </r>
  <r>
    <x v="695"/>
    <x v="11"/>
    <n v="0"/>
    <x v="3"/>
    <x v="6"/>
    <n v="89"/>
    <n v="59"/>
    <n v="0"/>
    <n v="0"/>
    <n v="0"/>
  </r>
  <r>
    <x v="696"/>
    <x v="12"/>
    <n v="0"/>
    <x v="3"/>
    <x v="6"/>
    <n v="310"/>
    <n v="206"/>
    <n v="0"/>
    <n v="0"/>
    <n v="0"/>
  </r>
  <r>
    <x v="697"/>
    <x v="13"/>
    <n v="0"/>
    <x v="3"/>
    <x v="6"/>
    <n v="540"/>
    <n v="397"/>
    <n v="0"/>
    <n v="0"/>
    <n v="0"/>
  </r>
  <r>
    <x v="698"/>
    <x v="14"/>
    <n v="0"/>
    <x v="3"/>
    <x v="6"/>
    <n v="360"/>
    <n v="248"/>
    <n v="0"/>
    <n v="0"/>
    <n v="0"/>
  </r>
  <r>
    <x v="699"/>
    <x v="15"/>
    <n v="0"/>
    <x v="3"/>
    <x v="6"/>
    <n v="250"/>
    <n v="190"/>
    <n v="0"/>
    <n v="0"/>
    <n v="0"/>
  </r>
  <r>
    <x v="700"/>
    <x v="16"/>
    <n v="0"/>
    <x v="3"/>
    <x v="6"/>
    <n v="120"/>
    <n v="85"/>
    <n v="0"/>
    <n v="0"/>
    <n v="0"/>
  </r>
  <r>
    <x v="701"/>
    <x v="17"/>
    <n v="0"/>
    <x v="3"/>
    <x v="6"/>
    <n v="80"/>
    <n v="55"/>
    <n v="0"/>
    <n v="0"/>
    <n v="0"/>
  </r>
  <r>
    <x v="702"/>
    <x v="0"/>
    <n v="0"/>
    <x v="4"/>
    <x v="6"/>
    <n v="549"/>
    <n v="365"/>
    <n v="0"/>
    <n v="0"/>
    <n v="0"/>
  </r>
  <r>
    <x v="703"/>
    <x v="1"/>
    <n v="0"/>
    <x v="4"/>
    <x v="6"/>
    <n v="699"/>
    <n v="550"/>
    <n v="0"/>
    <n v="0"/>
    <n v="0"/>
  </r>
  <r>
    <x v="704"/>
    <x v="2"/>
    <n v="0"/>
    <x v="4"/>
    <x v="6"/>
    <n v="739"/>
    <n v="620"/>
    <n v="0"/>
    <n v="0"/>
    <n v="0"/>
  </r>
  <r>
    <x v="705"/>
    <x v="3"/>
    <n v="0"/>
    <x v="4"/>
    <x v="6"/>
    <n v="899"/>
    <n v="714"/>
    <n v="0"/>
    <n v="0"/>
    <n v="0"/>
  </r>
  <r>
    <x v="706"/>
    <x v="4"/>
    <n v="0"/>
    <x v="4"/>
    <x v="6"/>
    <n v="1379"/>
    <n v="890"/>
    <n v="0"/>
    <n v="0"/>
    <n v="0"/>
  </r>
  <r>
    <x v="707"/>
    <x v="5"/>
    <n v="0"/>
    <x v="4"/>
    <x v="6"/>
    <n v="849"/>
    <n v="530"/>
    <n v="0"/>
    <n v="0"/>
    <n v="0"/>
  </r>
  <r>
    <x v="708"/>
    <x v="6"/>
    <n v="0"/>
    <x v="4"/>
    <x v="6"/>
    <n v="1000"/>
    <n v="768"/>
    <n v="0"/>
    <n v="0"/>
    <n v="0"/>
  </r>
  <r>
    <x v="709"/>
    <x v="7"/>
    <n v="0"/>
    <x v="4"/>
    <x v="6"/>
    <n v="680"/>
    <n v="570"/>
    <n v="0"/>
    <n v="0"/>
    <n v="0"/>
  </r>
  <r>
    <x v="710"/>
    <x v="8"/>
    <n v="0"/>
    <x v="4"/>
    <x v="6"/>
    <n v="199"/>
    <n v="140"/>
    <n v="0"/>
    <n v="0"/>
    <n v="0"/>
  </r>
  <r>
    <x v="711"/>
    <x v="9"/>
    <n v="0"/>
    <x v="4"/>
    <x v="6"/>
    <n v="219"/>
    <n v="132"/>
    <n v="0"/>
    <n v="0"/>
    <n v="0"/>
  </r>
  <r>
    <x v="712"/>
    <x v="10"/>
    <n v="0"/>
    <x v="4"/>
    <x v="6"/>
    <n v="1469"/>
    <n v="1184"/>
    <n v="0"/>
    <n v="0"/>
    <n v="0"/>
  </r>
  <r>
    <x v="713"/>
    <x v="11"/>
    <n v="0"/>
    <x v="4"/>
    <x v="6"/>
    <n v="89"/>
    <n v="59"/>
    <n v="0"/>
    <n v="0"/>
    <n v="0"/>
  </r>
  <r>
    <x v="714"/>
    <x v="12"/>
    <n v="0"/>
    <x v="4"/>
    <x v="6"/>
    <n v="310"/>
    <n v="206"/>
    <n v="0"/>
    <n v="0"/>
    <n v="0"/>
  </r>
  <r>
    <x v="715"/>
    <x v="13"/>
    <n v="0"/>
    <x v="4"/>
    <x v="6"/>
    <n v="540"/>
    <n v="397"/>
    <n v="0"/>
    <n v="0"/>
    <n v="0"/>
  </r>
  <r>
    <x v="716"/>
    <x v="14"/>
    <n v="0"/>
    <x v="4"/>
    <x v="6"/>
    <n v="360"/>
    <n v="248"/>
    <n v="0"/>
    <n v="0"/>
    <n v="0"/>
  </r>
  <r>
    <x v="717"/>
    <x v="15"/>
    <n v="0"/>
    <x v="4"/>
    <x v="6"/>
    <n v="250"/>
    <n v="190"/>
    <n v="0"/>
    <n v="0"/>
    <n v="0"/>
  </r>
  <r>
    <x v="718"/>
    <x v="16"/>
    <n v="0"/>
    <x v="4"/>
    <x v="6"/>
    <n v="120"/>
    <n v="85"/>
    <n v="0"/>
    <n v="0"/>
    <n v="0"/>
  </r>
  <r>
    <x v="719"/>
    <x v="17"/>
    <n v="0"/>
    <x v="4"/>
    <x v="6"/>
    <n v="80"/>
    <n v="55"/>
    <n v="0"/>
    <n v="0"/>
    <n v="0"/>
  </r>
  <r>
    <x v="720"/>
    <x v="0"/>
    <n v="0"/>
    <x v="5"/>
    <x v="6"/>
    <n v="549"/>
    <n v="365"/>
    <n v="0"/>
    <n v="0"/>
    <n v="0"/>
  </r>
  <r>
    <x v="721"/>
    <x v="1"/>
    <n v="0"/>
    <x v="5"/>
    <x v="6"/>
    <n v="699"/>
    <n v="550"/>
    <n v="0"/>
    <n v="0"/>
    <n v="0"/>
  </r>
  <r>
    <x v="722"/>
    <x v="2"/>
    <n v="0"/>
    <x v="5"/>
    <x v="6"/>
    <n v="739"/>
    <n v="620"/>
    <n v="0"/>
    <n v="0"/>
    <n v="0"/>
  </r>
  <r>
    <x v="723"/>
    <x v="3"/>
    <n v="0"/>
    <x v="5"/>
    <x v="6"/>
    <n v="899"/>
    <n v="714"/>
    <n v="0"/>
    <n v="0"/>
    <n v="0"/>
  </r>
  <r>
    <x v="724"/>
    <x v="4"/>
    <n v="0"/>
    <x v="5"/>
    <x v="6"/>
    <n v="1379"/>
    <n v="890"/>
    <n v="0"/>
    <n v="0"/>
    <n v="0"/>
  </r>
  <r>
    <x v="725"/>
    <x v="5"/>
    <n v="0"/>
    <x v="5"/>
    <x v="6"/>
    <n v="849"/>
    <n v="530"/>
    <n v="0"/>
    <n v="0"/>
    <n v="0"/>
  </r>
  <r>
    <x v="726"/>
    <x v="6"/>
    <n v="0"/>
    <x v="5"/>
    <x v="6"/>
    <n v="1000"/>
    <n v="768"/>
    <n v="0"/>
    <n v="0"/>
    <n v="0"/>
  </r>
  <r>
    <x v="727"/>
    <x v="7"/>
    <n v="0"/>
    <x v="5"/>
    <x v="6"/>
    <n v="680"/>
    <n v="570"/>
    <n v="0"/>
    <n v="0"/>
    <n v="0"/>
  </r>
  <r>
    <x v="728"/>
    <x v="8"/>
    <n v="0"/>
    <x v="5"/>
    <x v="6"/>
    <n v="199"/>
    <n v="140"/>
    <n v="0"/>
    <n v="0"/>
    <n v="0"/>
  </r>
  <r>
    <x v="729"/>
    <x v="9"/>
    <n v="0"/>
    <x v="5"/>
    <x v="6"/>
    <n v="219"/>
    <n v="132"/>
    <n v="0"/>
    <n v="0"/>
    <n v="0"/>
  </r>
  <r>
    <x v="730"/>
    <x v="10"/>
    <n v="0"/>
    <x v="5"/>
    <x v="6"/>
    <n v="1469"/>
    <n v="1184"/>
    <n v="0"/>
    <n v="0"/>
    <n v="0"/>
  </r>
  <r>
    <x v="731"/>
    <x v="11"/>
    <n v="0"/>
    <x v="5"/>
    <x v="6"/>
    <n v="89"/>
    <n v="59"/>
    <n v="0"/>
    <n v="0"/>
    <n v="0"/>
  </r>
  <r>
    <x v="732"/>
    <x v="12"/>
    <n v="0"/>
    <x v="5"/>
    <x v="6"/>
    <n v="310"/>
    <n v="206"/>
    <n v="0"/>
    <n v="0"/>
    <n v="0"/>
  </r>
  <r>
    <x v="733"/>
    <x v="13"/>
    <n v="0"/>
    <x v="5"/>
    <x v="6"/>
    <n v="540"/>
    <n v="397"/>
    <n v="0"/>
    <n v="0"/>
    <n v="0"/>
  </r>
  <r>
    <x v="734"/>
    <x v="14"/>
    <n v="0"/>
    <x v="5"/>
    <x v="6"/>
    <n v="360"/>
    <n v="248"/>
    <n v="0"/>
    <n v="0"/>
    <n v="0"/>
  </r>
  <r>
    <x v="735"/>
    <x v="15"/>
    <n v="0"/>
    <x v="5"/>
    <x v="6"/>
    <n v="250"/>
    <n v="190"/>
    <n v="0"/>
    <n v="0"/>
    <n v="0"/>
  </r>
  <r>
    <x v="736"/>
    <x v="16"/>
    <n v="0"/>
    <x v="5"/>
    <x v="6"/>
    <n v="120"/>
    <n v="85"/>
    <n v="0"/>
    <n v="0"/>
    <n v="0"/>
  </r>
  <r>
    <x v="737"/>
    <x v="17"/>
    <n v="0"/>
    <x v="5"/>
    <x v="6"/>
    <n v="80"/>
    <n v="55"/>
    <n v="0"/>
    <n v="0"/>
    <n v="0"/>
  </r>
  <r>
    <x v="738"/>
    <x v="0"/>
    <n v="0"/>
    <x v="6"/>
    <x v="6"/>
    <n v="549"/>
    <n v="365"/>
    <n v="0"/>
    <n v="0"/>
    <n v="0"/>
  </r>
  <r>
    <x v="739"/>
    <x v="1"/>
    <n v="0"/>
    <x v="6"/>
    <x v="6"/>
    <n v="699"/>
    <n v="550"/>
    <n v="0"/>
    <n v="0"/>
    <n v="0"/>
  </r>
  <r>
    <x v="740"/>
    <x v="2"/>
    <n v="0"/>
    <x v="6"/>
    <x v="6"/>
    <n v="739"/>
    <n v="620"/>
    <n v="0"/>
    <n v="0"/>
    <n v="0"/>
  </r>
  <r>
    <x v="741"/>
    <x v="3"/>
    <n v="0"/>
    <x v="6"/>
    <x v="6"/>
    <n v="899"/>
    <n v="714"/>
    <n v="0"/>
    <n v="0"/>
    <n v="0"/>
  </r>
  <r>
    <x v="742"/>
    <x v="4"/>
    <n v="0"/>
    <x v="6"/>
    <x v="6"/>
    <n v="1379"/>
    <n v="890"/>
    <n v="0"/>
    <n v="0"/>
    <n v="0"/>
  </r>
  <r>
    <x v="743"/>
    <x v="5"/>
    <n v="0"/>
    <x v="6"/>
    <x v="6"/>
    <n v="849"/>
    <n v="530"/>
    <n v="0"/>
    <n v="0"/>
    <n v="0"/>
  </r>
  <r>
    <x v="744"/>
    <x v="6"/>
    <n v="0"/>
    <x v="6"/>
    <x v="6"/>
    <n v="1000"/>
    <n v="768"/>
    <n v="0"/>
    <n v="0"/>
    <n v="0"/>
  </r>
  <r>
    <x v="745"/>
    <x v="7"/>
    <n v="0"/>
    <x v="6"/>
    <x v="6"/>
    <n v="680"/>
    <n v="570"/>
    <n v="0"/>
    <n v="0"/>
    <n v="0"/>
  </r>
  <r>
    <x v="746"/>
    <x v="8"/>
    <n v="0"/>
    <x v="6"/>
    <x v="6"/>
    <n v="199"/>
    <n v="140"/>
    <n v="0"/>
    <n v="0"/>
    <n v="0"/>
  </r>
  <r>
    <x v="747"/>
    <x v="9"/>
    <n v="0"/>
    <x v="6"/>
    <x v="6"/>
    <n v="219"/>
    <n v="132"/>
    <n v="0"/>
    <n v="0"/>
    <n v="0"/>
  </r>
  <r>
    <x v="748"/>
    <x v="10"/>
    <n v="0"/>
    <x v="6"/>
    <x v="6"/>
    <n v="1469"/>
    <n v="1184"/>
    <n v="0"/>
    <n v="0"/>
    <n v="0"/>
  </r>
  <r>
    <x v="749"/>
    <x v="11"/>
    <n v="0"/>
    <x v="6"/>
    <x v="6"/>
    <n v="89"/>
    <n v="59"/>
    <n v="0"/>
    <n v="0"/>
    <n v="0"/>
  </r>
  <r>
    <x v="750"/>
    <x v="12"/>
    <n v="0"/>
    <x v="6"/>
    <x v="6"/>
    <n v="310"/>
    <n v="206"/>
    <n v="0"/>
    <n v="0"/>
    <n v="0"/>
  </r>
  <r>
    <x v="751"/>
    <x v="13"/>
    <n v="0"/>
    <x v="6"/>
    <x v="6"/>
    <n v="540"/>
    <n v="397"/>
    <n v="0"/>
    <n v="0"/>
    <n v="0"/>
  </r>
  <r>
    <x v="752"/>
    <x v="14"/>
    <n v="0"/>
    <x v="6"/>
    <x v="6"/>
    <n v="360"/>
    <n v="248"/>
    <n v="0"/>
    <n v="0"/>
    <n v="0"/>
  </r>
  <r>
    <x v="753"/>
    <x v="15"/>
    <n v="0"/>
    <x v="6"/>
    <x v="6"/>
    <n v="250"/>
    <n v="190"/>
    <n v="0"/>
    <n v="0"/>
    <n v="0"/>
  </r>
  <r>
    <x v="754"/>
    <x v="16"/>
    <n v="0"/>
    <x v="6"/>
    <x v="6"/>
    <n v="120"/>
    <n v="85"/>
    <n v="0"/>
    <n v="0"/>
    <n v="0"/>
  </r>
  <r>
    <x v="755"/>
    <x v="17"/>
    <n v="0"/>
    <x v="6"/>
    <x v="6"/>
    <n v="80"/>
    <n v="55"/>
    <n v="0"/>
    <n v="0"/>
    <n v="0"/>
  </r>
  <r>
    <x v="756"/>
    <x v="0"/>
    <n v="0"/>
    <x v="0"/>
    <x v="6"/>
    <n v="549"/>
    <n v="365"/>
    <n v="0"/>
    <n v="0"/>
    <n v="0"/>
  </r>
  <r>
    <x v="757"/>
    <x v="1"/>
    <n v="1"/>
    <x v="0"/>
    <x v="6"/>
    <n v="699"/>
    <n v="550"/>
    <n v="699"/>
    <n v="550"/>
    <n v="149"/>
  </r>
  <r>
    <x v="758"/>
    <x v="2"/>
    <n v="2"/>
    <x v="0"/>
    <x v="6"/>
    <n v="739"/>
    <n v="620"/>
    <n v="1478"/>
    <n v="1240"/>
    <n v="238"/>
  </r>
  <r>
    <x v="759"/>
    <x v="3"/>
    <n v="1"/>
    <x v="0"/>
    <x v="6"/>
    <n v="899"/>
    <n v="714"/>
    <n v="899"/>
    <n v="714"/>
    <n v="185"/>
  </r>
  <r>
    <x v="760"/>
    <x v="4"/>
    <n v="0"/>
    <x v="0"/>
    <x v="6"/>
    <n v="1379"/>
    <n v="890"/>
    <n v="0"/>
    <n v="0"/>
    <n v="0"/>
  </r>
  <r>
    <x v="761"/>
    <x v="5"/>
    <n v="1"/>
    <x v="0"/>
    <x v="6"/>
    <n v="849"/>
    <n v="530"/>
    <n v="849"/>
    <n v="530"/>
    <n v="319"/>
  </r>
  <r>
    <x v="762"/>
    <x v="6"/>
    <n v="1"/>
    <x v="0"/>
    <x v="6"/>
    <n v="1000"/>
    <n v="768"/>
    <n v="1000"/>
    <n v="768"/>
    <n v="232"/>
  </r>
  <r>
    <x v="763"/>
    <x v="7"/>
    <n v="1"/>
    <x v="0"/>
    <x v="6"/>
    <n v="680"/>
    <n v="570"/>
    <n v="680"/>
    <n v="570"/>
    <n v="110"/>
  </r>
  <r>
    <x v="764"/>
    <x v="8"/>
    <n v="0"/>
    <x v="0"/>
    <x v="6"/>
    <n v="199"/>
    <n v="140"/>
    <n v="0"/>
    <n v="0"/>
    <n v="0"/>
  </r>
  <r>
    <x v="765"/>
    <x v="9"/>
    <n v="0"/>
    <x v="0"/>
    <x v="6"/>
    <n v="219"/>
    <n v="132"/>
    <n v="0"/>
    <n v="0"/>
    <n v="0"/>
  </r>
  <r>
    <x v="766"/>
    <x v="10"/>
    <n v="0"/>
    <x v="0"/>
    <x v="6"/>
    <n v="1469"/>
    <n v="1184"/>
    <n v="0"/>
    <n v="0"/>
    <n v="0"/>
  </r>
  <r>
    <x v="767"/>
    <x v="11"/>
    <n v="0"/>
    <x v="0"/>
    <x v="6"/>
    <n v="89"/>
    <n v="59"/>
    <n v="0"/>
    <n v="0"/>
    <n v="0"/>
  </r>
  <r>
    <x v="768"/>
    <x v="12"/>
    <n v="0"/>
    <x v="0"/>
    <x v="6"/>
    <n v="310"/>
    <n v="206"/>
    <n v="0"/>
    <n v="0"/>
    <n v="0"/>
  </r>
  <r>
    <x v="769"/>
    <x v="13"/>
    <n v="0"/>
    <x v="0"/>
    <x v="6"/>
    <n v="540"/>
    <n v="397"/>
    <n v="0"/>
    <n v="0"/>
    <n v="0"/>
  </r>
  <r>
    <x v="770"/>
    <x v="14"/>
    <n v="0"/>
    <x v="0"/>
    <x v="6"/>
    <n v="360"/>
    <n v="248"/>
    <n v="0"/>
    <n v="0"/>
    <n v="0"/>
  </r>
  <r>
    <x v="771"/>
    <x v="15"/>
    <n v="0"/>
    <x v="0"/>
    <x v="6"/>
    <n v="250"/>
    <n v="190"/>
    <n v="0"/>
    <n v="0"/>
    <n v="0"/>
  </r>
  <r>
    <x v="772"/>
    <x v="16"/>
    <n v="0"/>
    <x v="0"/>
    <x v="6"/>
    <n v="120"/>
    <n v="85"/>
    <n v="0"/>
    <n v="0"/>
    <n v="0"/>
  </r>
  <r>
    <x v="773"/>
    <x v="17"/>
    <n v="0"/>
    <x v="0"/>
    <x v="6"/>
    <n v="80"/>
    <n v="55"/>
    <n v="0"/>
    <n v="0"/>
    <n v="0"/>
  </r>
  <r>
    <x v="774"/>
    <x v="0"/>
    <n v="0"/>
    <x v="1"/>
    <x v="7"/>
    <n v="549"/>
    <n v="365"/>
    <n v="0"/>
    <n v="0"/>
    <n v="0"/>
  </r>
  <r>
    <x v="775"/>
    <x v="1"/>
    <n v="0"/>
    <x v="1"/>
    <x v="7"/>
    <n v="699"/>
    <n v="550"/>
    <n v="0"/>
    <n v="0"/>
    <n v="0"/>
  </r>
  <r>
    <x v="776"/>
    <x v="2"/>
    <n v="0"/>
    <x v="1"/>
    <x v="7"/>
    <n v="739"/>
    <n v="620"/>
    <n v="0"/>
    <n v="0"/>
    <n v="0"/>
  </r>
  <r>
    <x v="777"/>
    <x v="3"/>
    <n v="0"/>
    <x v="1"/>
    <x v="7"/>
    <n v="899"/>
    <n v="714"/>
    <n v="0"/>
    <n v="0"/>
    <n v="0"/>
  </r>
  <r>
    <x v="778"/>
    <x v="4"/>
    <n v="0"/>
    <x v="1"/>
    <x v="7"/>
    <n v="1379"/>
    <n v="890"/>
    <n v="0"/>
    <n v="0"/>
    <n v="0"/>
  </r>
  <r>
    <x v="779"/>
    <x v="5"/>
    <n v="0"/>
    <x v="1"/>
    <x v="7"/>
    <n v="849"/>
    <n v="530"/>
    <n v="0"/>
    <n v="0"/>
    <n v="0"/>
  </r>
  <r>
    <x v="780"/>
    <x v="6"/>
    <n v="0"/>
    <x v="1"/>
    <x v="7"/>
    <n v="1000"/>
    <n v="768"/>
    <n v="0"/>
    <n v="0"/>
    <n v="0"/>
  </r>
  <r>
    <x v="781"/>
    <x v="7"/>
    <n v="0"/>
    <x v="1"/>
    <x v="7"/>
    <n v="680"/>
    <n v="570"/>
    <n v="0"/>
    <n v="0"/>
    <n v="0"/>
  </r>
  <r>
    <x v="782"/>
    <x v="8"/>
    <n v="0"/>
    <x v="1"/>
    <x v="7"/>
    <n v="199"/>
    <n v="140"/>
    <n v="0"/>
    <n v="0"/>
    <n v="0"/>
  </r>
  <r>
    <x v="783"/>
    <x v="9"/>
    <n v="0"/>
    <x v="1"/>
    <x v="7"/>
    <n v="219"/>
    <n v="132"/>
    <n v="0"/>
    <n v="0"/>
    <n v="0"/>
  </r>
  <r>
    <x v="784"/>
    <x v="10"/>
    <n v="0"/>
    <x v="1"/>
    <x v="7"/>
    <n v="1469"/>
    <n v="1184"/>
    <n v="0"/>
    <n v="0"/>
    <n v="0"/>
  </r>
  <r>
    <x v="785"/>
    <x v="11"/>
    <n v="0"/>
    <x v="1"/>
    <x v="7"/>
    <n v="89"/>
    <n v="59"/>
    <n v="0"/>
    <n v="0"/>
    <n v="0"/>
  </r>
  <r>
    <x v="786"/>
    <x v="12"/>
    <n v="0"/>
    <x v="1"/>
    <x v="7"/>
    <n v="310"/>
    <n v="206"/>
    <n v="0"/>
    <n v="0"/>
    <n v="0"/>
  </r>
  <r>
    <x v="787"/>
    <x v="13"/>
    <n v="0"/>
    <x v="1"/>
    <x v="7"/>
    <n v="540"/>
    <n v="397"/>
    <n v="0"/>
    <n v="0"/>
    <n v="0"/>
  </r>
  <r>
    <x v="788"/>
    <x v="14"/>
    <n v="0"/>
    <x v="1"/>
    <x v="7"/>
    <n v="360"/>
    <n v="248"/>
    <n v="0"/>
    <n v="0"/>
    <n v="0"/>
  </r>
  <r>
    <x v="789"/>
    <x v="15"/>
    <n v="0"/>
    <x v="1"/>
    <x v="7"/>
    <n v="250"/>
    <n v="190"/>
    <n v="0"/>
    <n v="0"/>
    <n v="0"/>
  </r>
  <r>
    <x v="790"/>
    <x v="16"/>
    <n v="0"/>
    <x v="1"/>
    <x v="7"/>
    <n v="120"/>
    <n v="85"/>
    <n v="0"/>
    <n v="0"/>
    <n v="0"/>
  </r>
  <r>
    <x v="791"/>
    <x v="17"/>
    <n v="0"/>
    <x v="1"/>
    <x v="7"/>
    <n v="80"/>
    <n v="55"/>
    <n v="0"/>
    <n v="0"/>
    <n v="0"/>
  </r>
  <r>
    <x v="792"/>
    <x v="0"/>
    <n v="0"/>
    <x v="2"/>
    <x v="7"/>
    <n v="549"/>
    <n v="365"/>
    <n v="0"/>
    <n v="0"/>
    <n v="0"/>
  </r>
  <r>
    <x v="793"/>
    <x v="1"/>
    <n v="0"/>
    <x v="2"/>
    <x v="7"/>
    <n v="699"/>
    <n v="550"/>
    <n v="0"/>
    <n v="0"/>
    <n v="0"/>
  </r>
  <r>
    <x v="794"/>
    <x v="2"/>
    <n v="0"/>
    <x v="2"/>
    <x v="7"/>
    <n v="739"/>
    <n v="620"/>
    <n v="0"/>
    <n v="0"/>
    <n v="0"/>
  </r>
  <r>
    <x v="795"/>
    <x v="3"/>
    <n v="0"/>
    <x v="2"/>
    <x v="7"/>
    <n v="899"/>
    <n v="714"/>
    <n v="0"/>
    <n v="0"/>
    <n v="0"/>
  </r>
  <r>
    <x v="796"/>
    <x v="4"/>
    <n v="0"/>
    <x v="2"/>
    <x v="7"/>
    <n v="1379"/>
    <n v="890"/>
    <n v="0"/>
    <n v="0"/>
    <n v="0"/>
  </r>
  <r>
    <x v="797"/>
    <x v="5"/>
    <n v="0"/>
    <x v="2"/>
    <x v="7"/>
    <n v="849"/>
    <n v="530"/>
    <n v="0"/>
    <n v="0"/>
    <n v="0"/>
  </r>
  <r>
    <x v="798"/>
    <x v="6"/>
    <n v="0"/>
    <x v="2"/>
    <x v="7"/>
    <n v="1000"/>
    <n v="768"/>
    <n v="0"/>
    <n v="0"/>
    <n v="0"/>
  </r>
  <r>
    <x v="799"/>
    <x v="7"/>
    <n v="0"/>
    <x v="2"/>
    <x v="7"/>
    <n v="680"/>
    <n v="570"/>
    <n v="0"/>
    <n v="0"/>
    <n v="0"/>
  </r>
  <r>
    <x v="800"/>
    <x v="8"/>
    <n v="0"/>
    <x v="2"/>
    <x v="7"/>
    <n v="199"/>
    <n v="140"/>
    <n v="0"/>
    <n v="0"/>
    <n v="0"/>
  </r>
  <r>
    <x v="801"/>
    <x v="9"/>
    <n v="0"/>
    <x v="2"/>
    <x v="7"/>
    <n v="219"/>
    <n v="132"/>
    <n v="0"/>
    <n v="0"/>
    <n v="0"/>
  </r>
  <r>
    <x v="802"/>
    <x v="10"/>
    <n v="0"/>
    <x v="2"/>
    <x v="7"/>
    <n v="1469"/>
    <n v="1184"/>
    <n v="0"/>
    <n v="0"/>
    <n v="0"/>
  </r>
  <r>
    <x v="803"/>
    <x v="11"/>
    <n v="0"/>
    <x v="2"/>
    <x v="7"/>
    <n v="89"/>
    <n v="59"/>
    <n v="0"/>
    <n v="0"/>
    <n v="0"/>
  </r>
  <r>
    <x v="804"/>
    <x v="12"/>
    <n v="0"/>
    <x v="2"/>
    <x v="7"/>
    <n v="310"/>
    <n v="206"/>
    <n v="0"/>
    <n v="0"/>
    <n v="0"/>
  </r>
  <r>
    <x v="805"/>
    <x v="13"/>
    <n v="0"/>
    <x v="2"/>
    <x v="7"/>
    <n v="540"/>
    <n v="397"/>
    <n v="0"/>
    <n v="0"/>
    <n v="0"/>
  </r>
  <r>
    <x v="806"/>
    <x v="14"/>
    <n v="0"/>
    <x v="2"/>
    <x v="7"/>
    <n v="360"/>
    <n v="248"/>
    <n v="0"/>
    <n v="0"/>
    <n v="0"/>
  </r>
  <r>
    <x v="807"/>
    <x v="15"/>
    <n v="0"/>
    <x v="2"/>
    <x v="7"/>
    <n v="250"/>
    <n v="190"/>
    <n v="0"/>
    <n v="0"/>
    <n v="0"/>
  </r>
  <r>
    <x v="808"/>
    <x v="16"/>
    <n v="0"/>
    <x v="2"/>
    <x v="7"/>
    <n v="120"/>
    <n v="85"/>
    <n v="0"/>
    <n v="0"/>
    <n v="0"/>
  </r>
  <r>
    <x v="809"/>
    <x v="17"/>
    <n v="0"/>
    <x v="2"/>
    <x v="7"/>
    <n v="80"/>
    <n v="55"/>
    <n v="0"/>
    <n v="0"/>
    <n v="0"/>
  </r>
  <r>
    <x v="810"/>
    <x v="0"/>
    <n v="0"/>
    <x v="3"/>
    <x v="7"/>
    <n v="549"/>
    <n v="365"/>
    <n v="0"/>
    <n v="0"/>
    <n v="0"/>
  </r>
  <r>
    <x v="811"/>
    <x v="1"/>
    <n v="0"/>
    <x v="3"/>
    <x v="7"/>
    <n v="699"/>
    <n v="550"/>
    <n v="0"/>
    <n v="0"/>
    <n v="0"/>
  </r>
  <r>
    <x v="812"/>
    <x v="2"/>
    <n v="0"/>
    <x v="3"/>
    <x v="7"/>
    <n v="739"/>
    <n v="620"/>
    <n v="0"/>
    <n v="0"/>
    <n v="0"/>
  </r>
  <r>
    <x v="813"/>
    <x v="3"/>
    <n v="0"/>
    <x v="3"/>
    <x v="7"/>
    <n v="899"/>
    <n v="714"/>
    <n v="0"/>
    <n v="0"/>
    <n v="0"/>
  </r>
  <r>
    <x v="814"/>
    <x v="4"/>
    <n v="0"/>
    <x v="3"/>
    <x v="7"/>
    <n v="1379"/>
    <n v="890"/>
    <n v="0"/>
    <n v="0"/>
    <n v="0"/>
  </r>
  <r>
    <x v="815"/>
    <x v="5"/>
    <n v="0"/>
    <x v="3"/>
    <x v="7"/>
    <n v="849"/>
    <n v="530"/>
    <n v="0"/>
    <n v="0"/>
    <n v="0"/>
  </r>
  <r>
    <x v="816"/>
    <x v="6"/>
    <n v="0"/>
    <x v="3"/>
    <x v="7"/>
    <n v="1000"/>
    <n v="768"/>
    <n v="0"/>
    <n v="0"/>
    <n v="0"/>
  </r>
  <r>
    <x v="817"/>
    <x v="7"/>
    <n v="0"/>
    <x v="3"/>
    <x v="7"/>
    <n v="680"/>
    <n v="570"/>
    <n v="0"/>
    <n v="0"/>
    <n v="0"/>
  </r>
  <r>
    <x v="818"/>
    <x v="8"/>
    <n v="0"/>
    <x v="3"/>
    <x v="7"/>
    <n v="199"/>
    <n v="140"/>
    <n v="0"/>
    <n v="0"/>
    <n v="0"/>
  </r>
  <r>
    <x v="819"/>
    <x v="9"/>
    <n v="0"/>
    <x v="3"/>
    <x v="7"/>
    <n v="219"/>
    <n v="132"/>
    <n v="0"/>
    <n v="0"/>
    <n v="0"/>
  </r>
  <r>
    <x v="820"/>
    <x v="10"/>
    <n v="0"/>
    <x v="3"/>
    <x v="7"/>
    <n v="1469"/>
    <n v="1184"/>
    <n v="0"/>
    <n v="0"/>
    <n v="0"/>
  </r>
  <r>
    <x v="821"/>
    <x v="11"/>
    <n v="0"/>
    <x v="3"/>
    <x v="7"/>
    <n v="89"/>
    <n v="59"/>
    <n v="0"/>
    <n v="0"/>
    <n v="0"/>
  </r>
  <r>
    <x v="822"/>
    <x v="12"/>
    <n v="0"/>
    <x v="3"/>
    <x v="7"/>
    <n v="310"/>
    <n v="206"/>
    <n v="0"/>
    <n v="0"/>
    <n v="0"/>
  </r>
  <r>
    <x v="823"/>
    <x v="13"/>
    <n v="0"/>
    <x v="3"/>
    <x v="7"/>
    <n v="540"/>
    <n v="397"/>
    <n v="0"/>
    <n v="0"/>
    <n v="0"/>
  </r>
  <r>
    <x v="824"/>
    <x v="14"/>
    <n v="0"/>
    <x v="3"/>
    <x v="7"/>
    <n v="360"/>
    <n v="248"/>
    <n v="0"/>
    <n v="0"/>
    <n v="0"/>
  </r>
  <r>
    <x v="825"/>
    <x v="15"/>
    <n v="0"/>
    <x v="3"/>
    <x v="7"/>
    <n v="250"/>
    <n v="190"/>
    <n v="0"/>
    <n v="0"/>
    <n v="0"/>
  </r>
  <r>
    <x v="826"/>
    <x v="16"/>
    <n v="0"/>
    <x v="3"/>
    <x v="7"/>
    <n v="120"/>
    <n v="85"/>
    <n v="0"/>
    <n v="0"/>
    <n v="0"/>
  </r>
  <r>
    <x v="827"/>
    <x v="17"/>
    <n v="0"/>
    <x v="3"/>
    <x v="7"/>
    <n v="80"/>
    <n v="55"/>
    <n v="0"/>
    <n v="0"/>
    <n v="0"/>
  </r>
  <r>
    <x v="828"/>
    <x v="0"/>
    <n v="0"/>
    <x v="4"/>
    <x v="7"/>
    <n v="549"/>
    <n v="365"/>
    <n v="0"/>
    <n v="0"/>
    <n v="0"/>
  </r>
  <r>
    <x v="829"/>
    <x v="1"/>
    <n v="0"/>
    <x v="4"/>
    <x v="7"/>
    <n v="699"/>
    <n v="550"/>
    <n v="0"/>
    <n v="0"/>
    <n v="0"/>
  </r>
  <r>
    <x v="830"/>
    <x v="2"/>
    <n v="0"/>
    <x v="4"/>
    <x v="7"/>
    <n v="739"/>
    <n v="620"/>
    <n v="0"/>
    <n v="0"/>
    <n v="0"/>
  </r>
  <r>
    <x v="831"/>
    <x v="3"/>
    <n v="0"/>
    <x v="4"/>
    <x v="7"/>
    <n v="899"/>
    <n v="714"/>
    <n v="0"/>
    <n v="0"/>
    <n v="0"/>
  </r>
  <r>
    <x v="832"/>
    <x v="4"/>
    <n v="0"/>
    <x v="4"/>
    <x v="7"/>
    <n v="1379"/>
    <n v="890"/>
    <n v="0"/>
    <n v="0"/>
    <n v="0"/>
  </r>
  <r>
    <x v="833"/>
    <x v="5"/>
    <n v="0"/>
    <x v="4"/>
    <x v="7"/>
    <n v="849"/>
    <n v="530"/>
    <n v="0"/>
    <n v="0"/>
    <n v="0"/>
  </r>
  <r>
    <x v="834"/>
    <x v="6"/>
    <n v="0"/>
    <x v="4"/>
    <x v="7"/>
    <n v="1000"/>
    <n v="768"/>
    <n v="0"/>
    <n v="0"/>
    <n v="0"/>
  </r>
  <r>
    <x v="835"/>
    <x v="7"/>
    <n v="0"/>
    <x v="4"/>
    <x v="7"/>
    <n v="680"/>
    <n v="570"/>
    <n v="0"/>
    <n v="0"/>
    <n v="0"/>
  </r>
  <r>
    <x v="836"/>
    <x v="8"/>
    <n v="0"/>
    <x v="4"/>
    <x v="7"/>
    <n v="199"/>
    <n v="140"/>
    <n v="0"/>
    <n v="0"/>
    <n v="0"/>
  </r>
  <r>
    <x v="837"/>
    <x v="9"/>
    <n v="0"/>
    <x v="4"/>
    <x v="7"/>
    <n v="219"/>
    <n v="132"/>
    <n v="0"/>
    <n v="0"/>
    <n v="0"/>
  </r>
  <r>
    <x v="838"/>
    <x v="10"/>
    <n v="0"/>
    <x v="4"/>
    <x v="7"/>
    <n v="1469"/>
    <n v="1184"/>
    <n v="0"/>
    <n v="0"/>
    <n v="0"/>
  </r>
  <r>
    <x v="839"/>
    <x v="11"/>
    <n v="0"/>
    <x v="4"/>
    <x v="7"/>
    <n v="89"/>
    <n v="59"/>
    <n v="0"/>
    <n v="0"/>
    <n v="0"/>
  </r>
  <r>
    <x v="840"/>
    <x v="12"/>
    <n v="0"/>
    <x v="4"/>
    <x v="7"/>
    <n v="310"/>
    <n v="206"/>
    <n v="0"/>
    <n v="0"/>
    <n v="0"/>
  </r>
  <r>
    <x v="841"/>
    <x v="13"/>
    <n v="0"/>
    <x v="4"/>
    <x v="7"/>
    <n v="540"/>
    <n v="397"/>
    <n v="0"/>
    <n v="0"/>
    <n v="0"/>
  </r>
  <r>
    <x v="842"/>
    <x v="14"/>
    <n v="0"/>
    <x v="4"/>
    <x v="7"/>
    <n v="360"/>
    <n v="248"/>
    <n v="0"/>
    <n v="0"/>
    <n v="0"/>
  </r>
  <r>
    <x v="843"/>
    <x v="15"/>
    <n v="0"/>
    <x v="4"/>
    <x v="7"/>
    <n v="250"/>
    <n v="190"/>
    <n v="0"/>
    <n v="0"/>
    <n v="0"/>
  </r>
  <r>
    <x v="844"/>
    <x v="16"/>
    <n v="0"/>
    <x v="4"/>
    <x v="7"/>
    <n v="120"/>
    <n v="85"/>
    <n v="0"/>
    <n v="0"/>
    <n v="0"/>
  </r>
  <r>
    <x v="845"/>
    <x v="17"/>
    <n v="0"/>
    <x v="4"/>
    <x v="7"/>
    <n v="80"/>
    <n v="55"/>
    <n v="0"/>
    <n v="0"/>
    <n v="0"/>
  </r>
  <r>
    <x v="846"/>
    <x v="0"/>
    <n v="0"/>
    <x v="5"/>
    <x v="7"/>
    <n v="549"/>
    <n v="365"/>
    <n v="0"/>
    <n v="0"/>
    <n v="0"/>
  </r>
  <r>
    <x v="847"/>
    <x v="1"/>
    <n v="0"/>
    <x v="5"/>
    <x v="7"/>
    <n v="699"/>
    <n v="550"/>
    <n v="0"/>
    <n v="0"/>
    <n v="0"/>
  </r>
  <r>
    <x v="848"/>
    <x v="2"/>
    <n v="0"/>
    <x v="5"/>
    <x v="7"/>
    <n v="739"/>
    <n v="620"/>
    <n v="0"/>
    <n v="0"/>
    <n v="0"/>
  </r>
  <r>
    <x v="849"/>
    <x v="3"/>
    <n v="0"/>
    <x v="5"/>
    <x v="7"/>
    <n v="899"/>
    <n v="714"/>
    <n v="0"/>
    <n v="0"/>
    <n v="0"/>
  </r>
  <r>
    <x v="850"/>
    <x v="4"/>
    <n v="0"/>
    <x v="5"/>
    <x v="7"/>
    <n v="1379"/>
    <n v="890"/>
    <n v="0"/>
    <n v="0"/>
    <n v="0"/>
  </r>
  <r>
    <x v="851"/>
    <x v="5"/>
    <n v="0"/>
    <x v="5"/>
    <x v="7"/>
    <n v="849"/>
    <n v="530"/>
    <n v="0"/>
    <n v="0"/>
    <n v="0"/>
  </r>
  <r>
    <x v="852"/>
    <x v="6"/>
    <n v="0"/>
    <x v="5"/>
    <x v="7"/>
    <n v="1000"/>
    <n v="768"/>
    <n v="0"/>
    <n v="0"/>
    <n v="0"/>
  </r>
  <r>
    <x v="853"/>
    <x v="7"/>
    <n v="0"/>
    <x v="5"/>
    <x v="7"/>
    <n v="680"/>
    <n v="570"/>
    <n v="0"/>
    <n v="0"/>
    <n v="0"/>
  </r>
  <r>
    <x v="854"/>
    <x v="8"/>
    <n v="0"/>
    <x v="5"/>
    <x v="7"/>
    <n v="199"/>
    <n v="140"/>
    <n v="0"/>
    <n v="0"/>
    <n v="0"/>
  </r>
  <r>
    <x v="855"/>
    <x v="9"/>
    <n v="0"/>
    <x v="5"/>
    <x v="7"/>
    <n v="219"/>
    <n v="132"/>
    <n v="0"/>
    <n v="0"/>
    <n v="0"/>
  </r>
  <r>
    <x v="856"/>
    <x v="10"/>
    <n v="0"/>
    <x v="5"/>
    <x v="7"/>
    <n v="1469"/>
    <n v="1184"/>
    <n v="0"/>
    <n v="0"/>
    <n v="0"/>
  </r>
  <r>
    <x v="857"/>
    <x v="11"/>
    <n v="0"/>
    <x v="5"/>
    <x v="7"/>
    <n v="89"/>
    <n v="59"/>
    <n v="0"/>
    <n v="0"/>
    <n v="0"/>
  </r>
  <r>
    <x v="858"/>
    <x v="12"/>
    <n v="0"/>
    <x v="5"/>
    <x v="7"/>
    <n v="310"/>
    <n v="206"/>
    <n v="0"/>
    <n v="0"/>
    <n v="0"/>
  </r>
  <r>
    <x v="859"/>
    <x v="13"/>
    <n v="0"/>
    <x v="5"/>
    <x v="7"/>
    <n v="540"/>
    <n v="397"/>
    <n v="0"/>
    <n v="0"/>
    <n v="0"/>
  </r>
  <r>
    <x v="860"/>
    <x v="14"/>
    <n v="0"/>
    <x v="5"/>
    <x v="7"/>
    <n v="360"/>
    <n v="248"/>
    <n v="0"/>
    <n v="0"/>
    <n v="0"/>
  </r>
  <r>
    <x v="861"/>
    <x v="15"/>
    <n v="0"/>
    <x v="5"/>
    <x v="7"/>
    <n v="250"/>
    <n v="190"/>
    <n v="0"/>
    <n v="0"/>
    <n v="0"/>
  </r>
  <r>
    <x v="862"/>
    <x v="16"/>
    <n v="0"/>
    <x v="5"/>
    <x v="7"/>
    <n v="120"/>
    <n v="85"/>
    <n v="0"/>
    <n v="0"/>
    <n v="0"/>
  </r>
  <r>
    <x v="863"/>
    <x v="17"/>
    <n v="0"/>
    <x v="5"/>
    <x v="7"/>
    <n v="80"/>
    <n v="55"/>
    <n v="0"/>
    <n v="0"/>
    <n v="0"/>
  </r>
  <r>
    <x v="864"/>
    <x v="0"/>
    <n v="0"/>
    <x v="6"/>
    <x v="7"/>
    <n v="549"/>
    <n v="365"/>
    <n v="0"/>
    <n v="0"/>
    <n v="0"/>
  </r>
  <r>
    <x v="865"/>
    <x v="1"/>
    <n v="0"/>
    <x v="6"/>
    <x v="7"/>
    <n v="699"/>
    <n v="550"/>
    <n v="0"/>
    <n v="0"/>
    <n v="0"/>
  </r>
  <r>
    <x v="866"/>
    <x v="2"/>
    <n v="0"/>
    <x v="6"/>
    <x v="7"/>
    <n v="739"/>
    <n v="620"/>
    <n v="0"/>
    <n v="0"/>
    <n v="0"/>
  </r>
  <r>
    <x v="867"/>
    <x v="3"/>
    <n v="0"/>
    <x v="6"/>
    <x v="7"/>
    <n v="899"/>
    <n v="714"/>
    <n v="0"/>
    <n v="0"/>
    <n v="0"/>
  </r>
  <r>
    <x v="868"/>
    <x v="4"/>
    <n v="0"/>
    <x v="6"/>
    <x v="7"/>
    <n v="1379"/>
    <n v="890"/>
    <n v="0"/>
    <n v="0"/>
    <n v="0"/>
  </r>
  <r>
    <x v="869"/>
    <x v="5"/>
    <n v="0"/>
    <x v="6"/>
    <x v="7"/>
    <n v="849"/>
    <n v="530"/>
    <n v="0"/>
    <n v="0"/>
    <n v="0"/>
  </r>
  <r>
    <x v="870"/>
    <x v="6"/>
    <n v="0"/>
    <x v="6"/>
    <x v="7"/>
    <n v="1000"/>
    <n v="768"/>
    <n v="0"/>
    <n v="0"/>
    <n v="0"/>
  </r>
  <r>
    <x v="871"/>
    <x v="7"/>
    <n v="0"/>
    <x v="6"/>
    <x v="7"/>
    <n v="680"/>
    <n v="570"/>
    <n v="0"/>
    <n v="0"/>
    <n v="0"/>
  </r>
  <r>
    <x v="872"/>
    <x v="8"/>
    <n v="0"/>
    <x v="6"/>
    <x v="7"/>
    <n v="199"/>
    <n v="140"/>
    <n v="0"/>
    <n v="0"/>
    <n v="0"/>
  </r>
  <r>
    <x v="873"/>
    <x v="9"/>
    <n v="0"/>
    <x v="6"/>
    <x v="7"/>
    <n v="219"/>
    <n v="132"/>
    <n v="0"/>
    <n v="0"/>
    <n v="0"/>
  </r>
  <r>
    <x v="874"/>
    <x v="10"/>
    <n v="0"/>
    <x v="6"/>
    <x v="7"/>
    <n v="1469"/>
    <n v="1184"/>
    <n v="0"/>
    <n v="0"/>
    <n v="0"/>
  </r>
  <r>
    <x v="875"/>
    <x v="11"/>
    <n v="0"/>
    <x v="6"/>
    <x v="7"/>
    <n v="89"/>
    <n v="59"/>
    <n v="0"/>
    <n v="0"/>
    <n v="0"/>
  </r>
  <r>
    <x v="876"/>
    <x v="12"/>
    <n v="0"/>
    <x v="6"/>
    <x v="7"/>
    <n v="310"/>
    <n v="206"/>
    <n v="0"/>
    <n v="0"/>
    <n v="0"/>
  </r>
  <r>
    <x v="877"/>
    <x v="13"/>
    <n v="0"/>
    <x v="6"/>
    <x v="7"/>
    <n v="540"/>
    <n v="397"/>
    <n v="0"/>
    <n v="0"/>
    <n v="0"/>
  </r>
  <r>
    <x v="878"/>
    <x v="14"/>
    <n v="0"/>
    <x v="6"/>
    <x v="7"/>
    <n v="360"/>
    <n v="248"/>
    <n v="0"/>
    <n v="0"/>
    <n v="0"/>
  </r>
  <r>
    <x v="879"/>
    <x v="15"/>
    <n v="0"/>
    <x v="6"/>
    <x v="7"/>
    <n v="250"/>
    <n v="190"/>
    <n v="0"/>
    <n v="0"/>
    <n v="0"/>
  </r>
  <r>
    <x v="880"/>
    <x v="16"/>
    <n v="0"/>
    <x v="6"/>
    <x v="7"/>
    <n v="120"/>
    <n v="85"/>
    <n v="0"/>
    <n v="0"/>
    <n v="0"/>
  </r>
  <r>
    <x v="881"/>
    <x v="17"/>
    <n v="0"/>
    <x v="6"/>
    <x v="7"/>
    <n v="80"/>
    <n v="55"/>
    <n v="0"/>
    <n v="0"/>
    <n v="0"/>
  </r>
  <r>
    <x v="882"/>
    <x v="0"/>
    <n v="0"/>
    <x v="0"/>
    <x v="7"/>
    <n v="549"/>
    <n v="365"/>
    <n v="0"/>
    <n v="0"/>
    <n v="0"/>
  </r>
  <r>
    <x v="883"/>
    <x v="1"/>
    <n v="1"/>
    <x v="0"/>
    <x v="7"/>
    <n v="699"/>
    <n v="550"/>
    <n v="699"/>
    <n v="550"/>
    <n v="149"/>
  </r>
  <r>
    <x v="884"/>
    <x v="2"/>
    <n v="2"/>
    <x v="0"/>
    <x v="7"/>
    <n v="739"/>
    <n v="620"/>
    <n v="1478"/>
    <n v="1240"/>
    <n v="238"/>
  </r>
  <r>
    <x v="885"/>
    <x v="3"/>
    <n v="0"/>
    <x v="0"/>
    <x v="7"/>
    <n v="899"/>
    <n v="714"/>
    <n v="0"/>
    <n v="0"/>
    <n v="0"/>
  </r>
  <r>
    <x v="886"/>
    <x v="4"/>
    <n v="0"/>
    <x v="0"/>
    <x v="7"/>
    <n v="1379"/>
    <n v="890"/>
    <n v="0"/>
    <n v="0"/>
    <n v="0"/>
  </r>
  <r>
    <x v="887"/>
    <x v="5"/>
    <n v="1"/>
    <x v="0"/>
    <x v="7"/>
    <n v="849"/>
    <n v="530"/>
    <n v="849"/>
    <n v="530"/>
    <n v="319"/>
  </r>
  <r>
    <x v="888"/>
    <x v="6"/>
    <n v="0"/>
    <x v="0"/>
    <x v="7"/>
    <n v="1000"/>
    <n v="768"/>
    <n v="0"/>
    <n v="0"/>
    <n v="0"/>
  </r>
  <r>
    <x v="889"/>
    <x v="7"/>
    <n v="0"/>
    <x v="0"/>
    <x v="7"/>
    <n v="680"/>
    <n v="570"/>
    <n v="0"/>
    <n v="0"/>
    <n v="0"/>
  </r>
  <r>
    <x v="890"/>
    <x v="8"/>
    <n v="0"/>
    <x v="0"/>
    <x v="7"/>
    <n v="199"/>
    <n v="140"/>
    <n v="0"/>
    <n v="0"/>
    <n v="0"/>
  </r>
  <r>
    <x v="891"/>
    <x v="9"/>
    <n v="0"/>
    <x v="0"/>
    <x v="7"/>
    <n v="219"/>
    <n v="132"/>
    <n v="0"/>
    <n v="0"/>
    <n v="0"/>
  </r>
  <r>
    <x v="892"/>
    <x v="10"/>
    <n v="1"/>
    <x v="0"/>
    <x v="7"/>
    <n v="1469"/>
    <n v="1184"/>
    <n v="1469"/>
    <n v="1184"/>
    <n v="285"/>
  </r>
  <r>
    <x v="893"/>
    <x v="11"/>
    <n v="0"/>
    <x v="0"/>
    <x v="7"/>
    <n v="89"/>
    <n v="59"/>
    <n v="0"/>
    <n v="0"/>
    <n v="0"/>
  </r>
  <r>
    <x v="894"/>
    <x v="12"/>
    <n v="0"/>
    <x v="0"/>
    <x v="7"/>
    <n v="310"/>
    <n v="206"/>
    <n v="0"/>
    <n v="0"/>
    <n v="0"/>
  </r>
  <r>
    <x v="895"/>
    <x v="13"/>
    <n v="0"/>
    <x v="0"/>
    <x v="7"/>
    <n v="540"/>
    <n v="397"/>
    <n v="0"/>
    <n v="0"/>
    <n v="0"/>
  </r>
  <r>
    <x v="896"/>
    <x v="14"/>
    <n v="0"/>
    <x v="0"/>
    <x v="7"/>
    <n v="360"/>
    <n v="248"/>
    <n v="0"/>
    <n v="0"/>
    <n v="0"/>
  </r>
  <r>
    <x v="897"/>
    <x v="15"/>
    <n v="0"/>
    <x v="0"/>
    <x v="7"/>
    <n v="250"/>
    <n v="190"/>
    <n v="0"/>
    <n v="0"/>
    <n v="0"/>
  </r>
  <r>
    <x v="898"/>
    <x v="16"/>
    <n v="0"/>
    <x v="0"/>
    <x v="7"/>
    <n v="120"/>
    <n v="85"/>
    <n v="0"/>
    <n v="0"/>
    <n v="0"/>
  </r>
  <r>
    <x v="899"/>
    <x v="17"/>
    <n v="0"/>
    <x v="0"/>
    <x v="7"/>
    <n v="80"/>
    <n v="55"/>
    <n v="0"/>
    <n v="0"/>
    <n v="0"/>
  </r>
  <r>
    <x v="900"/>
    <x v="0"/>
    <n v="0"/>
    <x v="1"/>
    <x v="8"/>
    <n v="549"/>
    <n v="365"/>
    <n v="0"/>
    <n v="0"/>
    <n v="0"/>
  </r>
  <r>
    <x v="901"/>
    <x v="1"/>
    <n v="0"/>
    <x v="1"/>
    <x v="8"/>
    <n v="699"/>
    <n v="550"/>
    <n v="0"/>
    <n v="0"/>
    <n v="0"/>
  </r>
  <r>
    <x v="902"/>
    <x v="2"/>
    <n v="0"/>
    <x v="1"/>
    <x v="8"/>
    <n v="739"/>
    <n v="620"/>
    <n v="0"/>
    <n v="0"/>
    <n v="0"/>
  </r>
  <r>
    <x v="903"/>
    <x v="3"/>
    <n v="0"/>
    <x v="1"/>
    <x v="8"/>
    <n v="899"/>
    <n v="714"/>
    <n v="0"/>
    <n v="0"/>
    <n v="0"/>
  </r>
  <r>
    <x v="904"/>
    <x v="4"/>
    <n v="0"/>
    <x v="1"/>
    <x v="8"/>
    <n v="1379"/>
    <n v="890"/>
    <n v="0"/>
    <n v="0"/>
    <n v="0"/>
  </r>
  <r>
    <x v="905"/>
    <x v="5"/>
    <n v="0"/>
    <x v="1"/>
    <x v="8"/>
    <n v="849"/>
    <n v="530"/>
    <n v="0"/>
    <n v="0"/>
    <n v="0"/>
  </r>
  <r>
    <x v="906"/>
    <x v="6"/>
    <n v="0"/>
    <x v="1"/>
    <x v="8"/>
    <n v="1000"/>
    <n v="768"/>
    <n v="0"/>
    <n v="0"/>
    <n v="0"/>
  </r>
  <r>
    <x v="907"/>
    <x v="7"/>
    <n v="0"/>
    <x v="1"/>
    <x v="8"/>
    <n v="680"/>
    <n v="570"/>
    <n v="0"/>
    <n v="0"/>
    <n v="0"/>
  </r>
  <r>
    <x v="908"/>
    <x v="8"/>
    <n v="0"/>
    <x v="1"/>
    <x v="8"/>
    <n v="199"/>
    <n v="140"/>
    <n v="0"/>
    <n v="0"/>
    <n v="0"/>
  </r>
  <r>
    <x v="909"/>
    <x v="9"/>
    <n v="0"/>
    <x v="1"/>
    <x v="8"/>
    <n v="219"/>
    <n v="132"/>
    <n v="0"/>
    <n v="0"/>
    <n v="0"/>
  </r>
  <r>
    <x v="910"/>
    <x v="10"/>
    <n v="0"/>
    <x v="1"/>
    <x v="8"/>
    <n v="1469"/>
    <n v="1184"/>
    <n v="0"/>
    <n v="0"/>
    <n v="0"/>
  </r>
  <r>
    <x v="911"/>
    <x v="11"/>
    <n v="0"/>
    <x v="1"/>
    <x v="8"/>
    <n v="89"/>
    <n v="59"/>
    <n v="0"/>
    <n v="0"/>
    <n v="0"/>
  </r>
  <r>
    <x v="912"/>
    <x v="12"/>
    <n v="0"/>
    <x v="1"/>
    <x v="8"/>
    <n v="310"/>
    <n v="206"/>
    <n v="0"/>
    <n v="0"/>
    <n v="0"/>
  </r>
  <r>
    <x v="913"/>
    <x v="13"/>
    <n v="0"/>
    <x v="1"/>
    <x v="8"/>
    <n v="540"/>
    <n v="397"/>
    <n v="0"/>
    <n v="0"/>
    <n v="0"/>
  </r>
  <r>
    <x v="914"/>
    <x v="14"/>
    <n v="0"/>
    <x v="1"/>
    <x v="8"/>
    <n v="360"/>
    <n v="248"/>
    <n v="0"/>
    <n v="0"/>
    <n v="0"/>
  </r>
  <r>
    <x v="915"/>
    <x v="15"/>
    <n v="0"/>
    <x v="1"/>
    <x v="8"/>
    <n v="250"/>
    <n v="190"/>
    <n v="0"/>
    <n v="0"/>
    <n v="0"/>
  </r>
  <r>
    <x v="916"/>
    <x v="16"/>
    <n v="0"/>
    <x v="1"/>
    <x v="8"/>
    <n v="120"/>
    <n v="85"/>
    <n v="0"/>
    <n v="0"/>
    <n v="0"/>
  </r>
  <r>
    <x v="917"/>
    <x v="17"/>
    <n v="0"/>
    <x v="1"/>
    <x v="8"/>
    <n v="80"/>
    <n v="55"/>
    <n v="0"/>
    <n v="0"/>
    <n v="0"/>
  </r>
  <r>
    <x v="918"/>
    <x v="0"/>
    <n v="0"/>
    <x v="2"/>
    <x v="8"/>
    <n v="549"/>
    <n v="365"/>
    <n v="0"/>
    <n v="0"/>
    <n v="0"/>
  </r>
  <r>
    <x v="919"/>
    <x v="1"/>
    <n v="0"/>
    <x v="2"/>
    <x v="8"/>
    <n v="699"/>
    <n v="550"/>
    <n v="0"/>
    <n v="0"/>
    <n v="0"/>
  </r>
  <r>
    <x v="920"/>
    <x v="2"/>
    <n v="1"/>
    <x v="2"/>
    <x v="8"/>
    <n v="739"/>
    <n v="620"/>
    <n v="739"/>
    <n v="620"/>
    <n v="119"/>
  </r>
  <r>
    <x v="921"/>
    <x v="3"/>
    <n v="1"/>
    <x v="2"/>
    <x v="8"/>
    <n v="899"/>
    <n v="714"/>
    <n v="899"/>
    <n v="714"/>
    <n v="185"/>
  </r>
  <r>
    <x v="922"/>
    <x v="4"/>
    <n v="0"/>
    <x v="2"/>
    <x v="8"/>
    <n v="1379"/>
    <n v="890"/>
    <n v="0"/>
    <n v="0"/>
    <n v="0"/>
  </r>
  <r>
    <x v="923"/>
    <x v="5"/>
    <n v="0"/>
    <x v="2"/>
    <x v="8"/>
    <n v="849"/>
    <n v="530"/>
    <n v="0"/>
    <n v="0"/>
    <n v="0"/>
  </r>
  <r>
    <x v="924"/>
    <x v="6"/>
    <n v="0"/>
    <x v="2"/>
    <x v="8"/>
    <n v="1000"/>
    <n v="768"/>
    <n v="0"/>
    <n v="0"/>
    <n v="0"/>
  </r>
  <r>
    <x v="925"/>
    <x v="7"/>
    <n v="0"/>
    <x v="2"/>
    <x v="8"/>
    <n v="680"/>
    <n v="570"/>
    <n v="0"/>
    <n v="0"/>
    <n v="0"/>
  </r>
  <r>
    <x v="926"/>
    <x v="8"/>
    <n v="0"/>
    <x v="2"/>
    <x v="8"/>
    <n v="199"/>
    <n v="140"/>
    <n v="0"/>
    <n v="0"/>
    <n v="0"/>
  </r>
  <r>
    <x v="927"/>
    <x v="9"/>
    <n v="0"/>
    <x v="2"/>
    <x v="8"/>
    <n v="219"/>
    <n v="132"/>
    <n v="0"/>
    <n v="0"/>
    <n v="0"/>
  </r>
  <r>
    <x v="928"/>
    <x v="10"/>
    <n v="0"/>
    <x v="2"/>
    <x v="8"/>
    <n v="1469"/>
    <n v="1184"/>
    <n v="0"/>
    <n v="0"/>
    <n v="0"/>
  </r>
  <r>
    <x v="929"/>
    <x v="11"/>
    <n v="0"/>
    <x v="2"/>
    <x v="8"/>
    <n v="89"/>
    <n v="59"/>
    <n v="0"/>
    <n v="0"/>
    <n v="0"/>
  </r>
  <r>
    <x v="930"/>
    <x v="12"/>
    <n v="0"/>
    <x v="2"/>
    <x v="8"/>
    <n v="310"/>
    <n v="206"/>
    <n v="0"/>
    <n v="0"/>
    <n v="0"/>
  </r>
  <r>
    <x v="931"/>
    <x v="13"/>
    <n v="0"/>
    <x v="2"/>
    <x v="8"/>
    <n v="540"/>
    <n v="397"/>
    <n v="0"/>
    <n v="0"/>
    <n v="0"/>
  </r>
  <r>
    <x v="932"/>
    <x v="14"/>
    <n v="0"/>
    <x v="2"/>
    <x v="8"/>
    <n v="360"/>
    <n v="248"/>
    <n v="0"/>
    <n v="0"/>
    <n v="0"/>
  </r>
  <r>
    <x v="933"/>
    <x v="15"/>
    <n v="0"/>
    <x v="2"/>
    <x v="8"/>
    <n v="250"/>
    <n v="190"/>
    <n v="0"/>
    <n v="0"/>
    <n v="0"/>
  </r>
  <r>
    <x v="934"/>
    <x v="16"/>
    <n v="0"/>
    <x v="2"/>
    <x v="8"/>
    <n v="120"/>
    <n v="85"/>
    <n v="0"/>
    <n v="0"/>
    <n v="0"/>
  </r>
  <r>
    <x v="935"/>
    <x v="17"/>
    <n v="0"/>
    <x v="2"/>
    <x v="8"/>
    <n v="80"/>
    <n v="55"/>
    <n v="0"/>
    <n v="0"/>
    <n v="0"/>
  </r>
  <r>
    <x v="936"/>
    <x v="0"/>
    <n v="0"/>
    <x v="3"/>
    <x v="8"/>
    <n v="549"/>
    <n v="365"/>
    <n v="0"/>
    <n v="0"/>
    <n v="0"/>
  </r>
  <r>
    <x v="937"/>
    <x v="1"/>
    <n v="0"/>
    <x v="3"/>
    <x v="8"/>
    <n v="699"/>
    <n v="550"/>
    <n v="0"/>
    <n v="0"/>
    <n v="0"/>
  </r>
  <r>
    <x v="938"/>
    <x v="2"/>
    <n v="0"/>
    <x v="3"/>
    <x v="8"/>
    <n v="739"/>
    <n v="620"/>
    <n v="0"/>
    <n v="0"/>
    <n v="0"/>
  </r>
  <r>
    <x v="939"/>
    <x v="3"/>
    <n v="0"/>
    <x v="3"/>
    <x v="8"/>
    <n v="899"/>
    <n v="714"/>
    <n v="0"/>
    <n v="0"/>
    <n v="0"/>
  </r>
  <r>
    <x v="940"/>
    <x v="4"/>
    <n v="0"/>
    <x v="3"/>
    <x v="8"/>
    <n v="1379"/>
    <n v="890"/>
    <n v="0"/>
    <n v="0"/>
    <n v="0"/>
  </r>
  <r>
    <x v="941"/>
    <x v="5"/>
    <n v="0"/>
    <x v="3"/>
    <x v="8"/>
    <n v="849"/>
    <n v="530"/>
    <n v="0"/>
    <n v="0"/>
    <n v="0"/>
  </r>
  <r>
    <x v="942"/>
    <x v="6"/>
    <n v="0"/>
    <x v="3"/>
    <x v="8"/>
    <n v="1000"/>
    <n v="768"/>
    <n v="0"/>
    <n v="0"/>
    <n v="0"/>
  </r>
  <r>
    <x v="943"/>
    <x v="7"/>
    <n v="0"/>
    <x v="3"/>
    <x v="8"/>
    <n v="680"/>
    <n v="570"/>
    <n v="0"/>
    <n v="0"/>
    <n v="0"/>
  </r>
  <r>
    <x v="944"/>
    <x v="8"/>
    <n v="0"/>
    <x v="3"/>
    <x v="8"/>
    <n v="199"/>
    <n v="140"/>
    <n v="0"/>
    <n v="0"/>
    <n v="0"/>
  </r>
  <r>
    <x v="945"/>
    <x v="9"/>
    <n v="0"/>
    <x v="3"/>
    <x v="8"/>
    <n v="219"/>
    <n v="132"/>
    <n v="0"/>
    <n v="0"/>
    <n v="0"/>
  </r>
  <r>
    <x v="946"/>
    <x v="10"/>
    <n v="1"/>
    <x v="3"/>
    <x v="8"/>
    <n v="1469"/>
    <n v="1184"/>
    <n v="1469"/>
    <n v="1184"/>
    <n v="285"/>
  </r>
  <r>
    <x v="947"/>
    <x v="11"/>
    <n v="0"/>
    <x v="3"/>
    <x v="8"/>
    <n v="89"/>
    <n v="59"/>
    <n v="0"/>
    <n v="0"/>
    <n v="0"/>
  </r>
  <r>
    <x v="948"/>
    <x v="12"/>
    <n v="0"/>
    <x v="3"/>
    <x v="8"/>
    <n v="310"/>
    <n v="206"/>
    <n v="0"/>
    <n v="0"/>
    <n v="0"/>
  </r>
  <r>
    <x v="949"/>
    <x v="13"/>
    <n v="0"/>
    <x v="3"/>
    <x v="8"/>
    <n v="540"/>
    <n v="397"/>
    <n v="0"/>
    <n v="0"/>
    <n v="0"/>
  </r>
  <r>
    <x v="950"/>
    <x v="14"/>
    <n v="0"/>
    <x v="3"/>
    <x v="8"/>
    <n v="360"/>
    <n v="248"/>
    <n v="0"/>
    <n v="0"/>
    <n v="0"/>
  </r>
  <r>
    <x v="951"/>
    <x v="15"/>
    <n v="0"/>
    <x v="3"/>
    <x v="8"/>
    <n v="250"/>
    <n v="190"/>
    <n v="0"/>
    <n v="0"/>
    <n v="0"/>
  </r>
  <r>
    <x v="952"/>
    <x v="16"/>
    <n v="0"/>
    <x v="3"/>
    <x v="8"/>
    <n v="120"/>
    <n v="85"/>
    <n v="0"/>
    <n v="0"/>
    <n v="0"/>
  </r>
  <r>
    <x v="953"/>
    <x v="17"/>
    <n v="0"/>
    <x v="3"/>
    <x v="8"/>
    <n v="80"/>
    <n v="55"/>
    <n v="0"/>
    <n v="0"/>
    <n v="0"/>
  </r>
  <r>
    <x v="954"/>
    <x v="0"/>
    <n v="0"/>
    <x v="4"/>
    <x v="8"/>
    <n v="549"/>
    <n v="365"/>
    <n v="0"/>
    <n v="0"/>
    <n v="0"/>
  </r>
  <r>
    <x v="955"/>
    <x v="1"/>
    <n v="0"/>
    <x v="4"/>
    <x v="8"/>
    <n v="699"/>
    <n v="550"/>
    <n v="0"/>
    <n v="0"/>
    <n v="0"/>
  </r>
  <r>
    <x v="956"/>
    <x v="2"/>
    <n v="0"/>
    <x v="4"/>
    <x v="8"/>
    <n v="739"/>
    <n v="620"/>
    <n v="0"/>
    <n v="0"/>
    <n v="0"/>
  </r>
  <r>
    <x v="957"/>
    <x v="3"/>
    <n v="0"/>
    <x v="4"/>
    <x v="8"/>
    <n v="899"/>
    <n v="714"/>
    <n v="0"/>
    <n v="0"/>
    <n v="0"/>
  </r>
  <r>
    <x v="958"/>
    <x v="4"/>
    <n v="0"/>
    <x v="4"/>
    <x v="8"/>
    <n v="1379"/>
    <n v="890"/>
    <n v="0"/>
    <n v="0"/>
    <n v="0"/>
  </r>
  <r>
    <x v="959"/>
    <x v="5"/>
    <n v="0"/>
    <x v="4"/>
    <x v="8"/>
    <n v="849"/>
    <n v="530"/>
    <n v="0"/>
    <n v="0"/>
    <n v="0"/>
  </r>
  <r>
    <x v="960"/>
    <x v="6"/>
    <n v="0"/>
    <x v="4"/>
    <x v="8"/>
    <n v="1000"/>
    <n v="768"/>
    <n v="0"/>
    <n v="0"/>
    <n v="0"/>
  </r>
  <r>
    <x v="961"/>
    <x v="7"/>
    <n v="0"/>
    <x v="4"/>
    <x v="8"/>
    <n v="680"/>
    <n v="570"/>
    <n v="0"/>
    <n v="0"/>
    <n v="0"/>
  </r>
  <r>
    <x v="962"/>
    <x v="8"/>
    <n v="0"/>
    <x v="4"/>
    <x v="8"/>
    <n v="199"/>
    <n v="140"/>
    <n v="0"/>
    <n v="0"/>
    <n v="0"/>
  </r>
  <r>
    <x v="963"/>
    <x v="9"/>
    <n v="0"/>
    <x v="4"/>
    <x v="8"/>
    <n v="219"/>
    <n v="132"/>
    <n v="0"/>
    <n v="0"/>
    <n v="0"/>
  </r>
  <r>
    <x v="964"/>
    <x v="10"/>
    <n v="0"/>
    <x v="4"/>
    <x v="8"/>
    <n v="1469"/>
    <n v="1184"/>
    <n v="0"/>
    <n v="0"/>
    <n v="0"/>
  </r>
  <r>
    <x v="965"/>
    <x v="11"/>
    <n v="0"/>
    <x v="4"/>
    <x v="8"/>
    <n v="89"/>
    <n v="59"/>
    <n v="0"/>
    <n v="0"/>
    <n v="0"/>
  </r>
  <r>
    <x v="966"/>
    <x v="12"/>
    <n v="0"/>
    <x v="4"/>
    <x v="8"/>
    <n v="310"/>
    <n v="206"/>
    <n v="0"/>
    <n v="0"/>
    <n v="0"/>
  </r>
  <r>
    <x v="967"/>
    <x v="13"/>
    <n v="0"/>
    <x v="4"/>
    <x v="8"/>
    <n v="540"/>
    <n v="397"/>
    <n v="0"/>
    <n v="0"/>
    <n v="0"/>
  </r>
  <r>
    <x v="968"/>
    <x v="14"/>
    <n v="0"/>
    <x v="4"/>
    <x v="8"/>
    <n v="360"/>
    <n v="248"/>
    <n v="0"/>
    <n v="0"/>
    <n v="0"/>
  </r>
  <r>
    <x v="969"/>
    <x v="15"/>
    <n v="0"/>
    <x v="4"/>
    <x v="8"/>
    <n v="250"/>
    <n v="190"/>
    <n v="0"/>
    <n v="0"/>
    <n v="0"/>
  </r>
  <r>
    <x v="970"/>
    <x v="16"/>
    <n v="0"/>
    <x v="4"/>
    <x v="8"/>
    <n v="120"/>
    <n v="85"/>
    <n v="0"/>
    <n v="0"/>
    <n v="0"/>
  </r>
  <r>
    <x v="971"/>
    <x v="17"/>
    <n v="0"/>
    <x v="4"/>
    <x v="8"/>
    <n v="80"/>
    <n v="55"/>
    <n v="0"/>
    <n v="0"/>
    <n v="0"/>
  </r>
  <r>
    <x v="972"/>
    <x v="0"/>
    <n v="0"/>
    <x v="5"/>
    <x v="8"/>
    <n v="549"/>
    <n v="365"/>
    <n v="0"/>
    <n v="0"/>
    <n v="0"/>
  </r>
  <r>
    <x v="973"/>
    <x v="1"/>
    <n v="0"/>
    <x v="5"/>
    <x v="8"/>
    <n v="699"/>
    <n v="550"/>
    <n v="0"/>
    <n v="0"/>
    <n v="0"/>
  </r>
  <r>
    <x v="974"/>
    <x v="2"/>
    <n v="0"/>
    <x v="5"/>
    <x v="8"/>
    <n v="739"/>
    <n v="620"/>
    <n v="0"/>
    <n v="0"/>
    <n v="0"/>
  </r>
  <r>
    <x v="975"/>
    <x v="3"/>
    <n v="0"/>
    <x v="5"/>
    <x v="8"/>
    <n v="899"/>
    <n v="714"/>
    <n v="0"/>
    <n v="0"/>
    <n v="0"/>
  </r>
  <r>
    <x v="976"/>
    <x v="4"/>
    <n v="0"/>
    <x v="5"/>
    <x v="8"/>
    <n v="1379"/>
    <n v="890"/>
    <n v="0"/>
    <n v="0"/>
    <n v="0"/>
  </r>
  <r>
    <x v="977"/>
    <x v="5"/>
    <n v="0"/>
    <x v="5"/>
    <x v="8"/>
    <n v="849"/>
    <n v="530"/>
    <n v="0"/>
    <n v="0"/>
    <n v="0"/>
  </r>
  <r>
    <x v="978"/>
    <x v="6"/>
    <n v="0"/>
    <x v="5"/>
    <x v="8"/>
    <n v="1000"/>
    <n v="768"/>
    <n v="0"/>
    <n v="0"/>
    <n v="0"/>
  </r>
  <r>
    <x v="979"/>
    <x v="7"/>
    <n v="0"/>
    <x v="5"/>
    <x v="8"/>
    <n v="680"/>
    <n v="570"/>
    <n v="0"/>
    <n v="0"/>
    <n v="0"/>
  </r>
  <r>
    <x v="980"/>
    <x v="8"/>
    <n v="0"/>
    <x v="5"/>
    <x v="8"/>
    <n v="199"/>
    <n v="140"/>
    <n v="0"/>
    <n v="0"/>
    <n v="0"/>
  </r>
  <r>
    <x v="981"/>
    <x v="9"/>
    <n v="0"/>
    <x v="5"/>
    <x v="8"/>
    <n v="219"/>
    <n v="132"/>
    <n v="0"/>
    <n v="0"/>
    <n v="0"/>
  </r>
  <r>
    <x v="982"/>
    <x v="10"/>
    <n v="2"/>
    <x v="5"/>
    <x v="8"/>
    <n v="1469"/>
    <n v="1184"/>
    <n v="2938"/>
    <n v="2368"/>
    <n v="570"/>
  </r>
  <r>
    <x v="983"/>
    <x v="11"/>
    <n v="0"/>
    <x v="5"/>
    <x v="8"/>
    <n v="89"/>
    <n v="59"/>
    <n v="0"/>
    <n v="0"/>
    <n v="0"/>
  </r>
  <r>
    <x v="984"/>
    <x v="12"/>
    <n v="0"/>
    <x v="5"/>
    <x v="8"/>
    <n v="310"/>
    <n v="206"/>
    <n v="0"/>
    <n v="0"/>
    <n v="0"/>
  </r>
  <r>
    <x v="985"/>
    <x v="13"/>
    <n v="0"/>
    <x v="5"/>
    <x v="8"/>
    <n v="540"/>
    <n v="397"/>
    <n v="0"/>
    <n v="0"/>
    <n v="0"/>
  </r>
  <r>
    <x v="986"/>
    <x v="14"/>
    <n v="0"/>
    <x v="5"/>
    <x v="8"/>
    <n v="360"/>
    <n v="248"/>
    <n v="0"/>
    <n v="0"/>
    <n v="0"/>
  </r>
  <r>
    <x v="987"/>
    <x v="15"/>
    <n v="0"/>
    <x v="5"/>
    <x v="8"/>
    <n v="250"/>
    <n v="190"/>
    <n v="0"/>
    <n v="0"/>
    <n v="0"/>
  </r>
  <r>
    <x v="988"/>
    <x v="16"/>
    <n v="0"/>
    <x v="5"/>
    <x v="8"/>
    <n v="120"/>
    <n v="85"/>
    <n v="0"/>
    <n v="0"/>
    <n v="0"/>
  </r>
  <r>
    <x v="989"/>
    <x v="17"/>
    <n v="0"/>
    <x v="5"/>
    <x v="8"/>
    <n v="80"/>
    <n v="55"/>
    <n v="0"/>
    <n v="0"/>
    <n v="0"/>
  </r>
  <r>
    <x v="990"/>
    <x v="0"/>
    <n v="0"/>
    <x v="6"/>
    <x v="8"/>
    <n v="549"/>
    <n v="365"/>
    <n v="0"/>
    <n v="0"/>
    <n v="0"/>
  </r>
  <r>
    <x v="991"/>
    <x v="1"/>
    <n v="0"/>
    <x v="6"/>
    <x v="8"/>
    <n v="699"/>
    <n v="550"/>
    <n v="0"/>
    <n v="0"/>
    <n v="0"/>
  </r>
  <r>
    <x v="992"/>
    <x v="2"/>
    <n v="0"/>
    <x v="6"/>
    <x v="8"/>
    <n v="739"/>
    <n v="620"/>
    <n v="0"/>
    <n v="0"/>
    <n v="0"/>
  </r>
  <r>
    <x v="993"/>
    <x v="3"/>
    <n v="1"/>
    <x v="6"/>
    <x v="8"/>
    <n v="899"/>
    <n v="714"/>
    <n v="899"/>
    <n v="714"/>
    <n v="185"/>
  </r>
  <r>
    <x v="994"/>
    <x v="4"/>
    <n v="0"/>
    <x v="6"/>
    <x v="8"/>
    <n v="1379"/>
    <n v="890"/>
    <n v="0"/>
    <n v="0"/>
    <n v="0"/>
  </r>
  <r>
    <x v="995"/>
    <x v="5"/>
    <n v="1"/>
    <x v="6"/>
    <x v="8"/>
    <n v="849"/>
    <n v="530"/>
    <n v="849"/>
    <n v="530"/>
    <n v="319"/>
  </r>
  <r>
    <x v="996"/>
    <x v="6"/>
    <n v="0"/>
    <x v="6"/>
    <x v="8"/>
    <n v="1000"/>
    <n v="768"/>
    <n v="0"/>
    <n v="0"/>
    <n v="0"/>
  </r>
  <r>
    <x v="997"/>
    <x v="7"/>
    <n v="0"/>
    <x v="6"/>
    <x v="8"/>
    <n v="680"/>
    <n v="570"/>
    <n v="0"/>
    <n v="0"/>
    <n v="0"/>
  </r>
  <r>
    <x v="998"/>
    <x v="8"/>
    <n v="0"/>
    <x v="6"/>
    <x v="8"/>
    <n v="199"/>
    <n v="140"/>
    <n v="0"/>
    <n v="0"/>
    <n v="0"/>
  </r>
  <r>
    <x v="999"/>
    <x v="9"/>
    <n v="0"/>
    <x v="6"/>
    <x v="8"/>
    <n v="219"/>
    <n v="132"/>
    <n v="0"/>
    <n v="0"/>
    <n v="0"/>
  </r>
  <r>
    <x v="1000"/>
    <x v="10"/>
    <n v="2"/>
    <x v="6"/>
    <x v="8"/>
    <n v="1469"/>
    <n v="1184"/>
    <n v="2938"/>
    <n v="2368"/>
    <n v="570"/>
  </r>
  <r>
    <x v="1001"/>
    <x v="11"/>
    <n v="0"/>
    <x v="6"/>
    <x v="8"/>
    <n v="89"/>
    <n v="59"/>
    <n v="0"/>
    <n v="0"/>
    <n v="0"/>
  </r>
  <r>
    <x v="1002"/>
    <x v="12"/>
    <n v="0"/>
    <x v="6"/>
    <x v="8"/>
    <n v="310"/>
    <n v="206"/>
    <n v="0"/>
    <n v="0"/>
    <n v="0"/>
  </r>
  <r>
    <x v="1003"/>
    <x v="13"/>
    <n v="0"/>
    <x v="6"/>
    <x v="8"/>
    <n v="540"/>
    <n v="397"/>
    <n v="0"/>
    <n v="0"/>
    <n v="0"/>
  </r>
  <r>
    <x v="1004"/>
    <x v="14"/>
    <n v="0"/>
    <x v="6"/>
    <x v="8"/>
    <n v="360"/>
    <n v="248"/>
    <n v="0"/>
    <n v="0"/>
    <n v="0"/>
  </r>
  <r>
    <x v="1005"/>
    <x v="15"/>
    <n v="0"/>
    <x v="6"/>
    <x v="8"/>
    <n v="250"/>
    <n v="190"/>
    <n v="0"/>
    <n v="0"/>
    <n v="0"/>
  </r>
  <r>
    <x v="1006"/>
    <x v="16"/>
    <n v="0"/>
    <x v="6"/>
    <x v="8"/>
    <n v="120"/>
    <n v="85"/>
    <n v="0"/>
    <n v="0"/>
    <n v="0"/>
  </r>
  <r>
    <x v="1007"/>
    <x v="17"/>
    <n v="0"/>
    <x v="6"/>
    <x v="8"/>
    <n v="80"/>
    <n v="55"/>
    <n v="0"/>
    <n v="0"/>
    <n v="0"/>
  </r>
  <r>
    <x v="1008"/>
    <x v="0"/>
    <n v="0"/>
    <x v="0"/>
    <x v="8"/>
    <n v="549"/>
    <n v="365"/>
    <n v="0"/>
    <n v="0"/>
    <n v="0"/>
  </r>
  <r>
    <x v="1009"/>
    <x v="1"/>
    <n v="2"/>
    <x v="0"/>
    <x v="8"/>
    <n v="699"/>
    <n v="550"/>
    <n v="1398"/>
    <n v="1100"/>
    <n v="298"/>
  </r>
  <r>
    <x v="1010"/>
    <x v="2"/>
    <n v="0"/>
    <x v="0"/>
    <x v="8"/>
    <n v="739"/>
    <n v="620"/>
    <n v="0"/>
    <n v="0"/>
    <n v="0"/>
  </r>
  <r>
    <x v="1011"/>
    <x v="3"/>
    <n v="0"/>
    <x v="0"/>
    <x v="8"/>
    <n v="899"/>
    <n v="714"/>
    <n v="0"/>
    <n v="0"/>
    <n v="0"/>
  </r>
  <r>
    <x v="1012"/>
    <x v="4"/>
    <n v="0"/>
    <x v="0"/>
    <x v="8"/>
    <n v="1379"/>
    <n v="890"/>
    <n v="0"/>
    <n v="0"/>
    <n v="0"/>
  </r>
  <r>
    <x v="1013"/>
    <x v="5"/>
    <n v="0"/>
    <x v="0"/>
    <x v="8"/>
    <n v="849"/>
    <n v="530"/>
    <n v="0"/>
    <n v="0"/>
    <n v="0"/>
  </r>
  <r>
    <x v="1014"/>
    <x v="6"/>
    <n v="1"/>
    <x v="0"/>
    <x v="8"/>
    <n v="1000"/>
    <n v="768"/>
    <n v="1000"/>
    <n v="768"/>
    <n v="232"/>
  </r>
  <r>
    <x v="1015"/>
    <x v="7"/>
    <n v="0"/>
    <x v="0"/>
    <x v="8"/>
    <n v="680"/>
    <n v="570"/>
    <n v="0"/>
    <n v="0"/>
    <n v="0"/>
  </r>
  <r>
    <x v="1016"/>
    <x v="8"/>
    <n v="0"/>
    <x v="0"/>
    <x v="8"/>
    <n v="199"/>
    <n v="140"/>
    <n v="0"/>
    <n v="0"/>
    <n v="0"/>
  </r>
  <r>
    <x v="1017"/>
    <x v="9"/>
    <n v="0"/>
    <x v="0"/>
    <x v="8"/>
    <n v="219"/>
    <n v="132"/>
    <n v="0"/>
    <n v="0"/>
    <n v="0"/>
  </r>
  <r>
    <x v="1018"/>
    <x v="10"/>
    <n v="0"/>
    <x v="0"/>
    <x v="8"/>
    <n v="1469"/>
    <n v="1184"/>
    <n v="0"/>
    <n v="0"/>
    <n v="0"/>
  </r>
  <r>
    <x v="1019"/>
    <x v="11"/>
    <n v="0"/>
    <x v="0"/>
    <x v="8"/>
    <n v="89"/>
    <n v="59"/>
    <n v="0"/>
    <n v="0"/>
    <n v="0"/>
  </r>
  <r>
    <x v="1020"/>
    <x v="12"/>
    <n v="0"/>
    <x v="0"/>
    <x v="8"/>
    <n v="310"/>
    <n v="206"/>
    <n v="0"/>
    <n v="0"/>
    <n v="0"/>
  </r>
  <r>
    <x v="1021"/>
    <x v="13"/>
    <n v="0"/>
    <x v="0"/>
    <x v="8"/>
    <n v="540"/>
    <n v="397"/>
    <n v="0"/>
    <n v="0"/>
    <n v="0"/>
  </r>
  <r>
    <x v="1022"/>
    <x v="14"/>
    <n v="0"/>
    <x v="0"/>
    <x v="8"/>
    <n v="360"/>
    <n v="248"/>
    <n v="0"/>
    <n v="0"/>
    <n v="0"/>
  </r>
  <r>
    <x v="1023"/>
    <x v="15"/>
    <n v="0"/>
    <x v="0"/>
    <x v="8"/>
    <n v="250"/>
    <n v="190"/>
    <n v="0"/>
    <n v="0"/>
    <n v="0"/>
  </r>
  <r>
    <x v="1024"/>
    <x v="16"/>
    <n v="0"/>
    <x v="0"/>
    <x v="8"/>
    <n v="120"/>
    <n v="85"/>
    <n v="0"/>
    <n v="0"/>
    <n v="0"/>
  </r>
  <r>
    <x v="1025"/>
    <x v="17"/>
    <n v="0"/>
    <x v="0"/>
    <x v="8"/>
    <n v="80"/>
    <n v="55"/>
    <n v="0"/>
    <n v="0"/>
    <n v="0"/>
  </r>
  <r>
    <x v="1026"/>
    <x v="0"/>
    <n v="0"/>
    <x v="1"/>
    <x v="9"/>
    <n v="549"/>
    <n v="365"/>
    <n v="0"/>
    <n v="0"/>
    <n v="0"/>
  </r>
  <r>
    <x v="1027"/>
    <x v="1"/>
    <n v="1"/>
    <x v="1"/>
    <x v="9"/>
    <n v="699"/>
    <n v="550"/>
    <n v="699"/>
    <n v="550"/>
    <n v="149"/>
  </r>
  <r>
    <x v="1028"/>
    <x v="2"/>
    <n v="0"/>
    <x v="1"/>
    <x v="9"/>
    <n v="739"/>
    <n v="620"/>
    <n v="0"/>
    <n v="0"/>
    <n v="0"/>
  </r>
  <r>
    <x v="1029"/>
    <x v="3"/>
    <n v="0"/>
    <x v="1"/>
    <x v="9"/>
    <n v="899"/>
    <n v="714"/>
    <n v="0"/>
    <n v="0"/>
    <n v="0"/>
  </r>
  <r>
    <x v="1030"/>
    <x v="4"/>
    <n v="0"/>
    <x v="1"/>
    <x v="9"/>
    <n v="1379"/>
    <n v="890"/>
    <n v="0"/>
    <n v="0"/>
    <n v="0"/>
  </r>
  <r>
    <x v="1031"/>
    <x v="5"/>
    <n v="0"/>
    <x v="1"/>
    <x v="9"/>
    <n v="849"/>
    <n v="530"/>
    <n v="0"/>
    <n v="0"/>
    <n v="0"/>
  </r>
  <r>
    <x v="1032"/>
    <x v="6"/>
    <n v="0"/>
    <x v="1"/>
    <x v="9"/>
    <n v="1000"/>
    <n v="768"/>
    <n v="0"/>
    <n v="0"/>
    <n v="0"/>
  </r>
  <r>
    <x v="1033"/>
    <x v="7"/>
    <n v="0"/>
    <x v="1"/>
    <x v="9"/>
    <n v="680"/>
    <n v="570"/>
    <n v="0"/>
    <n v="0"/>
    <n v="0"/>
  </r>
  <r>
    <x v="1034"/>
    <x v="8"/>
    <n v="0"/>
    <x v="1"/>
    <x v="9"/>
    <n v="199"/>
    <n v="140"/>
    <n v="0"/>
    <n v="0"/>
    <n v="0"/>
  </r>
  <r>
    <x v="1035"/>
    <x v="9"/>
    <n v="0"/>
    <x v="1"/>
    <x v="9"/>
    <n v="219"/>
    <n v="132"/>
    <n v="0"/>
    <n v="0"/>
    <n v="0"/>
  </r>
  <r>
    <x v="1036"/>
    <x v="10"/>
    <n v="1"/>
    <x v="1"/>
    <x v="9"/>
    <n v="1469"/>
    <n v="1184"/>
    <n v="1469"/>
    <n v="1184"/>
    <n v="285"/>
  </r>
  <r>
    <x v="1037"/>
    <x v="11"/>
    <n v="0"/>
    <x v="1"/>
    <x v="9"/>
    <n v="89"/>
    <n v="59"/>
    <n v="0"/>
    <n v="0"/>
    <n v="0"/>
  </r>
  <r>
    <x v="1038"/>
    <x v="12"/>
    <n v="0"/>
    <x v="1"/>
    <x v="9"/>
    <n v="310"/>
    <n v="206"/>
    <n v="0"/>
    <n v="0"/>
    <n v="0"/>
  </r>
  <r>
    <x v="1039"/>
    <x v="13"/>
    <n v="0"/>
    <x v="1"/>
    <x v="9"/>
    <n v="540"/>
    <n v="397"/>
    <n v="0"/>
    <n v="0"/>
    <n v="0"/>
  </r>
  <r>
    <x v="1040"/>
    <x v="14"/>
    <n v="0"/>
    <x v="1"/>
    <x v="9"/>
    <n v="360"/>
    <n v="248"/>
    <n v="0"/>
    <n v="0"/>
    <n v="0"/>
  </r>
  <r>
    <x v="1041"/>
    <x v="15"/>
    <n v="0"/>
    <x v="1"/>
    <x v="9"/>
    <n v="250"/>
    <n v="190"/>
    <n v="0"/>
    <n v="0"/>
    <n v="0"/>
  </r>
  <r>
    <x v="1042"/>
    <x v="16"/>
    <n v="0"/>
    <x v="1"/>
    <x v="9"/>
    <n v="120"/>
    <n v="85"/>
    <n v="0"/>
    <n v="0"/>
    <n v="0"/>
  </r>
  <r>
    <x v="1043"/>
    <x v="17"/>
    <n v="0"/>
    <x v="1"/>
    <x v="9"/>
    <n v="80"/>
    <n v="55"/>
    <n v="0"/>
    <n v="0"/>
    <n v="0"/>
  </r>
  <r>
    <x v="1044"/>
    <x v="0"/>
    <n v="0"/>
    <x v="2"/>
    <x v="9"/>
    <n v="549"/>
    <n v="365"/>
    <n v="0"/>
    <n v="0"/>
    <n v="0"/>
  </r>
  <r>
    <x v="1045"/>
    <x v="1"/>
    <n v="0"/>
    <x v="2"/>
    <x v="9"/>
    <n v="699"/>
    <n v="550"/>
    <n v="0"/>
    <n v="0"/>
    <n v="0"/>
  </r>
  <r>
    <x v="1046"/>
    <x v="2"/>
    <n v="0"/>
    <x v="2"/>
    <x v="9"/>
    <n v="739"/>
    <n v="620"/>
    <n v="0"/>
    <n v="0"/>
    <n v="0"/>
  </r>
  <r>
    <x v="1047"/>
    <x v="3"/>
    <n v="6"/>
    <x v="2"/>
    <x v="9"/>
    <n v="899"/>
    <n v="714"/>
    <n v="5394"/>
    <n v="4284"/>
    <n v="1110"/>
  </r>
  <r>
    <x v="1048"/>
    <x v="4"/>
    <n v="0"/>
    <x v="2"/>
    <x v="9"/>
    <n v="1379"/>
    <n v="890"/>
    <n v="0"/>
    <n v="0"/>
    <n v="0"/>
  </r>
  <r>
    <x v="1049"/>
    <x v="5"/>
    <n v="0"/>
    <x v="2"/>
    <x v="9"/>
    <n v="849"/>
    <n v="530"/>
    <n v="0"/>
    <n v="0"/>
    <n v="0"/>
  </r>
  <r>
    <x v="1050"/>
    <x v="6"/>
    <n v="0"/>
    <x v="2"/>
    <x v="9"/>
    <n v="1000"/>
    <n v="768"/>
    <n v="0"/>
    <n v="0"/>
    <n v="0"/>
  </r>
  <r>
    <x v="1051"/>
    <x v="7"/>
    <n v="0"/>
    <x v="2"/>
    <x v="9"/>
    <n v="680"/>
    <n v="570"/>
    <n v="0"/>
    <n v="0"/>
    <n v="0"/>
  </r>
  <r>
    <x v="1052"/>
    <x v="8"/>
    <n v="0"/>
    <x v="2"/>
    <x v="9"/>
    <n v="199"/>
    <n v="140"/>
    <n v="0"/>
    <n v="0"/>
    <n v="0"/>
  </r>
  <r>
    <x v="1053"/>
    <x v="9"/>
    <n v="0"/>
    <x v="2"/>
    <x v="9"/>
    <n v="219"/>
    <n v="132"/>
    <n v="0"/>
    <n v="0"/>
    <n v="0"/>
  </r>
  <r>
    <x v="1054"/>
    <x v="10"/>
    <n v="1"/>
    <x v="2"/>
    <x v="9"/>
    <n v="1469"/>
    <n v="1184"/>
    <n v="1469"/>
    <n v="1184"/>
    <n v="285"/>
  </r>
  <r>
    <x v="1055"/>
    <x v="11"/>
    <n v="0"/>
    <x v="2"/>
    <x v="9"/>
    <n v="89"/>
    <n v="59"/>
    <n v="0"/>
    <n v="0"/>
    <n v="0"/>
  </r>
  <r>
    <x v="1056"/>
    <x v="12"/>
    <n v="0"/>
    <x v="2"/>
    <x v="9"/>
    <n v="310"/>
    <n v="206"/>
    <n v="0"/>
    <n v="0"/>
    <n v="0"/>
  </r>
  <r>
    <x v="1057"/>
    <x v="13"/>
    <n v="0"/>
    <x v="2"/>
    <x v="9"/>
    <n v="540"/>
    <n v="397"/>
    <n v="0"/>
    <n v="0"/>
    <n v="0"/>
  </r>
  <r>
    <x v="1058"/>
    <x v="14"/>
    <n v="0"/>
    <x v="2"/>
    <x v="9"/>
    <n v="360"/>
    <n v="248"/>
    <n v="0"/>
    <n v="0"/>
    <n v="0"/>
  </r>
  <r>
    <x v="1059"/>
    <x v="15"/>
    <n v="0"/>
    <x v="2"/>
    <x v="9"/>
    <n v="250"/>
    <n v="190"/>
    <n v="0"/>
    <n v="0"/>
    <n v="0"/>
  </r>
  <r>
    <x v="1060"/>
    <x v="16"/>
    <n v="0"/>
    <x v="2"/>
    <x v="9"/>
    <n v="120"/>
    <n v="85"/>
    <n v="0"/>
    <n v="0"/>
    <n v="0"/>
  </r>
  <r>
    <x v="1061"/>
    <x v="17"/>
    <n v="0"/>
    <x v="2"/>
    <x v="9"/>
    <n v="80"/>
    <n v="55"/>
    <n v="0"/>
    <n v="0"/>
    <n v="0"/>
  </r>
  <r>
    <x v="1062"/>
    <x v="0"/>
    <n v="0"/>
    <x v="3"/>
    <x v="9"/>
    <n v="549"/>
    <n v="365"/>
    <n v="0"/>
    <n v="0"/>
    <n v="0"/>
  </r>
  <r>
    <x v="1063"/>
    <x v="1"/>
    <n v="0"/>
    <x v="3"/>
    <x v="9"/>
    <n v="699"/>
    <n v="550"/>
    <n v="0"/>
    <n v="0"/>
    <n v="0"/>
  </r>
  <r>
    <x v="1064"/>
    <x v="2"/>
    <n v="0"/>
    <x v="3"/>
    <x v="9"/>
    <n v="739"/>
    <n v="620"/>
    <n v="0"/>
    <n v="0"/>
    <n v="0"/>
  </r>
  <r>
    <x v="1065"/>
    <x v="3"/>
    <n v="0"/>
    <x v="3"/>
    <x v="9"/>
    <n v="899"/>
    <n v="714"/>
    <n v="0"/>
    <n v="0"/>
    <n v="0"/>
  </r>
  <r>
    <x v="1066"/>
    <x v="4"/>
    <n v="0"/>
    <x v="3"/>
    <x v="9"/>
    <n v="1379"/>
    <n v="890"/>
    <n v="0"/>
    <n v="0"/>
    <n v="0"/>
  </r>
  <r>
    <x v="1067"/>
    <x v="5"/>
    <n v="0"/>
    <x v="3"/>
    <x v="9"/>
    <n v="849"/>
    <n v="530"/>
    <n v="0"/>
    <n v="0"/>
    <n v="0"/>
  </r>
  <r>
    <x v="1068"/>
    <x v="6"/>
    <n v="0"/>
    <x v="3"/>
    <x v="9"/>
    <n v="1000"/>
    <n v="768"/>
    <n v="0"/>
    <n v="0"/>
    <n v="0"/>
  </r>
  <r>
    <x v="1069"/>
    <x v="7"/>
    <n v="0"/>
    <x v="3"/>
    <x v="9"/>
    <n v="680"/>
    <n v="570"/>
    <n v="0"/>
    <n v="0"/>
    <n v="0"/>
  </r>
  <r>
    <x v="1070"/>
    <x v="8"/>
    <n v="0"/>
    <x v="3"/>
    <x v="9"/>
    <n v="199"/>
    <n v="140"/>
    <n v="0"/>
    <n v="0"/>
    <n v="0"/>
  </r>
  <r>
    <x v="1071"/>
    <x v="9"/>
    <n v="0"/>
    <x v="3"/>
    <x v="9"/>
    <n v="219"/>
    <n v="132"/>
    <n v="0"/>
    <n v="0"/>
    <n v="0"/>
  </r>
  <r>
    <x v="1072"/>
    <x v="10"/>
    <n v="1"/>
    <x v="3"/>
    <x v="9"/>
    <n v="1469"/>
    <n v="1184"/>
    <n v="1469"/>
    <n v="1184"/>
    <n v="285"/>
  </r>
  <r>
    <x v="1073"/>
    <x v="11"/>
    <n v="0"/>
    <x v="3"/>
    <x v="9"/>
    <n v="89"/>
    <n v="59"/>
    <n v="0"/>
    <n v="0"/>
    <n v="0"/>
  </r>
  <r>
    <x v="1074"/>
    <x v="12"/>
    <n v="0"/>
    <x v="3"/>
    <x v="9"/>
    <n v="310"/>
    <n v="206"/>
    <n v="0"/>
    <n v="0"/>
    <n v="0"/>
  </r>
  <r>
    <x v="1075"/>
    <x v="13"/>
    <n v="0"/>
    <x v="3"/>
    <x v="9"/>
    <n v="540"/>
    <n v="397"/>
    <n v="0"/>
    <n v="0"/>
    <n v="0"/>
  </r>
  <r>
    <x v="1076"/>
    <x v="14"/>
    <n v="0"/>
    <x v="3"/>
    <x v="9"/>
    <n v="360"/>
    <n v="248"/>
    <n v="0"/>
    <n v="0"/>
    <n v="0"/>
  </r>
  <r>
    <x v="1077"/>
    <x v="15"/>
    <n v="0"/>
    <x v="3"/>
    <x v="9"/>
    <n v="250"/>
    <n v="190"/>
    <n v="0"/>
    <n v="0"/>
    <n v="0"/>
  </r>
  <r>
    <x v="1078"/>
    <x v="16"/>
    <n v="0"/>
    <x v="3"/>
    <x v="9"/>
    <n v="120"/>
    <n v="85"/>
    <n v="0"/>
    <n v="0"/>
    <n v="0"/>
  </r>
  <r>
    <x v="1079"/>
    <x v="17"/>
    <n v="0"/>
    <x v="3"/>
    <x v="9"/>
    <n v="80"/>
    <n v="55"/>
    <n v="0"/>
    <n v="0"/>
    <n v="0"/>
  </r>
  <r>
    <x v="1080"/>
    <x v="0"/>
    <n v="0"/>
    <x v="4"/>
    <x v="9"/>
    <n v="549"/>
    <n v="365"/>
    <n v="0"/>
    <n v="0"/>
    <n v="0"/>
  </r>
  <r>
    <x v="1081"/>
    <x v="1"/>
    <n v="0"/>
    <x v="4"/>
    <x v="9"/>
    <n v="699"/>
    <n v="550"/>
    <n v="0"/>
    <n v="0"/>
    <n v="0"/>
  </r>
  <r>
    <x v="1082"/>
    <x v="2"/>
    <n v="0"/>
    <x v="4"/>
    <x v="9"/>
    <n v="739"/>
    <n v="620"/>
    <n v="0"/>
    <n v="0"/>
    <n v="0"/>
  </r>
  <r>
    <x v="1083"/>
    <x v="3"/>
    <n v="0"/>
    <x v="4"/>
    <x v="9"/>
    <n v="899"/>
    <n v="714"/>
    <n v="0"/>
    <n v="0"/>
    <n v="0"/>
  </r>
  <r>
    <x v="1084"/>
    <x v="4"/>
    <n v="0"/>
    <x v="4"/>
    <x v="9"/>
    <n v="1379"/>
    <n v="890"/>
    <n v="0"/>
    <n v="0"/>
    <n v="0"/>
  </r>
  <r>
    <x v="1085"/>
    <x v="5"/>
    <n v="0"/>
    <x v="4"/>
    <x v="9"/>
    <n v="849"/>
    <n v="530"/>
    <n v="0"/>
    <n v="0"/>
    <n v="0"/>
  </r>
  <r>
    <x v="1086"/>
    <x v="6"/>
    <n v="0"/>
    <x v="4"/>
    <x v="9"/>
    <n v="1000"/>
    <n v="768"/>
    <n v="0"/>
    <n v="0"/>
    <n v="0"/>
  </r>
  <r>
    <x v="1087"/>
    <x v="7"/>
    <n v="0"/>
    <x v="4"/>
    <x v="9"/>
    <n v="680"/>
    <n v="570"/>
    <n v="0"/>
    <n v="0"/>
    <n v="0"/>
  </r>
  <r>
    <x v="1088"/>
    <x v="8"/>
    <n v="0"/>
    <x v="4"/>
    <x v="9"/>
    <n v="199"/>
    <n v="140"/>
    <n v="0"/>
    <n v="0"/>
    <n v="0"/>
  </r>
  <r>
    <x v="1089"/>
    <x v="9"/>
    <n v="0"/>
    <x v="4"/>
    <x v="9"/>
    <n v="219"/>
    <n v="132"/>
    <n v="0"/>
    <n v="0"/>
    <n v="0"/>
  </r>
  <r>
    <x v="1090"/>
    <x v="10"/>
    <n v="1"/>
    <x v="4"/>
    <x v="9"/>
    <n v="1469"/>
    <n v="1184"/>
    <n v="1469"/>
    <n v="1184"/>
    <n v="285"/>
  </r>
  <r>
    <x v="1091"/>
    <x v="11"/>
    <n v="0"/>
    <x v="4"/>
    <x v="9"/>
    <n v="89"/>
    <n v="59"/>
    <n v="0"/>
    <n v="0"/>
    <n v="0"/>
  </r>
  <r>
    <x v="1092"/>
    <x v="12"/>
    <n v="0"/>
    <x v="4"/>
    <x v="9"/>
    <n v="310"/>
    <n v="206"/>
    <n v="0"/>
    <n v="0"/>
    <n v="0"/>
  </r>
  <r>
    <x v="1093"/>
    <x v="13"/>
    <n v="0"/>
    <x v="4"/>
    <x v="9"/>
    <n v="540"/>
    <n v="397"/>
    <n v="0"/>
    <n v="0"/>
    <n v="0"/>
  </r>
  <r>
    <x v="1094"/>
    <x v="14"/>
    <n v="0"/>
    <x v="4"/>
    <x v="9"/>
    <n v="360"/>
    <n v="248"/>
    <n v="0"/>
    <n v="0"/>
    <n v="0"/>
  </r>
  <r>
    <x v="1095"/>
    <x v="15"/>
    <n v="0"/>
    <x v="4"/>
    <x v="9"/>
    <n v="250"/>
    <n v="190"/>
    <n v="0"/>
    <n v="0"/>
    <n v="0"/>
  </r>
  <r>
    <x v="1096"/>
    <x v="16"/>
    <n v="0"/>
    <x v="4"/>
    <x v="9"/>
    <n v="120"/>
    <n v="85"/>
    <n v="0"/>
    <n v="0"/>
    <n v="0"/>
  </r>
  <r>
    <x v="1097"/>
    <x v="17"/>
    <n v="0"/>
    <x v="4"/>
    <x v="9"/>
    <n v="80"/>
    <n v="55"/>
    <n v="0"/>
    <n v="0"/>
    <n v="0"/>
  </r>
  <r>
    <x v="1098"/>
    <x v="0"/>
    <n v="0"/>
    <x v="5"/>
    <x v="9"/>
    <n v="549"/>
    <n v="365"/>
    <n v="0"/>
    <n v="0"/>
    <n v="0"/>
  </r>
  <r>
    <x v="1099"/>
    <x v="1"/>
    <n v="0"/>
    <x v="5"/>
    <x v="9"/>
    <n v="699"/>
    <n v="550"/>
    <n v="0"/>
    <n v="0"/>
    <n v="0"/>
  </r>
  <r>
    <x v="1100"/>
    <x v="2"/>
    <n v="0"/>
    <x v="5"/>
    <x v="9"/>
    <n v="739"/>
    <n v="620"/>
    <n v="0"/>
    <n v="0"/>
    <n v="0"/>
  </r>
  <r>
    <x v="1101"/>
    <x v="3"/>
    <n v="0"/>
    <x v="5"/>
    <x v="9"/>
    <n v="899"/>
    <n v="714"/>
    <n v="0"/>
    <n v="0"/>
    <n v="0"/>
  </r>
  <r>
    <x v="1102"/>
    <x v="4"/>
    <n v="0"/>
    <x v="5"/>
    <x v="9"/>
    <n v="1379"/>
    <n v="890"/>
    <n v="0"/>
    <n v="0"/>
    <n v="0"/>
  </r>
  <r>
    <x v="1103"/>
    <x v="5"/>
    <n v="0"/>
    <x v="5"/>
    <x v="9"/>
    <n v="849"/>
    <n v="530"/>
    <n v="0"/>
    <n v="0"/>
    <n v="0"/>
  </r>
  <r>
    <x v="1104"/>
    <x v="6"/>
    <n v="0"/>
    <x v="5"/>
    <x v="9"/>
    <n v="1000"/>
    <n v="768"/>
    <n v="0"/>
    <n v="0"/>
    <n v="0"/>
  </r>
  <r>
    <x v="1105"/>
    <x v="7"/>
    <n v="0"/>
    <x v="5"/>
    <x v="9"/>
    <n v="680"/>
    <n v="570"/>
    <n v="0"/>
    <n v="0"/>
    <n v="0"/>
  </r>
  <r>
    <x v="1106"/>
    <x v="8"/>
    <n v="0"/>
    <x v="5"/>
    <x v="9"/>
    <n v="199"/>
    <n v="140"/>
    <n v="0"/>
    <n v="0"/>
    <n v="0"/>
  </r>
  <r>
    <x v="1107"/>
    <x v="9"/>
    <n v="0"/>
    <x v="5"/>
    <x v="9"/>
    <n v="219"/>
    <n v="132"/>
    <n v="0"/>
    <n v="0"/>
    <n v="0"/>
  </r>
  <r>
    <x v="1108"/>
    <x v="10"/>
    <n v="2"/>
    <x v="5"/>
    <x v="9"/>
    <n v="1469"/>
    <n v="1184"/>
    <n v="2938"/>
    <n v="2368"/>
    <n v="570"/>
  </r>
  <r>
    <x v="1109"/>
    <x v="11"/>
    <n v="0"/>
    <x v="5"/>
    <x v="9"/>
    <n v="89"/>
    <n v="59"/>
    <n v="0"/>
    <n v="0"/>
    <n v="0"/>
  </r>
  <r>
    <x v="1110"/>
    <x v="12"/>
    <n v="0"/>
    <x v="5"/>
    <x v="9"/>
    <n v="310"/>
    <n v="206"/>
    <n v="0"/>
    <n v="0"/>
    <n v="0"/>
  </r>
  <r>
    <x v="1111"/>
    <x v="13"/>
    <n v="0"/>
    <x v="5"/>
    <x v="9"/>
    <n v="540"/>
    <n v="397"/>
    <n v="0"/>
    <n v="0"/>
    <n v="0"/>
  </r>
  <r>
    <x v="1112"/>
    <x v="14"/>
    <n v="0"/>
    <x v="5"/>
    <x v="9"/>
    <n v="360"/>
    <n v="248"/>
    <n v="0"/>
    <n v="0"/>
    <n v="0"/>
  </r>
  <r>
    <x v="1113"/>
    <x v="15"/>
    <n v="0"/>
    <x v="5"/>
    <x v="9"/>
    <n v="250"/>
    <n v="190"/>
    <n v="0"/>
    <n v="0"/>
    <n v="0"/>
  </r>
  <r>
    <x v="1114"/>
    <x v="16"/>
    <n v="0"/>
    <x v="5"/>
    <x v="9"/>
    <n v="120"/>
    <n v="85"/>
    <n v="0"/>
    <n v="0"/>
    <n v="0"/>
  </r>
  <r>
    <x v="1115"/>
    <x v="17"/>
    <n v="0"/>
    <x v="5"/>
    <x v="9"/>
    <n v="80"/>
    <n v="55"/>
    <n v="0"/>
    <n v="0"/>
    <n v="0"/>
  </r>
  <r>
    <x v="1116"/>
    <x v="0"/>
    <n v="0"/>
    <x v="6"/>
    <x v="9"/>
    <n v="549"/>
    <n v="365"/>
    <n v="0"/>
    <n v="0"/>
    <n v="0"/>
  </r>
  <r>
    <x v="1117"/>
    <x v="1"/>
    <n v="1"/>
    <x v="6"/>
    <x v="9"/>
    <n v="699"/>
    <n v="550"/>
    <n v="699"/>
    <n v="550"/>
    <n v="149"/>
  </r>
  <r>
    <x v="1118"/>
    <x v="2"/>
    <n v="0"/>
    <x v="6"/>
    <x v="9"/>
    <n v="739"/>
    <n v="620"/>
    <n v="0"/>
    <n v="0"/>
    <n v="0"/>
  </r>
  <r>
    <x v="1119"/>
    <x v="3"/>
    <n v="0"/>
    <x v="6"/>
    <x v="9"/>
    <n v="899"/>
    <n v="714"/>
    <n v="0"/>
    <n v="0"/>
    <n v="0"/>
  </r>
  <r>
    <x v="1120"/>
    <x v="4"/>
    <n v="0"/>
    <x v="6"/>
    <x v="9"/>
    <n v="1379"/>
    <n v="890"/>
    <n v="0"/>
    <n v="0"/>
    <n v="0"/>
  </r>
  <r>
    <x v="1121"/>
    <x v="5"/>
    <n v="1"/>
    <x v="6"/>
    <x v="9"/>
    <n v="849"/>
    <n v="530"/>
    <n v="849"/>
    <n v="530"/>
    <n v="319"/>
  </r>
  <r>
    <x v="1122"/>
    <x v="6"/>
    <n v="0"/>
    <x v="6"/>
    <x v="9"/>
    <n v="1000"/>
    <n v="768"/>
    <n v="0"/>
    <n v="0"/>
    <n v="0"/>
  </r>
  <r>
    <x v="1123"/>
    <x v="7"/>
    <n v="0"/>
    <x v="6"/>
    <x v="9"/>
    <n v="680"/>
    <n v="570"/>
    <n v="0"/>
    <n v="0"/>
    <n v="0"/>
  </r>
  <r>
    <x v="1124"/>
    <x v="8"/>
    <n v="0"/>
    <x v="6"/>
    <x v="9"/>
    <n v="199"/>
    <n v="140"/>
    <n v="0"/>
    <n v="0"/>
    <n v="0"/>
  </r>
  <r>
    <x v="1125"/>
    <x v="9"/>
    <n v="0"/>
    <x v="6"/>
    <x v="9"/>
    <n v="219"/>
    <n v="132"/>
    <n v="0"/>
    <n v="0"/>
    <n v="0"/>
  </r>
  <r>
    <x v="1126"/>
    <x v="10"/>
    <n v="2"/>
    <x v="6"/>
    <x v="9"/>
    <n v="1469"/>
    <n v="1184"/>
    <n v="2938"/>
    <n v="2368"/>
    <n v="570"/>
  </r>
  <r>
    <x v="1127"/>
    <x v="11"/>
    <n v="0"/>
    <x v="6"/>
    <x v="9"/>
    <n v="89"/>
    <n v="59"/>
    <n v="0"/>
    <n v="0"/>
    <n v="0"/>
  </r>
  <r>
    <x v="1128"/>
    <x v="12"/>
    <n v="0"/>
    <x v="6"/>
    <x v="9"/>
    <n v="310"/>
    <n v="206"/>
    <n v="0"/>
    <n v="0"/>
    <n v="0"/>
  </r>
  <r>
    <x v="1129"/>
    <x v="13"/>
    <n v="0"/>
    <x v="6"/>
    <x v="9"/>
    <n v="540"/>
    <n v="397"/>
    <n v="0"/>
    <n v="0"/>
    <n v="0"/>
  </r>
  <r>
    <x v="1130"/>
    <x v="14"/>
    <n v="0"/>
    <x v="6"/>
    <x v="9"/>
    <n v="360"/>
    <n v="248"/>
    <n v="0"/>
    <n v="0"/>
    <n v="0"/>
  </r>
  <r>
    <x v="1131"/>
    <x v="15"/>
    <n v="0"/>
    <x v="6"/>
    <x v="9"/>
    <n v="250"/>
    <n v="190"/>
    <n v="0"/>
    <n v="0"/>
    <n v="0"/>
  </r>
  <r>
    <x v="1132"/>
    <x v="16"/>
    <n v="0"/>
    <x v="6"/>
    <x v="9"/>
    <n v="120"/>
    <n v="85"/>
    <n v="0"/>
    <n v="0"/>
    <n v="0"/>
  </r>
  <r>
    <x v="1133"/>
    <x v="17"/>
    <n v="0"/>
    <x v="6"/>
    <x v="9"/>
    <n v="80"/>
    <n v="55"/>
    <n v="0"/>
    <n v="0"/>
    <n v="0"/>
  </r>
  <r>
    <x v="1134"/>
    <x v="0"/>
    <n v="0"/>
    <x v="0"/>
    <x v="9"/>
    <n v="549"/>
    <n v="365"/>
    <n v="0"/>
    <n v="0"/>
    <n v="0"/>
  </r>
  <r>
    <x v="1135"/>
    <x v="1"/>
    <n v="2"/>
    <x v="0"/>
    <x v="9"/>
    <n v="699"/>
    <n v="550"/>
    <n v="1398"/>
    <n v="1100"/>
    <n v="298"/>
  </r>
  <r>
    <x v="1136"/>
    <x v="2"/>
    <n v="3"/>
    <x v="0"/>
    <x v="9"/>
    <n v="739"/>
    <n v="620"/>
    <n v="2217"/>
    <n v="1860"/>
    <n v="357"/>
  </r>
  <r>
    <x v="1137"/>
    <x v="3"/>
    <n v="0"/>
    <x v="0"/>
    <x v="9"/>
    <n v="899"/>
    <n v="714"/>
    <n v="0"/>
    <n v="0"/>
    <n v="0"/>
  </r>
  <r>
    <x v="1138"/>
    <x v="4"/>
    <n v="0"/>
    <x v="0"/>
    <x v="9"/>
    <n v="1379"/>
    <n v="890"/>
    <n v="0"/>
    <n v="0"/>
    <n v="0"/>
  </r>
  <r>
    <x v="1139"/>
    <x v="5"/>
    <n v="2"/>
    <x v="0"/>
    <x v="9"/>
    <n v="849"/>
    <n v="530"/>
    <n v="1698"/>
    <n v="1060"/>
    <n v="638"/>
  </r>
  <r>
    <x v="1140"/>
    <x v="6"/>
    <n v="0"/>
    <x v="0"/>
    <x v="9"/>
    <n v="1000"/>
    <n v="768"/>
    <n v="0"/>
    <n v="0"/>
    <n v="0"/>
  </r>
  <r>
    <x v="1141"/>
    <x v="7"/>
    <n v="0"/>
    <x v="0"/>
    <x v="9"/>
    <n v="680"/>
    <n v="570"/>
    <n v="0"/>
    <n v="0"/>
    <n v="0"/>
  </r>
  <r>
    <x v="1142"/>
    <x v="8"/>
    <n v="0"/>
    <x v="0"/>
    <x v="9"/>
    <n v="199"/>
    <n v="140"/>
    <n v="0"/>
    <n v="0"/>
    <n v="0"/>
  </r>
  <r>
    <x v="1143"/>
    <x v="9"/>
    <n v="0"/>
    <x v="0"/>
    <x v="9"/>
    <n v="219"/>
    <n v="132"/>
    <n v="0"/>
    <n v="0"/>
    <n v="0"/>
  </r>
  <r>
    <x v="1144"/>
    <x v="10"/>
    <n v="1"/>
    <x v="0"/>
    <x v="9"/>
    <n v="1469"/>
    <n v="1184"/>
    <n v="1469"/>
    <n v="1184"/>
    <n v="285"/>
  </r>
  <r>
    <x v="1145"/>
    <x v="11"/>
    <n v="0"/>
    <x v="0"/>
    <x v="9"/>
    <n v="89"/>
    <n v="59"/>
    <n v="0"/>
    <n v="0"/>
    <n v="0"/>
  </r>
  <r>
    <x v="1146"/>
    <x v="12"/>
    <n v="0"/>
    <x v="0"/>
    <x v="9"/>
    <n v="310"/>
    <n v="206"/>
    <n v="0"/>
    <n v="0"/>
    <n v="0"/>
  </r>
  <r>
    <x v="1147"/>
    <x v="13"/>
    <n v="0"/>
    <x v="0"/>
    <x v="9"/>
    <n v="540"/>
    <n v="397"/>
    <n v="0"/>
    <n v="0"/>
    <n v="0"/>
  </r>
  <r>
    <x v="1148"/>
    <x v="14"/>
    <n v="0"/>
    <x v="0"/>
    <x v="9"/>
    <n v="360"/>
    <n v="248"/>
    <n v="0"/>
    <n v="0"/>
    <n v="0"/>
  </r>
  <r>
    <x v="1149"/>
    <x v="15"/>
    <n v="0"/>
    <x v="0"/>
    <x v="9"/>
    <n v="250"/>
    <n v="190"/>
    <n v="0"/>
    <n v="0"/>
    <n v="0"/>
  </r>
  <r>
    <x v="1150"/>
    <x v="16"/>
    <n v="0"/>
    <x v="0"/>
    <x v="9"/>
    <n v="120"/>
    <n v="85"/>
    <n v="0"/>
    <n v="0"/>
    <n v="0"/>
  </r>
  <r>
    <x v="1151"/>
    <x v="17"/>
    <n v="0"/>
    <x v="0"/>
    <x v="9"/>
    <n v="80"/>
    <n v="55"/>
    <n v="0"/>
    <n v="0"/>
    <n v="0"/>
  </r>
  <r>
    <x v="1152"/>
    <x v="0"/>
    <n v="0"/>
    <x v="1"/>
    <x v="10"/>
    <n v="549"/>
    <n v="365"/>
    <n v="0"/>
    <n v="0"/>
    <n v="0"/>
  </r>
  <r>
    <x v="1153"/>
    <x v="1"/>
    <n v="1"/>
    <x v="1"/>
    <x v="10"/>
    <n v="699"/>
    <n v="550"/>
    <n v="699"/>
    <n v="550"/>
    <n v="149"/>
  </r>
  <r>
    <x v="1154"/>
    <x v="2"/>
    <n v="0"/>
    <x v="1"/>
    <x v="10"/>
    <n v="739"/>
    <n v="620"/>
    <n v="0"/>
    <n v="0"/>
    <n v="0"/>
  </r>
  <r>
    <x v="1155"/>
    <x v="3"/>
    <n v="0"/>
    <x v="1"/>
    <x v="10"/>
    <n v="899"/>
    <n v="714"/>
    <n v="0"/>
    <n v="0"/>
    <n v="0"/>
  </r>
  <r>
    <x v="1156"/>
    <x v="4"/>
    <n v="0"/>
    <x v="1"/>
    <x v="10"/>
    <n v="1379"/>
    <n v="890"/>
    <n v="0"/>
    <n v="0"/>
    <n v="0"/>
  </r>
  <r>
    <x v="1157"/>
    <x v="5"/>
    <n v="0"/>
    <x v="1"/>
    <x v="10"/>
    <n v="849"/>
    <n v="530"/>
    <n v="0"/>
    <n v="0"/>
    <n v="0"/>
  </r>
  <r>
    <x v="1158"/>
    <x v="6"/>
    <n v="0"/>
    <x v="1"/>
    <x v="10"/>
    <n v="1000"/>
    <n v="768"/>
    <n v="0"/>
    <n v="0"/>
    <n v="0"/>
  </r>
  <r>
    <x v="1159"/>
    <x v="7"/>
    <n v="0"/>
    <x v="1"/>
    <x v="10"/>
    <n v="680"/>
    <n v="570"/>
    <n v="0"/>
    <n v="0"/>
    <n v="0"/>
  </r>
  <r>
    <x v="1160"/>
    <x v="8"/>
    <n v="0"/>
    <x v="1"/>
    <x v="10"/>
    <n v="199"/>
    <n v="140"/>
    <n v="0"/>
    <n v="0"/>
    <n v="0"/>
  </r>
  <r>
    <x v="1161"/>
    <x v="9"/>
    <n v="0"/>
    <x v="1"/>
    <x v="10"/>
    <n v="219"/>
    <n v="132"/>
    <n v="0"/>
    <n v="0"/>
    <n v="0"/>
  </r>
  <r>
    <x v="1162"/>
    <x v="10"/>
    <n v="0"/>
    <x v="1"/>
    <x v="10"/>
    <n v="1469"/>
    <n v="1184"/>
    <n v="0"/>
    <n v="0"/>
    <n v="0"/>
  </r>
  <r>
    <x v="1163"/>
    <x v="11"/>
    <n v="0"/>
    <x v="1"/>
    <x v="10"/>
    <n v="89"/>
    <n v="59"/>
    <n v="0"/>
    <n v="0"/>
    <n v="0"/>
  </r>
  <r>
    <x v="1164"/>
    <x v="12"/>
    <n v="0"/>
    <x v="1"/>
    <x v="10"/>
    <n v="310"/>
    <n v="206"/>
    <n v="0"/>
    <n v="0"/>
    <n v="0"/>
  </r>
  <r>
    <x v="1165"/>
    <x v="13"/>
    <n v="0"/>
    <x v="1"/>
    <x v="10"/>
    <n v="540"/>
    <n v="397"/>
    <n v="0"/>
    <n v="0"/>
    <n v="0"/>
  </r>
  <r>
    <x v="1166"/>
    <x v="14"/>
    <n v="0"/>
    <x v="1"/>
    <x v="10"/>
    <n v="360"/>
    <n v="248"/>
    <n v="0"/>
    <n v="0"/>
    <n v="0"/>
  </r>
  <r>
    <x v="1167"/>
    <x v="15"/>
    <n v="0"/>
    <x v="1"/>
    <x v="10"/>
    <n v="250"/>
    <n v="190"/>
    <n v="0"/>
    <n v="0"/>
    <n v="0"/>
  </r>
  <r>
    <x v="1168"/>
    <x v="16"/>
    <n v="0"/>
    <x v="1"/>
    <x v="10"/>
    <n v="120"/>
    <n v="85"/>
    <n v="0"/>
    <n v="0"/>
    <n v="0"/>
  </r>
  <r>
    <x v="1169"/>
    <x v="17"/>
    <n v="0"/>
    <x v="1"/>
    <x v="10"/>
    <n v="80"/>
    <n v="55"/>
    <n v="0"/>
    <n v="0"/>
    <n v="0"/>
  </r>
  <r>
    <x v="1170"/>
    <x v="0"/>
    <n v="0"/>
    <x v="2"/>
    <x v="10"/>
    <n v="549"/>
    <n v="365"/>
    <n v="0"/>
    <n v="0"/>
    <n v="0"/>
  </r>
  <r>
    <x v="1171"/>
    <x v="1"/>
    <n v="0"/>
    <x v="2"/>
    <x v="10"/>
    <n v="699"/>
    <n v="550"/>
    <n v="0"/>
    <n v="0"/>
    <n v="0"/>
  </r>
  <r>
    <x v="1172"/>
    <x v="2"/>
    <n v="0"/>
    <x v="2"/>
    <x v="10"/>
    <n v="739"/>
    <n v="620"/>
    <n v="0"/>
    <n v="0"/>
    <n v="0"/>
  </r>
  <r>
    <x v="1173"/>
    <x v="3"/>
    <n v="0"/>
    <x v="2"/>
    <x v="10"/>
    <n v="899"/>
    <n v="714"/>
    <n v="0"/>
    <n v="0"/>
    <n v="0"/>
  </r>
  <r>
    <x v="1174"/>
    <x v="4"/>
    <n v="1"/>
    <x v="2"/>
    <x v="10"/>
    <n v="1379"/>
    <n v="890"/>
    <n v="1379"/>
    <n v="890"/>
    <n v="489"/>
  </r>
  <r>
    <x v="1175"/>
    <x v="5"/>
    <n v="1"/>
    <x v="2"/>
    <x v="10"/>
    <n v="849"/>
    <n v="530"/>
    <n v="849"/>
    <n v="530"/>
    <n v="319"/>
  </r>
  <r>
    <x v="1176"/>
    <x v="6"/>
    <n v="0"/>
    <x v="2"/>
    <x v="10"/>
    <n v="1000"/>
    <n v="768"/>
    <n v="0"/>
    <n v="0"/>
    <n v="0"/>
  </r>
  <r>
    <x v="1177"/>
    <x v="7"/>
    <n v="0"/>
    <x v="2"/>
    <x v="10"/>
    <n v="680"/>
    <n v="570"/>
    <n v="0"/>
    <n v="0"/>
    <n v="0"/>
  </r>
  <r>
    <x v="1178"/>
    <x v="8"/>
    <n v="0"/>
    <x v="2"/>
    <x v="10"/>
    <n v="199"/>
    <n v="140"/>
    <n v="0"/>
    <n v="0"/>
    <n v="0"/>
  </r>
  <r>
    <x v="1179"/>
    <x v="9"/>
    <n v="0"/>
    <x v="2"/>
    <x v="10"/>
    <n v="219"/>
    <n v="132"/>
    <n v="0"/>
    <n v="0"/>
    <n v="0"/>
  </r>
  <r>
    <x v="1180"/>
    <x v="10"/>
    <n v="5"/>
    <x v="2"/>
    <x v="10"/>
    <n v="1469"/>
    <n v="1184"/>
    <n v="7345"/>
    <n v="5920"/>
    <n v="1425"/>
  </r>
  <r>
    <x v="1181"/>
    <x v="11"/>
    <n v="0"/>
    <x v="2"/>
    <x v="10"/>
    <n v="89"/>
    <n v="59"/>
    <n v="0"/>
    <n v="0"/>
    <n v="0"/>
  </r>
  <r>
    <x v="1182"/>
    <x v="12"/>
    <n v="0"/>
    <x v="2"/>
    <x v="10"/>
    <n v="310"/>
    <n v="206"/>
    <n v="0"/>
    <n v="0"/>
    <n v="0"/>
  </r>
  <r>
    <x v="1183"/>
    <x v="13"/>
    <n v="0"/>
    <x v="2"/>
    <x v="10"/>
    <n v="540"/>
    <n v="397"/>
    <n v="0"/>
    <n v="0"/>
    <n v="0"/>
  </r>
  <r>
    <x v="1184"/>
    <x v="14"/>
    <n v="0"/>
    <x v="2"/>
    <x v="10"/>
    <n v="360"/>
    <n v="248"/>
    <n v="0"/>
    <n v="0"/>
    <n v="0"/>
  </r>
  <r>
    <x v="1185"/>
    <x v="15"/>
    <n v="0"/>
    <x v="2"/>
    <x v="10"/>
    <n v="250"/>
    <n v="190"/>
    <n v="0"/>
    <n v="0"/>
    <n v="0"/>
  </r>
  <r>
    <x v="1186"/>
    <x v="16"/>
    <n v="0"/>
    <x v="2"/>
    <x v="10"/>
    <n v="120"/>
    <n v="85"/>
    <n v="0"/>
    <n v="0"/>
    <n v="0"/>
  </r>
  <r>
    <x v="1187"/>
    <x v="17"/>
    <n v="0"/>
    <x v="2"/>
    <x v="10"/>
    <n v="80"/>
    <n v="55"/>
    <n v="0"/>
    <n v="0"/>
    <n v="0"/>
  </r>
  <r>
    <x v="1188"/>
    <x v="0"/>
    <n v="0"/>
    <x v="3"/>
    <x v="10"/>
    <n v="549"/>
    <n v="365"/>
    <n v="0"/>
    <n v="0"/>
    <n v="0"/>
  </r>
  <r>
    <x v="1189"/>
    <x v="1"/>
    <n v="0"/>
    <x v="3"/>
    <x v="10"/>
    <n v="699"/>
    <n v="550"/>
    <n v="0"/>
    <n v="0"/>
    <n v="0"/>
  </r>
  <r>
    <x v="1190"/>
    <x v="2"/>
    <n v="0"/>
    <x v="3"/>
    <x v="10"/>
    <n v="739"/>
    <n v="620"/>
    <n v="0"/>
    <n v="0"/>
    <n v="0"/>
  </r>
  <r>
    <x v="1191"/>
    <x v="3"/>
    <n v="0"/>
    <x v="3"/>
    <x v="10"/>
    <n v="899"/>
    <n v="714"/>
    <n v="0"/>
    <n v="0"/>
    <n v="0"/>
  </r>
  <r>
    <x v="1192"/>
    <x v="4"/>
    <n v="0"/>
    <x v="3"/>
    <x v="10"/>
    <n v="1379"/>
    <n v="890"/>
    <n v="0"/>
    <n v="0"/>
    <n v="0"/>
  </r>
  <r>
    <x v="1193"/>
    <x v="5"/>
    <n v="0"/>
    <x v="3"/>
    <x v="10"/>
    <n v="849"/>
    <n v="530"/>
    <n v="0"/>
    <n v="0"/>
    <n v="0"/>
  </r>
  <r>
    <x v="1194"/>
    <x v="6"/>
    <n v="0"/>
    <x v="3"/>
    <x v="10"/>
    <n v="1000"/>
    <n v="768"/>
    <n v="0"/>
    <n v="0"/>
    <n v="0"/>
  </r>
  <r>
    <x v="1195"/>
    <x v="7"/>
    <n v="0"/>
    <x v="3"/>
    <x v="10"/>
    <n v="680"/>
    <n v="570"/>
    <n v="0"/>
    <n v="0"/>
    <n v="0"/>
  </r>
  <r>
    <x v="1196"/>
    <x v="8"/>
    <n v="0"/>
    <x v="3"/>
    <x v="10"/>
    <n v="199"/>
    <n v="140"/>
    <n v="0"/>
    <n v="0"/>
    <n v="0"/>
  </r>
  <r>
    <x v="1197"/>
    <x v="9"/>
    <n v="0"/>
    <x v="3"/>
    <x v="10"/>
    <n v="219"/>
    <n v="132"/>
    <n v="0"/>
    <n v="0"/>
    <n v="0"/>
  </r>
  <r>
    <x v="1198"/>
    <x v="10"/>
    <n v="3"/>
    <x v="3"/>
    <x v="10"/>
    <n v="1469"/>
    <n v="1184"/>
    <n v="4407"/>
    <n v="3552"/>
    <n v="855"/>
  </r>
  <r>
    <x v="1199"/>
    <x v="11"/>
    <n v="0"/>
    <x v="3"/>
    <x v="10"/>
    <n v="89"/>
    <n v="59"/>
    <n v="0"/>
    <n v="0"/>
    <n v="0"/>
  </r>
  <r>
    <x v="1200"/>
    <x v="12"/>
    <n v="0"/>
    <x v="3"/>
    <x v="10"/>
    <n v="310"/>
    <n v="206"/>
    <n v="0"/>
    <n v="0"/>
    <n v="0"/>
  </r>
  <r>
    <x v="1201"/>
    <x v="13"/>
    <n v="0"/>
    <x v="3"/>
    <x v="10"/>
    <n v="540"/>
    <n v="397"/>
    <n v="0"/>
    <n v="0"/>
    <n v="0"/>
  </r>
  <r>
    <x v="1202"/>
    <x v="14"/>
    <n v="0"/>
    <x v="3"/>
    <x v="10"/>
    <n v="360"/>
    <n v="248"/>
    <n v="0"/>
    <n v="0"/>
    <n v="0"/>
  </r>
  <r>
    <x v="1203"/>
    <x v="15"/>
    <n v="0"/>
    <x v="3"/>
    <x v="10"/>
    <n v="250"/>
    <n v="190"/>
    <n v="0"/>
    <n v="0"/>
    <n v="0"/>
  </r>
  <r>
    <x v="1204"/>
    <x v="16"/>
    <n v="0"/>
    <x v="3"/>
    <x v="10"/>
    <n v="120"/>
    <n v="85"/>
    <n v="0"/>
    <n v="0"/>
    <n v="0"/>
  </r>
  <r>
    <x v="1205"/>
    <x v="17"/>
    <n v="0"/>
    <x v="3"/>
    <x v="10"/>
    <n v="80"/>
    <n v="55"/>
    <n v="0"/>
    <n v="0"/>
    <n v="0"/>
  </r>
  <r>
    <x v="1206"/>
    <x v="0"/>
    <n v="0"/>
    <x v="4"/>
    <x v="10"/>
    <n v="549"/>
    <n v="365"/>
    <n v="0"/>
    <n v="0"/>
    <n v="0"/>
  </r>
  <r>
    <x v="1207"/>
    <x v="1"/>
    <n v="0"/>
    <x v="4"/>
    <x v="10"/>
    <n v="699"/>
    <n v="550"/>
    <n v="0"/>
    <n v="0"/>
    <n v="0"/>
  </r>
  <r>
    <x v="1208"/>
    <x v="2"/>
    <n v="0"/>
    <x v="4"/>
    <x v="10"/>
    <n v="739"/>
    <n v="620"/>
    <n v="0"/>
    <n v="0"/>
    <n v="0"/>
  </r>
  <r>
    <x v="1209"/>
    <x v="3"/>
    <n v="0"/>
    <x v="4"/>
    <x v="10"/>
    <n v="899"/>
    <n v="714"/>
    <n v="0"/>
    <n v="0"/>
    <n v="0"/>
  </r>
  <r>
    <x v="1210"/>
    <x v="4"/>
    <n v="0"/>
    <x v="4"/>
    <x v="10"/>
    <n v="1379"/>
    <n v="890"/>
    <n v="0"/>
    <n v="0"/>
    <n v="0"/>
  </r>
  <r>
    <x v="1211"/>
    <x v="5"/>
    <n v="0"/>
    <x v="4"/>
    <x v="10"/>
    <n v="849"/>
    <n v="530"/>
    <n v="0"/>
    <n v="0"/>
    <n v="0"/>
  </r>
  <r>
    <x v="1212"/>
    <x v="6"/>
    <n v="0"/>
    <x v="4"/>
    <x v="10"/>
    <n v="1000"/>
    <n v="768"/>
    <n v="0"/>
    <n v="0"/>
    <n v="0"/>
  </r>
  <r>
    <x v="1213"/>
    <x v="7"/>
    <n v="0"/>
    <x v="4"/>
    <x v="10"/>
    <n v="680"/>
    <n v="570"/>
    <n v="0"/>
    <n v="0"/>
    <n v="0"/>
  </r>
  <r>
    <x v="1214"/>
    <x v="8"/>
    <n v="0"/>
    <x v="4"/>
    <x v="10"/>
    <n v="199"/>
    <n v="140"/>
    <n v="0"/>
    <n v="0"/>
    <n v="0"/>
  </r>
  <r>
    <x v="1215"/>
    <x v="9"/>
    <n v="0"/>
    <x v="4"/>
    <x v="10"/>
    <n v="219"/>
    <n v="132"/>
    <n v="0"/>
    <n v="0"/>
    <n v="0"/>
  </r>
  <r>
    <x v="1216"/>
    <x v="10"/>
    <n v="2"/>
    <x v="4"/>
    <x v="10"/>
    <n v="1469"/>
    <n v="1184"/>
    <n v="2938"/>
    <n v="2368"/>
    <n v="570"/>
  </r>
  <r>
    <x v="1217"/>
    <x v="11"/>
    <n v="0"/>
    <x v="4"/>
    <x v="10"/>
    <n v="89"/>
    <n v="59"/>
    <n v="0"/>
    <n v="0"/>
    <n v="0"/>
  </r>
  <r>
    <x v="1218"/>
    <x v="12"/>
    <n v="0"/>
    <x v="4"/>
    <x v="10"/>
    <n v="310"/>
    <n v="206"/>
    <n v="0"/>
    <n v="0"/>
    <n v="0"/>
  </r>
  <r>
    <x v="1219"/>
    <x v="13"/>
    <n v="0"/>
    <x v="4"/>
    <x v="10"/>
    <n v="540"/>
    <n v="397"/>
    <n v="0"/>
    <n v="0"/>
    <n v="0"/>
  </r>
  <r>
    <x v="1220"/>
    <x v="14"/>
    <n v="0"/>
    <x v="4"/>
    <x v="10"/>
    <n v="360"/>
    <n v="248"/>
    <n v="0"/>
    <n v="0"/>
    <n v="0"/>
  </r>
  <r>
    <x v="1221"/>
    <x v="15"/>
    <n v="0"/>
    <x v="4"/>
    <x v="10"/>
    <n v="250"/>
    <n v="190"/>
    <n v="0"/>
    <n v="0"/>
    <n v="0"/>
  </r>
  <r>
    <x v="1222"/>
    <x v="16"/>
    <n v="0"/>
    <x v="4"/>
    <x v="10"/>
    <n v="120"/>
    <n v="85"/>
    <n v="0"/>
    <n v="0"/>
    <n v="0"/>
  </r>
  <r>
    <x v="1223"/>
    <x v="17"/>
    <n v="0"/>
    <x v="4"/>
    <x v="10"/>
    <n v="80"/>
    <n v="55"/>
    <n v="0"/>
    <n v="0"/>
    <n v="0"/>
  </r>
  <r>
    <x v="1224"/>
    <x v="0"/>
    <n v="0"/>
    <x v="5"/>
    <x v="10"/>
    <n v="549"/>
    <n v="365"/>
    <n v="0"/>
    <n v="0"/>
    <n v="0"/>
  </r>
  <r>
    <x v="1225"/>
    <x v="1"/>
    <n v="0"/>
    <x v="5"/>
    <x v="10"/>
    <n v="699"/>
    <n v="550"/>
    <n v="0"/>
    <n v="0"/>
    <n v="0"/>
  </r>
  <r>
    <x v="1226"/>
    <x v="2"/>
    <n v="0"/>
    <x v="5"/>
    <x v="10"/>
    <n v="739"/>
    <n v="620"/>
    <n v="0"/>
    <n v="0"/>
    <n v="0"/>
  </r>
  <r>
    <x v="1227"/>
    <x v="3"/>
    <n v="0"/>
    <x v="5"/>
    <x v="10"/>
    <n v="899"/>
    <n v="714"/>
    <n v="0"/>
    <n v="0"/>
    <n v="0"/>
  </r>
  <r>
    <x v="1228"/>
    <x v="4"/>
    <n v="0"/>
    <x v="5"/>
    <x v="10"/>
    <n v="1379"/>
    <n v="890"/>
    <n v="0"/>
    <n v="0"/>
    <n v="0"/>
  </r>
  <r>
    <x v="1229"/>
    <x v="5"/>
    <n v="0"/>
    <x v="5"/>
    <x v="10"/>
    <n v="849"/>
    <n v="530"/>
    <n v="0"/>
    <n v="0"/>
    <n v="0"/>
  </r>
  <r>
    <x v="1230"/>
    <x v="6"/>
    <n v="0"/>
    <x v="5"/>
    <x v="10"/>
    <n v="1000"/>
    <n v="768"/>
    <n v="0"/>
    <n v="0"/>
    <n v="0"/>
  </r>
  <r>
    <x v="1231"/>
    <x v="7"/>
    <n v="0"/>
    <x v="5"/>
    <x v="10"/>
    <n v="680"/>
    <n v="570"/>
    <n v="0"/>
    <n v="0"/>
    <n v="0"/>
  </r>
  <r>
    <x v="1232"/>
    <x v="8"/>
    <n v="0"/>
    <x v="5"/>
    <x v="10"/>
    <n v="199"/>
    <n v="140"/>
    <n v="0"/>
    <n v="0"/>
    <n v="0"/>
  </r>
  <r>
    <x v="1233"/>
    <x v="9"/>
    <n v="0"/>
    <x v="5"/>
    <x v="10"/>
    <n v="219"/>
    <n v="132"/>
    <n v="0"/>
    <n v="0"/>
    <n v="0"/>
  </r>
  <r>
    <x v="1234"/>
    <x v="10"/>
    <n v="0"/>
    <x v="5"/>
    <x v="10"/>
    <n v="1469"/>
    <n v="1184"/>
    <n v="0"/>
    <n v="0"/>
    <n v="0"/>
  </r>
  <r>
    <x v="1235"/>
    <x v="11"/>
    <n v="0"/>
    <x v="5"/>
    <x v="10"/>
    <n v="89"/>
    <n v="59"/>
    <n v="0"/>
    <n v="0"/>
    <n v="0"/>
  </r>
  <r>
    <x v="1236"/>
    <x v="12"/>
    <n v="0"/>
    <x v="5"/>
    <x v="10"/>
    <n v="310"/>
    <n v="206"/>
    <n v="0"/>
    <n v="0"/>
    <n v="0"/>
  </r>
  <r>
    <x v="1237"/>
    <x v="13"/>
    <n v="0"/>
    <x v="5"/>
    <x v="10"/>
    <n v="540"/>
    <n v="397"/>
    <n v="0"/>
    <n v="0"/>
    <n v="0"/>
  </r>
  <r>
    <x v="1238"/>
    <x v="14"/>
    <n v="0"/>
    <x v="5"/>
    <x v="10"/>
    <n v="360"/>
    <n v="248"/>
    <n v="0"/>
    <n v="0"/>
    <n v="0"/>
  </r>
  <r>
    <x v="1239"/>
    <x v="15"/>
    <n v="0"/>
    <x v="5"/>
    <x v="10"/>
    <n v="250"/>
    <n v="190"/>
    <n v="0"/>
    <n v="0"/>
    <n v="0"/>
  </r>
  <r>
    <x v="1240"/>
    <x v="16"/>
    <n v="0"/>
    <x v="5"/>
    <x v="10"/>
    <n v="120"/>
    <n v="85"/>
    <n v="0"/>
    <n v="0"/>
    <n v="0"/>
  </r>
  <r>
    <x v="1241"/>
    <x v="17"/>
    <n v="0"/>
    <x v="5"/>
    <x v="10"/>
    <n v="80"/>
    <n v="55"/>
    <n v="0"/>
    <n v="0"/>
    <n v="0"/>
  </r>
  <r>
    <x v="1242"/>
    <x v="0"/>
    <n v="0"/>
    <x v="6"/>
    <x v="10"/>
    <n v="549"/>
    <n v="365"/>
    <n v="0"/>
    <n v="0"/>
    <n v="0"/>
  </r>
  <r>
    <x v="1243"/>
    <x v="1"/>
    <n v="0"/>
    <x v="6"/>
    <x v="10"/>
    <n v="699"/>
    <n v="550"/>
    <n v="0"/>
    <n v="0"/>
    <n v="0"/>
  </r>
  <r>
    <x v="1244"/>
    <x v="2"/>
    <n v="1"/>
    <x v="6"/>
    <x v="10"/>
    <n v="739"/>
    <n v="620"/>
    <n v="739"/>
    <n v="620"/>
    <n v="119"/>
  </r>
  <r>
    <x v="1245"/>
    <x v="3"/>
    <n v="0"/>
    <x v="6"/>
    <x v="10"/>
    <n v="899"/>
    <n v="714"/>
    <n v="0"/>
    <n v="0"/>
    <n v="0"/>
  </r>
  <r>
    <x v="1246"/>
    <x v="4"/>
    <n v="0"/>
    <x v="6"/>
    <x v="10"/>
    <n v="1379"/>
    <n v="890"/>
    <n v="0"/>
    <n v="0"/>
    <n v="0"/>
  </r>
  <r>
    <x v="1247"/>
    <x v="5"/>
    <n v="0"/>
    <x v="6"/>
    <x v="10"/>
    <n v="849"/>
    <n v="530"/>
    <n v="0"/>
    <n v="0"/>
    <n v="0"/>
  </r>
  <r>
    <x v="1248"/>
    <x v="6"/>
    <n v="0"/>
    <x v="6"/>
    <x v="10"/>
    <n v="1000"/>
    <n v="768"/>
    <n v="0"/>
    <n v="0"/>
    <n v="0"/>
  </r>
  <r>
    <x v="1249"/>
    <x v="7"/>
    <n v="0"/>
    <x v="6"/>
    <x v="10"/>
    <n v="680"/>
    <n v="570"/>
    <n v="0"/>
    <n v="0"/>
    <n v="0"/>
  </r>
  <r>
    <x v="1250"/>
    <x v="8"/>
    <n v="0"/>
    <x v="6"/>
    <x v="10"/>
    <n v="199"/>
    <n v="140"/>
    <n v="0"/>
    <n v="0"/>
    <n v="0"/>
  </r>
  <r>
    <x v="1251"/>
    <x v="9"/>
    <n v="0"/>
    <x v="6"/>
    <x v="10"/>
    <n v="219"/>
    <n v="132"/>
    <n v="0"/>
    <n v="0"/>
    <n v="0"/>
  </r>
  <r>
    <x v="1252"/>
    <x v="10"/>
    <n v="1"/>
    <x v="6"/>
    <x v="10"/>
    <n v="1469"/>
    <n v="1184"/>
    <n v="1469"/>
    <n v="1184"/>
    <n v="285"/>
  </r>
  <r>
    <x v="1253"/>
    <x v="11"/>
    <n v="0"/>
    <x v="6"/>
    <x v="10"/>
    <n v="89"/>
    <n v="59"/>
    <n v="0"/>
    <n v="0"/>
    <n v="0"/>
  </r>
  <r>
    <x v="1254"/>
    <x v="12"/>
    <n v="0"/>
    <x v="6"/>
    <x v="10"/>
    <n v="310"/>
    <n v="206"/>
    <n v="0"/>
    <n v="0"/>
    <n v="0"/>
  </r>
  <r>
    <x v="1255"/>
    <x v="13"/>
    <n v="0"/>
    <x v="6"/>
    <x v="10"/>
    <n v="540"/>
    <n v="397"/>
    <n v="0"/>
    <n v="0"/>
    <n v="0"/>
  </r>
  <r>
    <x v="1256"/>
    <x v="14"/>
    <n v="0"/>
    <x v="6"/>
    <x v="10"/>
    <n v="360"/>
    <n v="248"/>
    <n v="0"/>
    <n v="0"/>
    <n v="0"/>
  </r>
  <r>
    <x v="1257"/>
    <x v="15"/>
    <n v="0"/>
    <x v="6"/>
    <x v="10"/>
    <n v="250"/>
    <n v="190"/>
    <n v="0"/>
    <n v="0"/>
    <n v="0"/>
  </r>
  <r>
    <x v="1258"/>
    <x v="16"/>
    <n v="0"/>
    <x v="6"/>
    <x v="10"/>
    <n v="120"/>
    <n v="85"/>
    <n v="0"/>
    <n v="0"/>
    <n v="0"/>
  </r>
  <r>
    <x v="1259"/>
    <x v="17"/>
    <n v="0"/>
    <x v="6"/>
    <x v="10"/>
    <n v="80"/>
    <n v="55"/>
    <n v="0"/>
    <n v="0"/>
    <n v="0"/>
  </r>
  <r>
    <x v="1260"/>
    <x v="0"/>
    <n v="0"/>
    <x v="0"/>
    <x v="10"/>
    <n v="549"/>
    <n v="365"/>
    <n v="0"/>
    <n v="0"/>
    <n v="0"/>
  </r>
  <r>
    <x v="1261"/>
    <x v="1"/>
    <n v="0"/>
    <x v="0"/>
    <x v="10"/>
    <n v="699"/>
    <n v="550"/>
    <n v="0"/>
    <n v="0"/>
    <n v="0"/>
  </r>
  <r>
    <x v="1262"/>
    <x v="2"/>
    <n v="0"/>
    <x v="0"/>
    <x v="10"/>
    <n v="739"/>
    <n v="620"/>
    <n v="0"/>
    <n v="0"/>
    <n v="0"/>
  </r>
  <r>
    <x v="1263"/>
    <x v="3"/>
    <n v="0"/>
    <x v="0"/>
    <x v="10"/>
    <n v="899"/>
    <n v="714"/>
    <n v="0"/>
    <n v="0"/>
    <n v="0"/>
  </r>
  <r>
    <x v="1264"/>
    <x v="4"/>
    <n v="0"/>
    <x v="0"/>
    <x v="10"/>
    <n v="1379"/>
    <n v="890"/>
    <n v="0"/>
    <n v="0"/>
    <n v="0"/>
  </r>
  <r>
    <x v="1265"/>
    <x v="5"/>
    <n v="0"/>
    <x v="0"/>
    <x v="10"/>
    <n v="849"/>
    <n v="530"/>
    <n v="0"/>
    <n v="0"/>
    <n v="0"/>
  </r>
  <r>
    <x v="1266"/>
    <x v="6"/>
    <n v="0"/>
    <x v="0"/>
    <x v="10"/>
    <n v="1000"/>
    <n v="768"/>
    <n v="0"/>
    <n v="0"/>
    <n v="0"/>
  </r>
  <r>
    <x v="1267"/>
    <x v="7"/>
    <n v="0"/>
    <x v="0"/>
    <x v="10"/>
    <n v="680"/>
    <n v="570"/>
    <n v="0"/>
    <n v="0"/>
    <n v="0"/>
  </r>
  <r>
    <x v="1268"/>
    <x v="8"/>
    <n v="0"/>
    <x v="0"/>
    <x v="10"/>
    <n v="199"/>
    <n v="140"/>
    <n v="0"/>
    <n v="0"/>
    <n v="0"/>
  </r>
  <r>
    <x v="1269"/>
    <x v="9"/>
    <n v="0"/>
    <x v="0"/>
    <x v="10"/>
    <n v="219"/>
    <n v="132"/>
    <n v="0"/>
    <n v="0"/>
    <n v="0"/>
  </r>
  <r>
    <x v="1270"/>
    <x v="10"/>
    <n v="0"/>
    <x v="0"/>
    <x v="10"/>
    <n v="1469"/>
    <n v="1184"/>
    <n v="0"/>
    <n v="0"/>
    <n v="0"/>
  </r>
  <r>
    <x v="1271"/>
    <x v="11"/>
    <n v="0"/>
    <x v="0"/>
    <x v="10"/>
    <n v="89"/>
    <n v="59"/>
    <n v="0"/>
    <n v="0"/>
    <n v="0"/>
  </r>
  <r>
    <x v="1272"/>
    <x v="12"/>
    <n v="0"/>
    <x v="0"/>
    <x v="10"/>
    <n v="310"/>
    <n v="206"/>
    <n v="0"/>
    <n v="0"/>
    <n v="0"/>
  </r>
  <r>
    <x v="1273"/>
    <x v="13"/>
    <n v="0"/>
    <x v="0"/>
    <x v="10"/>
    <n v="540"/>
    <n v="397"/>
    <n v="0"/>
    <n v="0"/>
    <n v="0"/>
  </r>
  <r>
    <x v="1274"/>
    <x v="14"/>
    <n v="0"/>
    <x v="0"/>
    <x v="10"/>
    <n v="360"/>
    <n v="248"/>
    <n v="0"/>
    <n v="0"/>
    <n v="0"/>
  </r>
  <r>
    <x v="1275"/>
    <x v="15"/>
    <n v="0"/>
    <x v="0"/>
    <x v="10"/>
    <n v="250"/>
    <n v="190"/>
    <n v="0"/>
    <n v="0"/>
    <n v="0"/>
  </r>
  <r>
    <x v="1276"/>
    <x v="16"/>
    <n v="0"/>
    <x v="0"/>
    <x v="10"/>
    <n v="120"/>
    <n v="85"/>
    <n v="0"/>
    <n v="0"/>
    <n v="0"/>
  </r>
  <r>
    <x v="1277"/>
    <x v="17"/>
    <n v="0"/>
    <x v="0"/>
    <x v="10"/>
    <n v="80"/>
    <n v="55"/>
    <n v="0"/>
    <n v="0"/>
    <n v="0"/>
  </r>
  <r>
    <x v="1278"/>
    <x v="0"/>
    <n v="0"/>
    <x v="1"/>
    <x v="11"/>
    <n v="549"/>
    <n v="365"/>
    <n v="0"/>
    <n v="0"/>
    <n v="0"/>
  </r>
  <r>
    <x v="1279"/>
    <x v="1"/>
    <n v="0"/>
    <x v="1"/>
    <x v="11"/>
    <n v="699"/>
    <n v="550"/>
    <n v="0"/>
    <n v="0"/>
    <n v="0"/>
  </r>
  <r>
    <x v="1280"/>
    <x v="2"/>
    <n v="0"/>
    <x v="1"/>
    <x v="11"/>
    <n v="739"/>
    <n v="620"/>
    <n v="0"/>
    <n v="0"/>
    <n v="0"/>
  </r>
  <r>
    <x v="1281"/>
    <x v="3"/>
    <n v="1"/>
    <x v="1"/>
    <x v="11"/>
    <n v="899"/>
    <n v="714"/>
    <n v="899"/>
    <n v="714"/>
    <n v="185"/>
  </r>
  <r>
    <x v="1282"/>
    <x v="4"/>
    <n v="0"/>
    <x v="1"/>
    <x v="11"/>
    <n v="1379"/>
    <n v="890"/>
    <n v="0"/>
    <n v="0"/>
    <n v="0"/>
  </r>
  <r>
    <x v="1283"/>
    <x v="5"/>
    <n v="0"/>
    <x v="1"/>
    <x v="11"/>
    <n v="849"/>
    <n v="530"/>
    <n v="0"/>
    <n v="0"/>
    <n v="0"/>
  </r>
  <r>
    <x v="1284"/>
    <x v="6"/>
    <n v="0"/>
    <x v="1"/>
    <x v="11"/>
    <n v="1000"/>
    <n v="768"/>
    <n v="0"/>
    <n v="0"/>
    <n v="0"/>
  </r>
  <r>
    <x v="1285"/>
    <x v="7"/>
    <n v="0"/>
    <x v="1"/>
    <x v="11"/>
    <n v="680"/>
    <n v="570"/>
    <n v="0"/>
    <n v="0"/>
    <n v="0"/>
  </r>
  <r>
    <x v="1286"/>
    <x v="8"/>
    <n v="0"/>
    <x v="1"/>
    <x v="11"/>
    <n v="199"/>
    <n v="140"/>
    <n v="0"/>
    <n v="0"/>
    <n v="0"/>
  </r>
  <r>
    <x v="1287"/>
    <x v="9"/>
    <n v="0"/>
    <x v="1"/>
    <x v="11"/>
    <n v="219"/>
    <n v="132"/>
    <n v="0"/>
    <n v="0"/>
    <n v="0"/>
  </r>
  <r>
    <x v="1288"/>
    <x v="10"/>
    <n v="0"/>
    <x v="1"/>
    <x v="11"/>
    <n v="1469"/>
    <n v="1184"/>
    <n v="0"/>
    <n v="0"/>
    <n v="0"/>
  </r>
  <r>
    <x v="1289"/>
    <x v="11"/>
    <n v="0"/>
    <x v="1"/>
    <x v="11"/>
    <n v="89"/>
    <n v="59"/>
    <n v="0"/>
    <n v="0"/>
    <n v="0"/>
  </r>
  <r>
    <x v="1290"/>
    <x v="12"/>
    <n v="0"/>
    <x v="1"/>
    <x v="11"/>
    <n v="310"/>
    <n v="206"/>
    <n v="0"/>
    <n v="0"/>
    <n v="0"/>
  </r>
  <r>
    <x v="1291"/>
    <x v="13"/>
    <n v="0"/>
    <x v="1"/>
    <x v="11"/>
    <n v="540"/>
    <n v="397"/>
    <n v="0"/>
    <n v="0"/>
    <n v="0"/>
  </r>
  <r>
    <x v="1292"/>
    <x v="14"/>
    <n v="0"/>
    <x v="1"/>
    <x v="11"/>
    <n v="360"/>
    <n v="248"/>
    <n v="0"/>
    <n v="0"/>
    <n v="0"/>
  </r>
  <r>
    <x v="1293"/>
    <x v="15"/>
    <n v="0"/>
    <x v="1"/>
    <x v="11"/>
    <n v="250"/>
    <n v="190"/>
    <n v="0"/>
    <n v="0"/>
    <n v="0"/>
  </r>
  <r>
    <x v="1294"/>
    <x v="16"/>
    <n v="0"/>
    <x v="1"/>
    <x v="11"/>
    <n v="120"/>
    <n v="85"/>
    <n v="0"/>
    <n v="0"/>
    <n v="0"/>
  </r>
  <r>
    <x v="1295"/>
    <x v="17"/>
    <n v="0"/>
    <x v="1"/>
    <x v="11"/>
    <n v="80"/>
    <n v="55"/>
    <n v="0"/>
    <n v="0"/>
    <n v="0"/>
  </r>
  <r>
    <x v="1296"/>
    <x v="0"/>
    <n v="0"/>
    <x v="2"/>
    <x v="11"/>
    <n v="549"/>
    <n v="365"/>
    <n v="0"/>
    <n v="0"/>
    <n v="0"/>
  </r>
  <r>
    <x v="1297"/>
    <x v="1"/>
    <n v="0"/>
    <x v="2"/>
    <x v="11"/>
    <n v="699"/>
    <n v="550"/>
    <n v="0"/>
    <n v="0"/>
    <n v="0"/>
  </r>
  <r>
    <x v="1298"/>
    <x v="2"/>
    <n v="0"/>
    <x v="2"/>
    <x v="11"/>
    <n v="739"/>
    <n v="620"/>
    <n v="0"/>
    <n v="0"/>
    <n v="0"/>
  </r>
  <r>
    <x v="1299"/>
    <x v="3"/>
    <n v="0"/>
    <x v="2"/>
    <x v="11"/>
    <n v="899"/>
    <n v="714"/>
    <n v="0"/>
    <n v="0"/>
    <n v="0"/>
  </r>
  <r>
    <x v="1300"/>
    <x v="4"/>
    <n v="0"/>
    <x v="2"/>
    <x v="11"/>
    <n v="1379"/>
    <n v="890"/>
    <n v="0"/>
    <n v="0"/>
    <n v="0"/>
  </r>
  <r>
    <x v="1301"/>
    <x v="5"/>
    <n v="1"/>
    <x v="2"/>
    <x v="11"/>
    <n v="849"/>
    <n v="530"/>
    <n v="849"/>
    <n v="530"/>
    <n v="319"/>
  </r>
  <r>
    <x v="1302"/>
    <x v="6"/>
    <n v="0"/>
    <x v="2"/>
    <x v="11"/>
    <n v="1000"/>
    <n v="768"/>
    <n v="0"/>
    <n v="0"/>
    <n v="0"/>
  </r>
  <r>
    <x v="1303"/>
    <x v="7"/>
    <n v="0"/>
    <x v="2"/>
    <x v="11"/>
    <n v="680"/>
    <n v="570"/>
    <n v="0"/>
    <n v="0"/>
    <n v="0"/>
  </r>
  <r>
    <x v="1304"/>
    <x v="8"/>
    <n v="0"/>
    <x v="2"/>
    <x v="11"/>
    <n v="199"/>
    <n v="140"/>
    <n v="0"/>
    <n v="0"/>
    <n v="0"/>
  </r>
  <r>
    <x v="1305"/>
    <x v="9"/>
    <n v="0"/>
    <x v="2"/>
    <x v="11"/>
    <n v="219"/>
    <n v="132"/>
    <n v="0"/>
    <n v="0"/>
    <n v="0"/>
  </r>
  <r>
    <x v="1306"/>
    <x v="10"/>
    <n v="4"/>
    <x v="2"/>
    <x v="11"/>
    <n v="1469"/>
    <n v="1184"/>
    <n v="5876"/>
    <n v="4736"/>
    <n v="1140"/>
  </r>
  <r>
    <x v="1307"/>
    <x v="11"/>
    <n v="0"/>
    <x v="2"/>
    <x v="11"/>
    <n v="89"/>
    <n v="59"/>
    <n v="0"/>
    <n v="0"/>
    <n v="0"/>
  </r>
  <r>
    <x v="1308"/>
    <x v="12"/>
    <n v="0"/>
    <x v="2"/>
    <x v="11"/>
    <n v="310"/>
    <n v="206"/>
    <n v="0"/>
    <n v="0"/>
    <n v="0"/>
  </r>
  <r>
    <x v="1309"/>
    <x v="13"/>
    <n v="0"/>
    <x v="2"/>
    <x v="11"/>
    <n v="540"/>
    <n v="397"/>
    <n v="0"/>
    <n v="0"/>
    <n v="0"/>
  </r>
  <r>
    <x v="1310"/>
    <x v="14"/>
    <n v="0"/>
    <x v="2"/>
    <x v="11"/>
    <n v="360"/>
    <n v="248"/>
    <n v="0"/>
    <n v="0"/>
    <n v="0"/>
  </r>
  <r>
    <x v="1311"/>
    <x v="15"/>
    <n v="0"/>
    <x v="2"/>
    <x v="11"/>
    <n v="250"/>
    <n v="190"/>
    <n v="0"/>
    <n v="0"/>
    <n v="0"/>
  </r>
  <r>
    <x v="1312"/>
    <x v="16"/>
    <n v="0"/>
    <x v="2"/>
    <x v="11"/>
    <n v="120"/>
    <n v="85"/>
    <n v="0"/>
    <n v="0"/>
    <n v="0"/>
  </r>
  <r>
    <x v="1313"/>
    <x v="17"/>
    <n v="0"/>
    <x v="2"/>
    <x v="11"/>
    <n v="80"/>
    <n v="55"/>
    <n v="0"/>
    <n v="0"/>
    <n v="0"/>
  </r>
  <r>
    <x v="1314"/>
    <x v="0"/>
    <n v="0"/>
    <x v="3"/>
    <x v="11"/>
    <n v="549"/>
    <n v="365"/>
    <n v="0"/>
    <n v="0"/>
    <n v="0"/>
  </r>
  <r>
    <x v="1315"/>
    <x v="1"/>
    <n v="0"/>
    <x v="3"/>
    <x v="11"/>
    <n v="699"/>
    <n v="550"/>
    <n v="0"/>
    <n v="0"/>
    <n v="0"/>
  </r>
  <r>
    <x v="1316"/>
    <x v="2"/>
    <n v="0"/>
    <x v="3"/>
    <x v="11"/>
    <n v="739"/>
    <n v="620"/>
    <n v="0"/>
    <n v="0"/>
    <n v="0"/>
  </r>
  <r>
    <x v="1317"/>
    <x v="3"/>
    <n v="0"/>
    <x v="3"/>
    <x v="11"/>
    <n v="899"/>
    <n v="714"/>
    <n v="0"/>
    <n v="0"/>
    <n v="0"/>
  </r>
  <r>
    <x v="1318"/>
    <x v="4"/>
    <n v="0"/>
    <x v="3"/>
    <x v="11"/>
    <n v="1379"/>
    <n v="890"/>
    <n v="0"/>
    <n v="0"/>
    <n v="0"/>
  </r>
  <r>
    <x v="1319"/>
    <x v="5"/>
    <n v="1"/>
    <x v="3"/>
    <x v="11"/>
    <n v="849"/>
    <n v="530"/>
    <n v="849"/>
    <n v="530"/>
    <n v="319"/>
  </r>
  <r>
    <x v="1320"/>
    <x v="6"/>
    <n v="0"/>
    <x v="3"/>
    <x v="11"/>
    <n v="1000"/>
    <n v="768"/>
    <n v="0"/>
    <n v="0"/>
    <n v="0"/>
  </r>
  <r>
    <x v="1321"/>
    <x v="7"/>
    <n v="0"/>
    <x v="3"/>
    <x v="11"/>
    <n v="680"/>
    <n v="570"/>
    <n v="0"/>
    <n v="0"/>
    <n v="0"/>
  </r>
  <r>
    <x v="1322"/>
    <x v="8"/>
    <n v="0"/>
    <x v="3"/>
    <x v="11"/>
    <n v="199"/>
    <n v="140"/>
    <n v="0"/>
    <n v="0"/>
    <n v="0"/>
  </r>
  <r>
    <x v="1323"/>
    <x v="9"/>
    <n v="0"/>
    <x v="3"/>
    <x v="11"/>
    <n v="219"/>
    <n v="132"/>
    <n v="0"/>
    <n v="0"/>
    <n v="0"/>
  </r>
  <r>
    <x v="1324"/>
    <x v="10"/>
    <n v="2"/>
    <x v="3"/>
    <x v="11"/>
    <n v="1469"/>
    <n v="1184"/>
    <n v="2938"/>
    <n v="2368"/>
    <n v="570"/>
  </r>
  <r>
    <x v="1325"/>
    <x v="11"/>
    <n v="0"/>
    <x v="3"/>
    <x v="11"/>
    <n v="89"/>
    <n v="59"/>
    <n v="0"/>
    <n v="0"/>
    <n v="0"/>
  </r>
  <r>
    <x v="1326"/>
    <x v="12"/>
    <n v="0"/>
    <x v="3"/>
    <x v="11"/>
    <n v="310"/>
    <n v="206"/>
    <n v="0"/>
    <n v="0"/>
    <n v="0"/>
  </r>
  <r>
    <x v="1327"/>
    <x v="13"/>
    <n v="0"/>
    <x v="3"/>
    <x v="11"/>
    <n v="540"/>
    <n v="397"/>
    <n v="0"/>
    <n v="0"/>
    <n v="0"/>
  </r>
  <r>
    <x v="1328"/>
    <x v="14"/>
    <n v="0"/>
    <x v="3"/>
    <x v="11"/>
    <n v="360"/>
    <n v="248"/>
    <n v="0"/>
    <n v="0"/>
    <n v="0"/>
  </r>
  <r>
    <x v="1329"/>
    <x v="15"/>
    <n v="0"/>
    <x v="3"/>
    <x v="11"/>
    <n v="250"/>
    <n v="190"/>
    <n v="0"/>
    <n v="0"/>
    <n v="0"/>
  </r>
  <r>
    <x v="1330"/>
    <x v="16"/>
    <n v="0"/>
    <x v="3"/>
    <x v="11"/>
    <n v="120"/>
    <n v="85"/>
    <n v="0"/>
    <n v="0"/>
    <n v="0"/>
  </r>
  <r>
    <x v="1331"/>
    <x v="17"/>
    <n v="0"/>
    <x v="3"/>
    <x v="11"/>
    <n v="80"/>
    <n v="55"/>
    <n v="0"/>
    <n v="0"/>
    <n v="0"/>
  </r>
  <r>
    <x v="1332"/>
    <x v="0"/>
    <n v="0"/>
    <x v="4"/>
    <x v="11"/>
    <n v="549"/>
    <n v="365"/>
    <n v="0"/>
    <n v="0"/>
    <n v="0"/>
  </r>
  <r>
    <x v="1333"/>
    <x v="1"/>
    <n v="0"/>
    <x v="4"/>
    <x v="11"/>
    <n v="699"/>
    <n v="550"/>
    <n v="0"/>
    <n v="0"/>
    <n v="0"/>
  </r>
  <r>
    <x v="1334"/>
    <x v="2"/>
    <n v="0"/>
    <x v="4"/>
    <x v="11"/>
    <n v="739"/>
    <n v="620"/>
    <n v="0"/>
    <n v="0"/>
    <n v="0"/>
  </r>
  <r>
    <x v="1335"/>
    <x v="3"/>
    <n v="0"/>
    <x v="4"/>
    <x v="11"/>
    <n v="899"/>
    <n v="714"/>
    <n v="0"/>
    <n v="0"/>
    <n v="0"/>
  </r>
  <r>
    <x v="1336"/>
    <x v="4"/>
    <n v="0"/>
    <x v="4"/>
    <x v="11"/>
    <n v="1379"/>
    <n v="890"/>
    <n v="0"/>
    <n v="0"/>
    <n v="0"/>
  </r>
  <r>
    <x v="1337"/>
    <x v="5"/>
    <n v="5"/>
    <x v="4"/>
    <x v="11"/>
    <n v="849"/>
    <n v="530"/>
    <n v="4245"/>
    <n v="2650"/>
    <n v="1595"/>
  </r>
  <r>
    <x v="1338"/>
    <x v="6"/>
    <n v="0"/>
    <x v="4"/>
    <x v="11"/>
    <n v="1000"/>
    <n v="768"/>
    <n v="0"/>
    <n v="0"/>
    <n v="0"/>
  </r>
  <r>
    <x v="1339"/>
    <x v="7"/>
    <n v="0"/>
    <x v="4"/>
    <x v="11"/>
    <n v="680"/>
    <n v="570"/>
    <n v="0"/>
    <n v="0"/>
    <n v="0"/>
  </r>
  <r>
    <x v="1340"/>
    <x v="8"/>
    <n v="0"/>
    <x v="4"/>
    <x v="11"/>
    <n v="199"/>
    <n v="140"/>
    <n v="0"/>
    <n v="0"/>
    <n v="0"/>
  </r>
  <r>
    <x v="1341"/>
    <x v="9"/>
    <n v="0"/>
    <x v="4"/>
    <x v="11"/>
    <n v="219"/>
    <n v="132"/>
    <n v="0"/>
    <n v="0"/>
    <n v="0"/>
  </r>
  <r>
    <x v="1342"/>
    <x v="10"/>
    <n v="0"/>
    <x v="4"/>
    <x v="11"/>
    <n v="1469"/>
    <n v="1184"/>
    <n v="0"/>
    <n v="0"/>
    <n v="0"/>
  </r>
  <r>
    <x v="1343"/>
    <x v="11"/>
    <n v="0"/>
    <x v="4"/>
    <x v="11"/>
    <n v="89"/>
    <n v="59"/>
    <n v="0"/>
    <n v="0"/>
    <n v="0"/>
  </r>
  <r>
    <x v="1344"/>
    <x v="12"/>
    <n v="0"/>
    <x v="4"/>
    <x v="11"/>
    <n v="310"/>
    <n v="206"/>
    <n v="0"/>
    <n v="0"/>
    <n v="0"/>
  </r>
  <r>
    <x v="1345"/>
    <x v="13"/>
    <n v="1"/>
    <x v="4"/>
    <x v="11"/>
    <n v="540"/>
    <n v="397"/>
    <n v="540"/>
    <n v="397"/>
    <n v="143"/>
  </r>
  <r>
    <x v="1346"/>
    <x v="14"/>
    <n v="0"/>
    <x v="4"/>
    <x v="11"/>
    <n v="360"/>
    <n v="248"/>
    <n v="0"/>
    <n v="0"/>
    <n v="0"/>
  </r>
  <r>
    <x v="1347"/>
    <x v="15"/>
    <n v="0"/>
    <x v="4"/>
    <x v="11"/>
    <n v="250"/>
    <n v="190"/>
    <n v="0"/>
    <n v="0"/>
    <n v="0"/>
  </r>
  <r>
    <x v="1348"/>
    <x v="16"/>
    <n v="0"/>
    <x v="4"/>
    <x v="11"/>
    <n v="120"/>
    <n v="85"/>
    <n v="0"/>
    <n v="0"/>
    <n v="0"/>
  </r>
  <r>
    <x v="1349"/>
    <x v="17"/>
    <n v="0"/>
    <x v="4"/>
    <x v="11"/>
    <n v="80"/>
    <n v="55"/>
    <n v="0"/>
    <n v="0"/>
    <n v="0"/>
  </r>
  <r>
    <x v="1350"/>
    <x v="0"/>
    <n v="0"/>
    <x v="5"/>
    <x v="11"/>
    <n v="549"/>
    <n v="365"/>
    <n v="0"/>
    <n v="0"/>
    <n v="0"/>
  </r>
  <r>
    <x v="1351"/>
    <x v="1"/>
    <n v="0"/>
    <x v="5"/>
    <x v="11"/>
    <n v="699"/>
    <n v="550"/>
    <n v="0"/>
    <n v="0"/>
    <n v="0"/>
  </r>
  <r>
    <x v="1352"/>
    <x v="2"/>
    <n v="0"/>
    <x v="5"/>
    <x v="11"/>
    <n v="739"/>
    <n v="620"/>
    <n v="0"/>
    <n v="0"/>
    <n v="0"/>
  </r>
  <r>
    <x v="1353"/>
    <x v="3"/>
    <n v="0"/>
    <x v="5"/>
    <x v="11"/>
    <n v="899"/>
    <n v="714"/>
    <n v="0"/>
    <n v="0"/>
    <n v="0"/>
  </r>
  <r>
    <x v="1354"/>
    <x v="4"/>
    <n v="0"/>
    <x v="5"/>
    <x v="11"/>
    <n v="1379"/>
    <n v="890"/>
    <n v="0"/>
    <n v="0"/>
    <n v="0"/>
  </r>
  <r>
    <x v="1355"/>
    <x v="5"/>
    <n v="0"/>
    <x v="5"/>
    <x v="11"/>
    <n v="849"/>
    <n v="530"/>
    <n v="0"/>
    <n v="0"/>
    <n v="0"/>
  </r>
  <r>
    <x v="1356"/>
    <x v="6"/>
    <n v="0"/>
    <x v="5"/>
    <x v="11"/>
    <n v="1000"/>
    <n v="768"/>
    <n v="0"/>
    <n v="0"/>
    <n v="0"/>
  </r>
  <r>
    <x v="1357"/>
    <x v="7"/>
    <n v="0"/>
    <x v="5"/>
    <x v="11"/>
    <n v="680"/>
    <n v="570"/>
    <n v="0"/>
    <n v="0"/>
    <n v="0"/>
  </r>
  <r>
    <x v="1358"/>
    <x v="8"/>
    <n v="0"/>
    <x v="5"/>
    <x v="11"/>
    <n v="199"/>
    <n v="140"/>
    <n v="0"/>
    <n v="0"/>
    <n v="0"/>
  </r>
  <r>
    <x v="1359"/>
    <x v="9"/>
    <n v="0"/>
    <x v="5"/>
    <x v="11"/>
    <n v="219"/>
    <n v="132"/>
    <n v="0"/>
    <n v="0"/>
    <n v="0"/>
  </r>
  <r>
    <x v="1360"/>
    <x v="10"/>
    <n v="0"/>
    <x v="5"/>
    <x v="11"/>
    <n v="1469"/>
    <n v="1184"/>
    <n v="0"/>
    <n v="0"/>
    <n v="0"/>
  </r>
  <r>
    <x v="1361"/>
    <x v="11"/>
    <n v="0"/>
    <x v="5"/>
    <x v="11"/>
    <n v="89"/>
    <n v="59"/>
    <n v="0"/>
    <n v="0"/>
    <n v="0"/>
  </r>
  <r>
    <x v="1362"/>
    <x v="12"/>
    <n v="0"/>
    <x v="5"/>
    <x v="11"/>
    <n v="310"/>
    <n v="206"/>
    <n v="0"/>
    <n v="0"/>
    <n v="0"/>
  </r>
  <r>
    <x v="1363"/>
    <x v="13"/>
    <n v="0"/>
    <x v="5"/>
    <x v="11"/>
    <n v="540"/>
    <n v="397"/>
    <n v="0"/>
    <n v="0"/>
    <n v="0"/>
  </r>
  <r>
    <x v="1364"/>
    <x v="14"/>
    <n v="0"/>
    <x v="5"/>
    <x v="11"/>
    <n v="360"/>
    <n v="248"/>
    <n v="0"/>
    <n v="0"/>
    <n v="0"/>
  </r>
  <r>
    <x v="1365"/>
    <x v="15"/>
    <n v="0"/>
    <x v="5"/>
    <x v="11"/>
    <n v="250"/>
    <n v="190"/>
    <n v="0"/>
    <n v="0"/>
    <n v="0"/>
  </r>
  <r>
    <x v="1366"/>
    <x v="16"/>
    <n v="0"/>
    <x v="5"/>
    <x v="11"/>
    <n v="120"/>
    <n v="85"/>
    <n v="0"/>
    <n v="0"/>
    <n v="0"/>
  </r>
  <r>
    <x v="1367"/>
    <x v="17"/>
    <n v="0"/>
    <x v="5"/>
    <x v="11"/>
    <n v="80"/>
    <n v="55"/>
    <n v="0"/>
    <n v="0"/>
    <n v="0"/>
  </r>
  <r>
    <x v="1368"/>
    <x v="0"/>
    <n v="1"/>
    <x v="6"/>
    <x v="11"/>
    <n v="549"/>
    <n v="365"/>
    <n v="549"/>
    <n v="365"/>
    <n v="184"/>
  </r>
  <r>
    <x v="1369"/>
    <x v="1"/>
    <n v="3"/>
    <x v="6"/>
    <x v="11"/>
    <n v="699"/>
    <n v="550"/>
    <n v="2097"/>
    <n v="1650"/>
    <n v="447"/>
  </r>
  <r>
    <x v="1370"/>
    <x v="2"/>
    <n v="2"/>
    <x v="6"/>
    <x v="11"/>
    <n v="739"/>
    <n v="620"/>
    <n v="1478"/>
    <n v="1240"/>
    <n v="238"/>
  </r>
  <r>
    <x v="1371"/>
    <x v="3"/>
    <n v="0"/>
    <x v="6"/>
    <x v="11"/>
    <n v="899"/>
    <n v="714"/>
    <n v="0"/>
    <n v="0"/>
    <n v="0"/>
  </r>
  <r>
    <x v="1372"/>
    <x v="4"/>
    <n v="1"/>
    <x v="6"/>
    <x v="11"/>
    <n v="1379"/>
    <n v="890"/>
    <n v="1379"/>
    <n v="890"/>
    <n v="489"/>
  </r>
  <r>
    <x v="1373"/>
    <x v="5"/>
    <n v="0"/>
    <x v="6"/>
    <x v="11"/>
    <n v="849"/>
    <n v="530"/>
    <n v="0"/>
    <n v="0"/>
    <n v="0"/>
  </r>
  <r>
    <x v="1374"/>
    <x v="6"/>
    <n v="0"/>
    <x v="6"/>
    <x v="11"/>
    <n v="1000"/>
    <n v="768"/>
    <n v="0"/>
    <n v="0"/>
    <n v="0"/>
  </r>
  <r>
    <x v="1375"/>
    <x v="7"/>
    <n v="0"/>
    <x v="6"/>
    <x v="11"/>
    <n v="680"/>
    <n v="570"/>
    <n v="0"/>
    <n v="0"/>
    <n v="0"/>
  </r>
  <r>
    <x v="1376"/>
    <x v="8"/>
    <n v="0"/>
    <x v="6"/>
    <x v="11"/>
    <n v="199"/>
    <n v="140"/>
    <n v="0"/>
    <n v="0"/>
    <n v="0"/>
  </r>
  <r>
    <x v="1377"/>
    <x v="9"/>
    <n v="0"/>
    <x v="6"/>
    <x v="11"/>
    <n v="219"/>
    <n v="132"/>
    <n v="0"/>
    <n v="0"/>
    <n v="0"/>
  </r>
  <r>
    <x v="1378"/>
    <x v="10"/>
    <n v="4"/>
    <x v="6"/>
    <x v="11"/>
    <n v="1469"/>
    <n v="1184"/>
    <n v="5876"/>
    <n v="4736"/>
    <n v="1140"/>
  </r>
  <r>
    <x v="1379"/>
    <x v="11"/>
    <n v="0"/>
    <x v="6"/>
    <x v="11"/>
    <n v="89"/>
    <n v="59"/>
    <n v="0"/>
    <n v="0"/>
    <n v="0"/>
  </r>
  <r>
    <x v="1380"/>
    <x v="12"/>
    <n v="0"/>
    <x v="6"/>
    <x v="11"/>
    <n v="310"/>
    <n v="206"/>
    <n v="0"/>
    <n v="0"/>
    <n v="0"/>
  </r>
  <r>
    <x v="1381"/>
    <x v="13"/>
    <n v="0"/>
    <x v="6"/>
    <x v="11"/>
    <n v="540"/>
    <n v="397"/>
    <n v="0"/>
    <n v="0"/>
    <n v="0"/>
  </r>
  <r>
    <x v="1382"/>
    <x v="14"/>
    <n v="0"/>
    <x v="6"/>
    <x v="11"/>
    <n v="360"/>
    <n v="248"/>
    <n v="0"/>
    <n v="0"/>
    <n v="0"/>
  </r>
  <r>
    <x v="1383"/>
    <x v="15"/>
    <n v="0"/>
    <x v="6"/>
    <x v="11"/>
    <n v="250"/>
    <n v="190"/>
    <n v="0"/>
    <n v="0"/>
    <n v="0"/>
  </r>
  <r>
    <x v="1384"/>
    <x v="16"/>
    <n v="0"/>
    <x v="6"/>
    <x v="11"/>
    <n v="120"/>
    <n v="85"/>
    <n v="0"/>
    <n v="0"/>
    <n v="0"/>
  </r>
  <r>
    <x v="1385"/>
    <x v="17"/>
    <n v="0"/>
    <x v="6"/>
    <x v="11"/>
    <n v="80"/>
    <n v="55"/>
    <n v="0"/>
    <n v="0"/>
    <n v="0"/>
  </r>
  <r>
    <x v="1386"/>
    <x v="0"/>
    <n v="0"/>
    <x v="0"/>
    <x v="11"/>
    <n v="549"/>
    <n v="365"/>
    <n v="0"/>
    <n v="0"/>
    <n v="0"/>
  </r>
  <r>
    <x v="1387"/>
    <x v="1"/>
    <n v="0"/>
    <x v="0"/>
    <x v="11"/>
    <n v="699"/>
    <n v="550"/>
    <n v="0"/>
    <n v="0"/>
    <n v="0"/>
  </r>
  <r>
    <x v="1388"/>
    <x v="2"/>
    <n v="0"/>
    <x v="0"/>
    <x v="11"/>
    <n v="739"/>
    <n v="620"/>
    <n v="0"/>
    <n v="0"/>
    <n v="0"/>
  </r>
  <r>
    <x v="1389"/>
    <x v="3"/>
    <n v="0"/>
    <x v="0"/>
    <x v="11"/>
    <n v="899"/>
    <n v="714"/>
    <n v="0"/>
    <n v="0"/>
    <n v="0"/>
  </r>
  <r>
    <x v="1390"/>
    <x v="4"/>
    <n v="0"/>
    <x v="0"/>
    <x v="11"/>
    <n v="1379"/>
    <n v="890"/>
    <n v="0"/>
    <n v="0"/>
    <n v="0"/>
  </r>
  <r>
    <x v="1391"/>
    <x v="5"/>
    <n v="0"/>
    <x v="0"/>
    <x v="11"/>
    <n v="849"/>
    <n v="530"/>
    <n v="0"/>
    <n v="0"/>
    <n v="0"/>
  </r>
  <r>
    <x v="1392"/>
    <x v="6"/>
    <n v="0"/>
    <x v="0"/>
    <x v="11"/>
    <n v="1000"/>
    <n v="768"/>
    <n v="0"/>
    <n v="0"/>
    <n v="0"/>
  </r>
  <r>
    <x v="1393"/>
    <x v="7"/>
    <n v="0"/>
    <x v="0"/>
    <x v="11"/>
    <n v="680"/>
    <n v="570"/>
    <n v="0"/>
    <n v="0"/>
    <n v="0"/>
  </r>
  <r>
    <x v="1394"/>
    <x v="8"/>
    <n v="0"/>
    <x v="0"/>
    <x v="11"/>
    <n v="199"/>
    <n v="140"/>
    <n v="0"/>
    <n v="0"/>
    <n v="0"/>
  </r>
  <r>
    <x v="1395"/>
    <x v="9"/>
    <n v="0"/>
    <x v="0"/>
    <x v="11"/>
    <n v="219"/>
    <n v="132"/>
    <n v="0"/>
    <n v="0"/>
    <n v="0"/>
  </r>
  <r>
    <x v="1396"/>
    <x v="10"/>
    <n v="1"/>
    <x v="0"/>
    <x v="11"/>
    <n v="1469"/>
    <n v="1184"/>
    <n v="1469"/>
    <n v="1184"/>
    <n v="285"/>
  </r>
  <r>
    <x v="1397"/>
    <x v="11"/>
    <n v="0"/>
    <x v="0"/>
    <x v="11"/>
    <n v="89"/>
    <n v="59"/>
    <n v="0"/>
    <n v="0"/>
    <n v="0"/>
  </r>
  <r>
    <x v="1398"/>
    <x v="12"/>
    <n v="0"/>
    <x v="0"/>
    <x v="11"/>
    <n v="310"/>
    <n v="206"/>
    <n v="0"/>
    <n v="0"/>
    <n v="0"/>
  </r>
  <r>
    <x v="1399"/>
    <x v="13"/>
    <n v="0"/>
    <x v="0"/>
    <x v="11"/>
    <n v="540"/>
    <n v="397"/>
    <n v="0"/>
    <n v="0"/>
    <n v="0"/>
  </r>
  <r>
    <x v="1400"/>
    <x v="14"/>
    <n v="0"/>
    <x v="0"/>
    <x v="11"/>
    <n v="360"/>
    <n v="248"/>
    <n v="0"/>
    <n v="0"/>
    <n v="0"/>
  </r>
  <r>
    <x v="1401"/>
    <x v="15"/>
    <n v="0"/>
    <x v="0"/>
    <x v="11"/>
    <n v="250"/>
    <n v="190"/>
    <n v="0"/>
    <n v="0"/>
    <n v="0"/>
  </r>
  <r>
    <x v="1402"/>
    <x v="16"/>
    <n v="0"/>
    <x v="0"/>
    <x v="11"/>
    <n v="120"/>
    <n v="85"/>
    <n v="0"/>
    <n v="0"/>
    <n v="0"/>
  </r>
  <r>
    <x v="1403"/>
    <x v="17"/>
    <n v="0"/>
    <x v="0"/>
    <x v="11"/>
    <n v="80"/>
    <n v="55"/>
    <n v="0"/>
    <n v="0"/>
    <n v="0"/>
  </r>
  <r>
    <x v="1404"/>
    <x v="0"/>
    <n v="0"/>
    <x v="1"/>
    <x v="12"/>
    <n v="549"/>
    <n v="365"/>
    <n v="0"/>
    <n v="0"/>
    <n v="0"/>
  </r>
  <r>
    <x v="1405"/>
    <x v="1"/>
    <n v="0"/>
    <x v="1"/>
    <x v="12"/>
    <n v="699"/>
    <n v="550"/>
    <n v="0"/>
    <n v="0"/>
    <n v="0"/>
  </r>
  <r>
    <x v="1406"/>
    <x v="2"/>
    <n v="0"/>
    <x v="1"/>
    <x v="12"/>
    <n v="739"/>
    <n v="620"/>
    <n v="0"/>
    <n v="0"/>
    <n v="0"/>
  </r>
  <r>
    <x v="1407"/>
    <x v="3"/>
    <n v="0"/>
    <x v="1"/>
    <x v="12"/>
    <n v="899"/>
    <n v="714"/>
    <n v="0"/>
    <n v="0"/>
    <n v="0"/>
  </r>
  <r>
    <x v="1408"/>
    <x v="4"/>
    <n v="0"/>
    <x v="1"/>
    <x v="12"/>
    <n v="1379"/>
    <n v="890"/>
    <n v="0"/>
    <n v="0"/>
    <n v="0"/>
  </r>
  <r>
    <x v="1409"/>
    <x v="5"/>
    <n v="2"/>
    <x v="1"/>
    <x v="12"/>
    <n v="849"/>
    <n v="530"/>
    <n v="1698"/>
    <n v="1060"/>
    <n v="638"/>
  </r>
  <r>
    <x v="1410"/>
    <x v="6"/>
    <n v="0"/>
    <x v="1"/>
    <x v="12"/>
    <n v="1000"/>
    <n v="768"/>
    <n v="0"/>
    <n v="0"/>
    <n v="0"/>
  </r>
  <r>
    <x v="1411"/>
    <x v="7"/>
    <n v="0"/>
    <x v="1"/>
    <x v="12"/>
    <n v="680"/>
    <n v="570"/>
    <n v="0"/>
    <n v="0"/>
    <n v="0"/>
  </r>
  <r>
    <x v="1412"/>
    <x v="8"/>
    <n v="0"/>
    <x v="1"/>
    <x v="12"/>
    <n v="199"/>
    <n v="140"/>
    <n v="0"/>
    <n v="0"/>
    <n v="0"/>
  </r>
  <r>
    <x v="1413"/>
    <x v="9"/>
    <n v="0"/>
    <x v="1"/>
    <x v="12"/>
    <n v="219"/>
    <n v="132"/>
    <n v="0"/>
    <n v="0"/>
    <n v="0"/>
  </r>
  <r>
    <x v="1414"/>
    <x v="10"/>
    <n v="2"/>
    <x v="1"/>
    <x v="12"/>
    <n v="1469"/>
    <n v="1184"/>
    <n v="2938"/>
    <n v="2368"/>
    <n v="570"/>
  </r>
  <r>
    <x v="1415"/>
    <x v="11"/>
    <n v="0"/>
    <x v="1"/>
    <x v="12"/>
    <n v="89"/>
    <n v="59"/>
    <n v="0"/>
    <n v="0"/>
    <n v="0"/>
  </r>
  <r>
    <x v="1416"/>
    <x v="12"/>
    <n v="0"/>
    <x v="1"/>
    <x v="12"/>
    <n v="310"/>
    <n v="206"/>
    <n v="0"/>
    <n v="0"/>
    <n v="0"/>
  </r>
  <r>
    <x v="1417"/>
    <x v="13"/>
    <n v="0"/>
    <x v="1"/>
    <x v="12"/>
    <n v="540"/>
    <n v="397"/>
    <n v="0"/>
    <n v="0"/>
    <n v="0"/>
  </r>
  <r>
    <x v="1418"/>
    <x v="14"/>
    <n v="0"/>
    <x v="1"/>
    <x v="12"/>
    <n v="360"/>
    <n v="248"/>
    <n v="0"/>
    <n v="0"/>
    <n v="0"/>
  </r>
  <r>
    <x v="1419"/>
    <x v="15"/>
    <n v="0"/>
    <x v="1"/>
    <x v="12"/>
    <n v="250"/>
    <n v="190"/>
    <n v="0"/>
    <n v="0"/>
    <n v="0"/>
  </r>
  <r>
    <x v="1420"/>
    <x v="16"/>
    <n v="0"/>
    <x v="1"/>
    <x v="12"/>
    <n v="120"/>
    <n v="85"/>
    <n v="0"/>
    <n v="0"/>
    <n v="0"/>
  </r>
  <r>
    <x v="1421"/>
    <x v="17"/>
    <n v="0"/>
    <x v="1"/>
    <x v="12"/>
    <n v="80"/>
    <n v="55"/>
    <n v="0"/>
    <n v="0"/>
    <n v="0"/>
  </r>
  <r>
    <x v="1422"/>
    <x v="0"/>
    <n v="0"/>
    <x v="2"/>
    <x v="12"/>
    <n v="549"/>
    <n v="365"/>
    <n v="0"/>
    <n v="0"/>
    <n v="0"/>
  </r>
  <r>
    <x v="1423"/>
    <x v="1"/>
    <n v="0"/>
    <x v="2"/>
    <x v="12"/>
    <n v="699"/>
    <n v="550"/>
    <n v="0"/>
    <n v="0"/>
    <n v="0"/>
  </r>
  <r>
    <x v="1424"/>
    <x v="2"/>
    <n v="0"/>
    <x v="2"/>
    <x v="12"/>
    <n v="739"/>
    <n v="620"/>
    <n v="0"/>
    <n v="0"/>
    <n v="0"/>
  </r>
  <r>
    <x v="1425"/>
    <x v="3"/>
    <n v="0"/>
    <x v="2"/>
    <x v="12"/>
    <n v="899"/>
    <n v="714"/>
    <n v="0"/>
    <n v="0"/>
    <n v="0"/>
  </r>
  <r>
    <x v="1426"/>
    <x v="4"/>
    <n v="0"/>
    <x v="2"/>
    <x v="12"/>
    <n v="1379"/>
    <n v="890"/>
    <n v="0"/>
    <n v="0"/>
    <n v="0"/>
  </r>
  <r>
    <x v="1427"/>
    <x v="5"/>
    <n v="0"/>
    <x v="2"/>
    <x v="12"/>
    <n v="849"/>
    <n v="530"/>
    <n v="0"/>
    <n v="0"/>
    <n v="0"/>
  </r>
  <r>
    <x v="1428"/>
    <x v="6"/>
    <n v="0"/>
    <x v="2"/>
    <x v="12"/>
    <n v="1000"/>
    <n v="768"/>
    <n v="0"/>
    <n v="0"/>
    <n v="0"/>
  </r>
  <r>
    <x v="1429"/>
    <x v="7"/>
    <n v="0"/>
    <x v="2"/>
    <x v="12"/>
    <n v="680"/>
    <n v="570"/>
    <n v="0"/>
    <n v="0"/>
    <n v="0"/>
  </r>
  <r>
    <x v="1430"/>
    <x v="8"/>
    <n v="0"/>
    <x v="2"/>
    <x v="12"/>
    <n v="199"/>
    <n v="140"/>
    <n v="0"/>
    <n v="0"/>
    <n v="0"/>
  </r>
  <r>
    <x v="1431"/>
    <x v="9"/>
    <n v="0"/>
    <x v="2"/>
    <x v="12"/>
    <n v="219"/>
    <n v="132"/>
    <n v="0"/>
    <n v="0"/>
    <n v="0"/>
  </r>
  <r>
    <x v="1432"/>
    <x v="10"/>
    <n v="0"/>
    <x v="2"/>
    <x v="12"/>
    <n v="1469"/>
    <n v="1184"/>
    <n v="0"/>
    <n v="0"/>
    <n v="0"/>
  </r>
  <r>
    <x v="1433"/>
    <x v="11"/>
    <n v="0"/>
    <x v="2"/>
    <x v="12"/>
    <n v="89"/>
    <n v="59"/>
    <n v="0"/>
    <n v="0"/>
    <n v="0"/>
  </r>
  <r>
    <x v="1434"/>
    <x v="12"/>
    <n v="0"/>
    <x v="2"/>
    <x v="12"/>
    <n v="310"/>
    <n v="206"/>
    <n v="0"/>
    <n v="0"/>
    <n v="0"/>
  </r>
  <r>
    <x v="1435"/>
    <x v="13"/>
    <n v="0"/>
    <x v="2"/>
    <x v="12"/>
    <n v="540"/>
    <n v="397"/>
    <n v="0"/>
    <n v="0"/>
    <n v="0"/>
  </r>
  <r>
    <x v="1436"/>
    <x v="14"/>
    <n v="0"/>
    <x v="2"/>
    <x v="12"/>
    <n v="360"/>
    <n v="248"/>
    <n v="0"/>
    <n v="0"/>
    <n v="0"/>
  </r>
  <r>
    <x v="1437"/>
    <x v="15"/>
    <n v="0"/>
    <x v="2"/>
    <x v="12"/>
    <n v="250"/>
    <n v="190"/>
    <n v="0"/>
    <n v="0"/>
    <n v="0"/>
  </r>
  <r>
    <x v="1438"/>
    <x v="16"/>
    <n v="0"/>
    <x v="2"/>
    <x v="12"/>
    <n v="120"/>
    <n v="85"/>
    <n v="0"/>
    <n v="0"/>
    <n v="0"/>
  </r>
  <r>
    <x v="1439"/>
    <x v="17"/>
    <n v="0"/>
    <x v="2"/>
    <x v="12"/>
    <n v="80"/>
    <n v="55"/>
    <n v="0"/>
    <n v="0"/>
    <n v="0"/>
  </r>
  <r>
    <x v="1440"/>
    <x v="0"/>
    <n v="0"/>
    <x v="3"/>
    <x v="12"/>
    <n v="549"/>
    <n v="365"/>
    <n v="0"/>
    <n v="0"/>
    <n v="0"/>
  </r>
  <r>
    <x v="1441"/>
    <x v="1"/>
    <n v="0"/>
    <x v="3"/>
    <x v="12"/>
    <n v="699"/>
    <n v="550"/>
    <n v="0"/>
    <n v="0"/>
    <n v="0"/>
  </r>
  <r>
    <x v="1442"/>
    <x v="2"/>
    <n v="0"/>
    <x v="3"/>
    <x v="12"/>
    <n v="739"/>
    <n v="620"/>
    <n v="0"/>
    <n v="0"/>
    <n v="0"/>
  </r>
  <r>
    <x v="1443"/>
    <x v="3"/>
    <n v="0"/>
    <x v="3"/>
    <x v="12"/>
    <n v="899"/>
    <n v="714"/>
    <n v="0"/>
    <n v="0"/>
    <n v="0"/>
  </r>
  <r>
    <x v="1444"/>
    <x v="4"/>
    <n v="1"/>
    <x v="3"/>
    <x v="12"/>
    <n v="1379"/>
    <n v="890"/>
    <n v="1379"/>
    <n v="890"/>
    <n v="489"/>
  </r>
  <r>
    <x v="1445"/>
    <x v="5"/>
    <n v="1"/>
    <x v="3"/>
    <x v="12"/>
    <n v="849"/>
    <n v="530"/>
    <n v="849"/>
    <n v="530"/>
    <n v="319"/>
  </r>
  <r>
    <x v="1446"/>
    <x v="6"/>
    <n v="0"/>
    <x v="3"/>
    <x v="12"/>
    <n v="1000"/>
    <n v="768"/>
    <n v="0"/>
    <n v="0"/>
    <n v="0"/>
  </r>
  <r>
    <x v="1447"/>
    <x v="7"/>
    <n v="0"/>
    <x v="3"/>
    <x v="12"/>
    <n v="680"/>
    <n v="570"/>
    <n v="0"/>
    <n v="0"/>
    <n v="0"/>
  </r>
  <r>
    <x v="1448"/>
    <x v="8"/>
    <n v="0"/>
    <x v="3"/>
    <x v="12"/>
    <n v="199"/>
    <n v="140"/>
    <n v="0"/>
    <n v="0"/>
    <n v="0"/>
  </r>
  <r>
    <x v="1449"/>
    <x v="9"/>
    <n v="0"/>
    <x v="3"/>
    <x v="12"/>
    <n v="219"/>
    <n v="132"/>
    <n v="0"/>
    <n v="0"/>
    <n v="0"/>
  </r>
  <r>
    <x v="1450"/>
    <x v="10"/>
    <n v="0"/>
    <x v="3"/>
    <x v="12"/>
    <n v="1469"/>
    <n v="1184"/>
    <n v="0"/>
    <n v="0"/>
    <n v="0"/>
  </r>
  <r>
    <x v="1451"/>
    <x v="11"/>
    <n v="0"/>
    <x v="3"/>
    <x v="12"/>
    <n v="89"/>
    <n v="59"/>
    <n v="0"/>
    <n v="0"/>
    <n v="0"/>
  </r>
  <r>
    <x v="1452"/>
    <x v="12"/>
    <n v="0"/>
    <x v="3"/>
    <x v="12"/>
    <n v="310"/>
    <n v="206"/>
    <n v="0"/>
    <n v="0"/>
    <n v="0"/>
  </r>
  <r>
    <x v="1453"/>
    <x v="13"/>
    <n v="0"/>
    <x v="3"/>
    <x v="12"/>
    <n v="540"/>
    <n v="397"/>
    <n v="0"/>
    <n v="0"/>
    <n v="0"/>
  </r>
  <r>
    <x v="1454"/>
    <x v="14"/>
    <n v="0"/>
    <x v="3"/>
    <x v="12"/>
    <n v="360"/>
    <n v="248"/>
    <n v="0"/>
    <n v="0"/>
    <n v="0"/>
  </r>
  <r>
    <x v="1455"/>
    <x v="15"/>
    <n v="0"/>
    <x v="3"/>
    <x v="12"/>
    <n v="250"/>
    <n v="190"/>
    <n v="0"/>
    <n v="0"/>
    <n v="0"/>
  </r>
  <r>
    <x v="1456"/>
    <x v="16"/>
    <n v="0"/>
    <x v="3"/>
    <x v="12"/>
    <n v="120"/>
    <n v="85"/>
    <n v="0"/>
    <n v="0"/>
    <n v="0"/>
  </r>
  <r>
    <x v="1457"/>
    <x v="17"/>
    <n v="0"/>
    <x v="3"/>
    <x v="12"/>
    <n v="80"/>
    <n v="55"/>
    <n v="0"/>
    <n v="0"/>
    <n v="0"/>
  </r>
  <r>
    <x v="1458"/>
    <x v="0"/>
    <n v="0"/>
    <x v="4"/>
    <x v="12"/>
    <n v="549"/>
    <n v="365"/>
    <n v="0"/>
    <n v="0"/>
    <n v="0"/>
  </r>
  <r>
    <x v="1459"/>
    <x v="1"/>
    <n v="0"/>
    <x v="4"/>
    <x v="12"/>
    <n v="699"/>
    <n v="550"/>
    <n v="0"/>
    <n v="0"/>
    <n v="0"/>
  </r>
  <r>
    <x v="1460"/>
    <x v="2"/>
    <n v="0"/>
    <x v="4"/>
    <x v="12"/>
    <n v="739"/>
    <n v="620"/>
    <n v="0"/>
    <n v="0"/>
    <n v="0"/>
  </r>
  <r>
    <x v="1461"/>
    <x v="3"/>
    <n v="0"/>
    <x v="4"/>
    <x v="12"/>
    <n v="899"/>
    <n v="714"/>
    <n v="0"/>
    <n v="0"/>
    <n v="0"/>
  </r>
  <r>
    <x v="1462"/>
    <x v="4"/>
    <n v="3"/>
    <x v="4"/>
    <x v="12"/>
    <n v="1379"/>
    <n v="890"/>
    <n v="4137"/>
    <n v="2670"/>
    <n v="1467"/>
  </r>
  <r>
    <x v="1463"/>
    <x v="5"/>
    <n v="0"/>
    <x v="4"/>
    <x v="12"/>
    <n v="849"/>
    <n v="530"/>
    <n v="0"/>
    <n v="0"/>
    <n v="0"/>
  </r>
  <r>
    <x v="1464"/>
    <x v="6"/>
    <n v="0"/>
    <x v="4"/>
    <x v="12"/>
    <n v="1000"/>
    <n v="768"/>
    <n v="0"/>
    <n v="0"/>
    <n v="0"/>
  </r>
  <r>
    <x v="1465"/>
    <x v="7"/>
    <n v="0"/>
    <x v="4"/>
    <x v="12"/>
    <n v="680"/>
    <n v="570"/>
    <n v="0"/>
    <n v="0"/>
    <n v="0"/>
  </r>
  <r>
    <x v="1466"/>
    <x v="8"/>
    <n v="0"/>
    <x v="4"/>
    <x v="12"/>
    <n v="199"/>
    <n v="140"/>
    <n v="0"/>
    <n v="0"/>
    <n v="0"/>
  </r>
  <r>
    <x v="1467"/>
    <x v="9"/>
    <n v="0"/>
    <x v="4"/>
    <x v="12"/>
    <n v="219"/>
    <n v="132"/>
    <n v="0"/>
    <n v="0"/>
    <n v="0"/>
  </r>
  <r>
    <x v="1468"/>
    <x v="10"/>
    <n v="1"/>
    <x v="4"/>
    <x v="12"/>
    <n v="1469"/>
    <n v="1184"/>
    <n v="1469"/>
    <n v="1184"/>
    <n v="285"/>
  </r>
  <r>
    <x v="1469"/>
    <x v="11"/>
    <n v="0"/>
    <x v="4"/>
    <x v="12"/>
    <n v="89"/>
    <n v="59"/>
    <n v="0"/>
    <n v="0"/>
    <n v="0"/>
  </r>
  <r>
    <x v="1470"/>
    <x v="12"/>
    <n v="0"/>
    <x v="4"/>
    <x v="12"/>
    <n v="310"/>
    <n v="206"/>
    <n v="0"/>
    <n v="0"/>
    <n v="0"/>
  </r>
  <r>
    <x v="1471"/>
    <x v="13"/>
    <n v="0"/>
    <x v="4"/>
    <x v="12"/>
    <n v="540"/>
    <n v="397"/>
    <n v="0"/>
    <n v="0"/>
    <n v="0"/>
  </r>
  <r>
    <x v="1472"/>
    <x v="14"/>
    <n v="0"/>
    <x v="4"/>
    <x v="12"/>
    <n v="360"/>
    <n v="248"/>
    <n v="0"/>
    <n v="0"/>
    <n v="0"/>
  </r>
  <r>
    <x v="1473"/>
    <x v="15"/>
    <n v="0"/>
    <x v="4"/>
    <x v="12"/>
    <n v="250"/>
    <n v="190"/>
    <n v="0"/>
    <n v="0"/>
    <n v="0"/>
  </r>
  <r>
    <x v="1474"/>
    <x v="16"/>
    <n v="0"/>
    <x v="4"/>
    <x v="12"/>
    <n v="120"/>
    <n v="85"/>
    <n v="0"/>
    <n v="0"/>
    <n v="0"/>
  </r>
  <r>
    <x v="1475"/>
    <x v="17"/>
    <n v="0"/>
    <x v="4"/>
    <x v="12"/>
    <n v="80"/>
    <n v="55"/>
    <n v="0"/>
    <n v="0"/>
    <n v="0"/>
  </r>
  <r>
    <x v="1476"/>
    <x v="0"/>
    <n v="0"/>
    <x v="5"/>
    <x v="12"/>
    <n v="549"/>
    <n v="365"/>
    <n v="0"/>
    <n v="0"/>
    <n v="0"/>
  </r>
  <r>
    <x v="1477"/>
    <x v="1"/>
    <n v="0"/>
    <x v="5"/>
    <x v="12"/>
    <n v="699"/>
    <n v="550"/>
    <n v="0"/>
    <n v="0"/>
    <n v="0"/>
  </r>
  <r>
    <x v="1478"/>
    <x v="2"/>
    <n v="0"/>
    <x v="5"/>
    <x v="12"/>
    <n v="739"/>
    <n v="620"/>
    <n v="0"/>
    <n v="0"/>
    <n v="0"/>
  </r>
  <r>
    <x v="1479"/>
    <x v="3"/>
    <n v="0"/>
    <x v="5"/>
    <x v="12"/>
    <n v="899"/>
    <n v="714"/>
    <n v="0"/>
    <n v="0"/>
    <n v="0"/>
  </r>
  <r>
    <x v="1480"/>
    <x v="4"/>
    <n v="0"/>
    <x v="5"/>
    <x v="12"/>
    <n v="1379"/>
    <n v="890"/>
    <n v="0"/>
    <n v="0"/>
    <n v="0"/>
  </r>
  <r>
    <x v="1481"/>
    <x v="5"/>
    <n v="0"/>
    <x v="5"/>
    <x v="12"/>
    <n v="849"/>
    <n v="530"/>
    <n v="0"/>
    <n v="0"/>
    <n v="0"/>
  </r>
  <r>
    <x v="1482"/>
    <x v="6"/>
    <n v="0"/>
    <x v="5"/>
    <x v="12"/>
    <n v="1000"/>
    <n v="768"/>
    <n v="0"/>
    <n v="0"/>
    <n v="0"/>
  </r>
  <r>
    <x v="1483"/>
    <x v="7"/>
    <n v="0"/>
    <x v="5"/>
    <x v="12"/>
    <n v="680"/>
    <n v="570"/>
    <n v="0"/>
    <n v="0"/>
    <n v="0"/>
  </r>
  <r>
    <x v="1484"/>
    <x v="8"/>
    <n v="0"/>
    <x v="5"/>
    <x v="12"/>
    <n v="199"/>
    <n v="140"/>
    <n v="0"/>
    <n v="0"/>
    <n v="0"/>
  </r>
  <r>
    <x v="1485"/>
    <x v="9"/>
    <n v="0"/>
    <x v="5"/>
    <x v="12"/>
    <n v="219"/>
    <n v="132"/>
    <n v="0"/>
    <n v="0"/>
    <n v="0"/>
  </r>
  <r>
    <x v="1486"/>
    <x v="10"/>
    <n v="0"/>
    <x v="5"/>
    <x v="12"/>
    <n v="1469"/>
    <n v="1184"/>
    <n v="0"/>
    <n v="0"/>
    <n v="0"/>
  </r>
  <r>
    <x v="1487"/>
    <x v="11"/>
    <n v="0"/>
    <x v="5"/>
    <x v="12"/>
    <n v="89"/>
    <n v="59"/>
    <n v="0"/>
    <n v="0"/>
    <n v="0"/>
  </r>
  <r>
    <x v="1488"/>
    <x v="12"/>
    <n v="0"/>
    <x v="5"/>
    <x v="12"/>
    <n v="310"/>
    <n v="206"/>
    <n v="0"/>
    <n v="0"/>
    <n v="0"/>
  </r>
  <r>
    <x v="1489"/>
    <x v="13"/>
    <n v="0"/>
    <x v="5"/>
    <x v="12"/>
    <n v="540"/>
    <n v="397"/>
    <n v="0"/>
    <n v="0"/>
    <n v="0"/>
  </r>
  <r>
    <x v="1490"/>
    <x v="14"/>
    <n v="0"/>
    <x v="5"/>
    <x v="12"/>
    <n v="360"/>
    <n v="248"/>
    <n v="0"/>
    <n v="0"/>
    <n v="0"/>
  </r>
  <r>
    <x v="1491"/>
    <x v="15"/>
    <n v="0"/>
    <x v="5"/>
    <x v="12"/>
    <n v="250"/>
    <n v="190"/>
    <n v="0"/>
    <n v="0"/>
    <n v="0"/>
  </r>
  <r>
    <x v="1492"/>
    <x v="16"/>
    <n v="0"/>
    <x v="5"/>
    <x v="12"/>
    <n v="120"/>
    <n v="85"/>
    <n v="0"/>
    <n v="0"/>
    <n v="0"/>
  </r>
  <r>
    <x v="1493"/>
    <x v="17"/>
    <n v="0"/>
    <x v="5"/>
    <x v="12"/>
    <n v="80"/>
    <n v="55"/>
    <n v="0"/>
    <n v="0"/>
    <n v="0"/>
  </r>
  <r>
    <x v="1494"/>
    <x v="0"/>
    <n v="0"/>
    <x v="6"/>
    <x v="12"/>
    <n v="549"/>
    <n v="365"/>
    <n v="0"/>
    <n v="0"/>
    <n v="0"/>
  </r>
  <r>
    <x v="1495"/>
    <x v="1"/>
    <n v="0"/>
    <x v="6"/>
    <x v="12"/>
    <n v="699"/>
    <n v="550"/>
    <n v="0"/>
    <n v="0"/>
    <n v="0"/>
  </r>
  <r>
    <x v="1496"/>
    <x v="2"/>
    <n v="0"/>
    <x v="6"/>
    <x v="12"/>
    <n v="739"/>
    <n v="620"/>
    <n v="0"/>
    <n v="0"/>
    <n v="0"/>
  </r>
  <r>
    <x v="1497"/>
    <x v="3"/>
    <n v="0"/>
    <x v="6"/>
    <x v="12"/>
    <n v="899"/>
    <n v="714"/>
    <n v="0"/>
    <n v="0"/>
    <n v="0"/>
  </r>
  <r>
    <x v="1498"/>
    <x v="4"/>
    <n v="0"/>
    <x v="6"/>
    <x v="12"/>
    <n v="1379"/>
    <n v="890"/>
    <n v="0"/>
    <n v="0"/>
    <n v="0"/>
  </r>
  <r>
    <x v="1499"/>
    <x v="5"/>
    <n v="0"/>
    <x v="6"/>
    <x v="12"/>
    <n v="849"/>
    <n v="530"/>
    <n v="0"/>
    <n v="0"/>
    <n v="0"/>
  </r>
  <r>
    <x v="1500"/>
    <x v="6"/>
    <n v="0"/>
    <x v="6"/>
    <x v="12"/>
    <n v="1000"/>
    <n v="768"/>
    <n v="0"/>
    <n v="0"/>
    <n v="0"/>
  </r>
  <r>
    <x v="1501"/>
    <x v="7"/>
    <n v="0"/>
    <x v="6"/>
    <x v="12"/>
    <n v="680"/>
    <n v="570"/>
    <n v="0"/>
    <n v="0"/>
    <n v="0"/>
  </r>
  <r>
    <x v="1502"/>
    <x v="8"/>
    <n v="0"/>
    <x v="6"/>
    <x v="12"/>
    <n v="199"/>
    <n v="140"/>
    <n v="0"/>
    <n v="0"/>
    <n v="0"/>
  </r>
  <r>
    <x v="1503"/>
    <x v="9"/>
    <n v="0"/>
    <x v="6"/>
    <x v="12"/>
    <n v="219"/>
    <n v="132"/>
    <n v="0"/>
    <n v="0"/>
    <n v="0"/>
  </r>
  <r>
    <x v="1504"/>
    <x v="10"/>
    <n v="1"/>
    <x v="6"/>
    <x v="12"/>
    <n v="1469"/>
    <n v="1184"/>
    <n v="1469"/>
    <n v="1184"/>
    <n v="285"/>
  </r>
  <r>
    <x v="1505"/>
    <x v="11"/>
    <n v="0"/>
    <x v="6"/>
    <x v="12"/>
    <n v="89"/>
    <n v="59"/>
    <n v="0"/>
    <n v="0"/>
    <n v="0"/>
  </r>
  <r>
    <x v="1506"/>
    <x v="12"/>
    <n v="0"/>
    <x v="6"/>
    <x v="12"/>
    <n v="310"/>
    <n v="206"/>
    <n v="0"/>
    <n v="0"/>
    <n v="0"/>
  </r>
  <r>
    <x v="1507"/>
    <x v="13"/>
    <n v="0"/>
    <x v="6"/>
    <x v="12"/>
    <n v="540"/>
    <n v="397"/>
    <n v="0"/>
    <n v="0"/>
    <n v="0"/>
  </r>
  <r>
    <x v="1508"/>
    <x v="14"/>
    <n v="0"/>
    <x v="6"/>
    <x v="12"/>
    <n v="360"/>
    <n v="248"/>
    <n v="0"/>
    <n v="0"/>
    <n v="0"/>
  </r>
  <r>
    <x v="1509"/>
    <x v="15"/>
    <n v="0"/>
    <x v="6"/>
    <x v="12"/>
    <n v="250"/>
    <n v="190"/>
    <n v="0"/>
    <n v="0"/>
    <n v="0"/>
  </r>
  <r>
    <x v="1510"/>
    <x v="16"/>
    <n v="0"/>
    <x v="6"/>
    <x v="12"/>
    <n v="120"/>
    <n v="85"/>
    <n v="0"/>
    <n v="0"/>
    <n v="0"/>
  </r>
  <r>
    <x v="1511"/>
    <x v="17"/>
    <n v="0"/>
    <x v="6"/>
    <x v="12"/>
    <n v="80"/>
    <n v="55"/>
    <n v="0"/>
    <n v="0"/>
    <n v="0"/>
  </r>
  <r>
    <x v="1512"/>
    <x v="0"/>
    <n v="0"/>
    <x v="0"/>
    <x v="12"/>
    <n v="549"/>
    <n v="365"/>
    <n v="0"/>
    <n v="0"/>
    <n v="0"/>
  </r>
  <r>
    <x v="1513"/>
    <x v="1"/>
    <n v="0"/>
    <x v="0"/>
    <x v="12"/>
    <n v="699"/>
    <n v="550"/>
    <n v="0"/>
    <n v="0"/>
    <n v="0"/>
  </r>
  <r>
    <x v="1514"/>
    <x v="2"/>
    <n v="0"/>
    <x v="0"/>
    <x v="12"/>
    <n v="739"/>
    <n v="620"/>
    <n v="0"/>
    <n v="0"/>
    <n v="0"/>
  </r>
  <r>
    <x v="1515"/>
    <x v="3"/>
    <n v="0"/>
    <x v="0"/>
    <x v="12"/>
    <n v="899"/>
    <n v="714"/>
    <n v="0"/>
    <n v="0"/>
    <n v="0"/>
  </r>
  <r>
    <x v="1516"/>
    <x v="4"/>
    <n v="1"/>
    <x v="0"/>
    <x v="12"/>
    <n v="1379"/>
    <n v="890"/>
    <n v="1379"/>
    <n v="890"/>
    <n v="489"/>
  </r>
  <r>
    <x v="1517"/>
    <x v="5"/>
    <n v="3"/>
    <x v="0"/>
    <x v="12"/>
    <n v="849"/>
    <n v="530"/>
    <n v="2547"/>
    <n v="1590"/>
    <n v="957"/>
  </r>
  <r>
    <x v="1518"/>
    <x v="6"/>
    <n v="0"/>
    <x v="0"/>
    <x v="12"/>
    <n v="1000"/>
    <n v="768"/>
    <n v="0"/>
    <n v="0"/>
    <n v="0"/>
  </r>
  <r>
    <x v="1519"/>
    <x v="7"/>
    <n v="0"/>
    <x v="0"/>
    <x v="12"/>
    <n v="680"/>
    <n v="570"/>
    <n v="0"/>
    <n v="0"/>
    <n v="0"/>
  </r>
  <r>
    <x v="1520"/>
    <x v="8"/>
    <n v="0"/>
    <x v="0"/>
    <x v="12"/>
    <n v="199"/>
    <n v="140"/>
    <n v="0"/>
    <n v="0"/>
    <n v="0"/>
  </r>
  <r>
    <x v="1521"/>
    <x v="9"/>
    <n v="0"/>
    <x v="0"/>
    <x v="12"/>
    <n v="219"/>
    <n v="132"/>
    <n v="0"/>
    <n v="0"/>
    <n v="0"/>
  </r>
  <r>
    <x v="1522"/>
    <x v="10"/>
    <n v="0"/>
    <x v="0"/>
    <x v="12"/>
    <n v="1469"/>
    <n v="1184"/>
    <n v="0"/>
    <n v="0"/>
    <n v="0"/>
  </r>
  <r>
    <x v="1523"/>
    <x v="11"/>
    <n v="0"/>
    <x v="0"/>
    <x v="12"/>
    <n v="89"/>
    <n v="59"/>
    <n v="0"/>
    <n v="0"/>
    <n v="0"/>
  </r>
  <r>
    <x v="1524"/>
    <x v="12"/>
    <n v="0"/>
    <x v="0"/>
    <x v="12"/>
    <n v="310"/>
    <n v="206"/>
    <n v="0"/>
    <n v="0"/>
    <n v="0"/>
  </r>
  <r>
    <x v="1525"/>
    <x v="13"/>
    <n v="0"/>
    <x v="0"/>
    <x v="12"/>
    <n v="540"/>
    <n v="397"/>
    <n v="0"/>
    <n v="0"/>
    <n v="0"/>
  </r>
  <r>
    <x v="1526"/>
    <x v="14"/>
    <n v="0"/>
    <x v="0"/>
    <x v="12"/>
    <n v="360"/>
    <n v="248"/>
    <n v="0"/>
    <n v="0"/>
    <n v="0"/>
  </r>
  <r>
    <x v="1527"/>
    <x v="15"/>
    <n v="0"/>
    <x v="0"/>
    <x v="12"/>
    <n v="250"/>
    <n v="190"/>
    <n v="0"/>
    <n v="0"/>
    <n v="0"/>
  </r>
  <r>
    <x v="1528"/>
    <x v="16"/>
    <n v="0"/>
    <x v="0"/>
    <x v="12"/>
    <n v="120"/>
    <n v="85"/>
    <n v="0"/>
    <n v="0"/>
    <n v="0"/>
  </r>
  <r>
    <x v="1529"/>
    <x v="17"/>
    <n v="0"/>
    <x v="0"/>
    <x v="12"/>
    <n v="80"/>
    <n v="55"/>
    <n v="0"/>
    <n v="0"/>
    <n v="0"/>
  </r>
  <r>
    <x v="1530"/>
    <x v="0"/>
    <n v="0"/>
    <x v="1"/>
    <x v="13"/>
    <n v="549"/>
    <n v="365"/>
    <n v="0"/>
    <n v="0"/>
    <n v="0"/>
  </r>
  <r>
    <x v="1531"/>
    <x v="1"/>
    <n v="0"/>
    <x v="1"/>
    <x v="13"/>
    <n v="699"/>
    <n v="550"/>
    <n v="0"/>
    <n v="0"/>
    <n v="0"/>
  </r>
  <r>
    <x v="1532"/>
    <x v="2"/>
    <n v="0"/>
    <x v="1"/>
    <x v="13"/>
    <n v="739"/>
    <n v="620"/>
    <n v="0"/>
    <n v="0"/>
    <n v="0"/>
  </r>
  <r>
    <x v="1533"/>
    <x v="3"/>
    <n v="0"/>
    <x v="1"/>
    <x v="13"/>
    <n v="899"/>
    <n v="714"/>
    <n v="0"/>
    <n v="0"/>
    <n v="0"/>
  </r>
  <r>
    <x v="1534"/>
    <x v="4"/>
    <n v="0"/>
    <x v="1"/>
    <x v="13"/>
    <n v="1379"/>
    <n v="890"/>
    <n v="0"/>
    <n v="0"/>
    <n v="0"/>
  </r>
  <r>
    <x v="1535"/>
    <x v="5"/>
    <n v="0"/>
    <x v="1"/>
    <x v="13"/>
    <n v="849"/>
    <n v="530"/>
    <n v="0"/>
    <n v="0"/>
    <n v="0"/>
  </r>
  <r>
    <x v="1536"/>
    <x v="6"/>
    <n v="0"/>
    <x v="1"/>
    <x v="13"/>
    <n v="1000"/>
    <n v="768"/>
    <n v="0"/>
    <n v="0"/>
    <n v="0"/>
  </r>
  <r>
    <x v="1537"/>
    <x v="7"/>
    <n v="0"/>
    <x v="1"/>
    <x v="13"/>
    <n v="680"/>
    <n v="570"/>
    <n v="0"/>
    <n v="0"/>
    <n v="0"/>
  </r>
  <r>
    <x v="1538"/>
    <x v="8"/>
    <n v="0"/>
    <x v="1"/>
    <x v="13"/>
    <n v="199"/>
    <n v="140"/>
    <n v="0"/>
    <n v="0"/>
    <n v="0"/>
  </r>
  <r>
    <x v="1539"/>
    <x v="9"/>
    <n v="0"/>
    <x v="1"/>
    <x v="13"/>
    <n v="219"/>
    <n v="132"/>
    <n v="0"/>
    <n v="0"/>
    <n v="0"/>
  </r>
  <r>
    <x v="1540"/>
    <x v="10"/>
    <n v="2"/>
    <x v="1"/>
    <x v="13"/>
    <n v="1469"/>
    <n v="1184"/>
    <n v="2938"/>
    <n v="2368"/>
    <n v="570"/>
  </r>
  <r>
    <x v="1541"/>
    <x v="11"/>
    <n v="0"/>
    <x v="1"/>
    <x v="13"/>
    <n v="89"/>
    <n v="59"/>
    <n v="0"/>
    <n v="0"/>
    <n v="0"/>
  </r>
  <r>
    <x v="1542"/>
    <x v="12"/>
    <n v="0"/>
    <x v="1"/>
    <x v="13"/>
    <n v="310"/>
    <n v="206"/>
    <n v="0"/>
    <n v="0"/>
    <n v="0"/>
  </r>
  <r>
    <x v="1543"/>
    <x v="13"/>
    <n v="0"/>
    <x v="1"/>
    <x v="13"/>
    <n v="540"/>
    <n v="397"/>
    <n v="0"/>
    <n v="0"/>
    <n v="0"/>
  </r>
  <r>
    <x v="1544"/>
    <x v="14"/>
    <n v="0"/>
    <x v="1"/>
    <x v="13"/>
    <n v="360"/>
    <n v="248"/>
    <n v="0"/>
    <n v="0"/>
    <n v="0"/>
  </r>
  <r>
    <x v="1545"/>
    <x v="15"/>
    <n v="0"/>
    <x v="1"/>
    <x v="13"/>
    <n v="250"/>
    <n v="190"/>
    <n v="0"/>
    <n v="0"/>
    <n v="0"/>
  </r>
  <r>
    <x v="1546"/>
    <x v="16"/>
    <n v="0"/>
    <x v="1"/>
    <x v="13"/>
    <n v="120"/>
    <n v="85"/>
    <n v="0"/>
    <n v="0"/>
    <n v="0"/>
  </r>
  <r>
    <x v="1547"/>
    <x v="17"/>
    <n v="0"/>
    <x v="1"/>
    <x v="13"/>
    <n v="80"/>
    <n v="55"/>
    <n v="0"/>
    <n v="0"/>
    <n v="0"/>
  </r>
  <r>
    <x v="1548"/>
    <x v="0"/>
    <n v="0"/>
    <x v="2"/>
    <x v="13"/>
    <n v="549"/>
    <n v="365"/>
    <n v="0"/>
    <n v="0"/>
    <n v="0"/>
  </r>
  <r>
    <x v="1549"/>
    <x v="1"/>
    <n v="2"/>
    <x v="2"/>
    <x v="13"/>
    <n v="699"/>
    <n v="550"/>
    <n v="1398"/>
    <n v="1100"/>
    <n v="298"/>
  </r>
  <r>
    <x v="1550"/>
    <x v="2"/>
    <n v="1"/>
    <x v="2"/>
    <x v="13"/>
    <n v="739"/>
    <n v="620"/>
    <n v="739"/>
    <n v="620"/>
    <n v="119"/>
  </r>
  <r>
    <x v="1551"/>
    <x v="3"/>
    <n v="0"/>
    <x v="2"/>
    <x v="13"/>
    <n v="899"/>
    <n v="714"/>
    <n v="0"/>
    <n v="0"/>
    <n v="0"/>
  </r>
  <r>
    <x v="1552"/>
    <x v="4"/>
    <n v="1"/>
    <x v="2"/>
    <x v="13"/>
    <n v="1379"/>
    <n v="890"/>
    <n v="1379"/>
    <n v="890"/>
    <n v="489"/>
  </r>
  <r>
    <x v="1553"/>
    <x v="5"/>
    <n v="3"/>
    <x v="2"/>
    <x v="13"/>
    <n v="849"/>
    <n v="530"/>
    <n v="2547"/>
    <n v="1590"/>
    <n v="957"/>
  </r>
  <r>
    <x v="1554"/>
    <x v="6"/>
    <n v="0"/>
    <x v="2"/>
    <x v="13"/>
    <n v="1000"/>
    <n v="768"/>
    <n v="0"/>
    <n v="0"/>
    <n v="0"/>
  </r>
  <r>
    <x v="1555"/>
    <x v="7"/>
    <n v="0"/>
    <x v="2"/>
    <x v="13"/>
    <n v="680"/>
    <n v="570"/>
    <n v="0"/>
    <n v="0"/>
    <n v="0"/>
  </r>
  <r>
    <x v="1556"/>
    <x v="8"/>
    <n v="0"/>
    <x v="2"/>
    <x v="13"/>
    <n v="199"/>
    <n v="140"/>
    <n v="0"/>
    <n v="0"/>
    <n v="0"/>
  </r>
  <r>
    <x v="1557"/>
    <x v="9"/>
    <n v="0"/>
    <x v="2"/>
    <x v="13"/>
    <n v="219"/>
    <n v="132"/>
    <n v="0"/>
    <n v="0"/>
    <n v="0"/>
  </r>
  <r>
    <x v="1558"/>
    <x v="10"/>
    <n v="1"/>
    <x v="2"/>
    <x v="13"/>
    <n v="1469"/>
    <n v="1184"/>
    <n v="1469"/>
    <n v="1184"/>
    <n v="285"/>
  </r>
  <r>
    <x v="1559"/>
    <x v="11"/>
    <n v="0"/>
    <x v="2"/>
    <x v="13"/>
    <n v="89"/>
    <n v="59"/>
    <n v="0"/>
    <n v="0"/>
    <n v="0"/>
  </r>
  <r>
    <x v="1560"/>
    <x v="12"/>
    <n v="0"/>
    <x v="2"/>
    <x v="13"/>
    <n v="310"/>
    <n v="206"/>
    <n v="0"/>
    <n v="0"/>
    <n v="0"/>
  </r>
  <r>
    <x v="1561"/>
    <x v="13"/>
    <n v="0"/>
    <x v="2"/>
    <x v="13"/>
    <n v="540"/>
    <n v="397"/>
    <n v="0"/>
    <n v="0"/>
    <n v="0"/>
  </r>
  <r>
    <x v="1562"/>
    <x v="14"/>
    <n v="0"/>
    <x v="2"/>
    <x v="13"/>
    <n v="360"/>
    <n v="248"/>
    <n v="0"/>
    <n v="0"/>
    <n v="0"/>
  </r>
  <r>
    <x v="1563"/>
    <x v="15"/>
    <n v="0"/>
    <x v="2"/>
    <x v="13"/>
    <n v="250"/>
    <n v="190"/>
    <n v="0"/>
    <n v="0"/>
    <n v="0"/>
  </r>
  <r>
    <x v="1564"/>
    <x v="16"/>
    <n v="0"/>
    <x v="2"/>
    <x v="13"/>
    <n v="120"/>
    <n v="85"/>
    <n v="0"/>
    <n v="0"/>
    <n v="0"/>
  </r>
  <r>
    <x v="1565"/>
    <x v="17"/>
    <n v="0"/>
    <x v="2"/>
    <x v="13"/>
    <n v="80"/>
    <n v="55"/>
    <n v="0"/>
    <n v="0"/>
    <n v="0"/>
  </r>
  <r>
    <x v="1566"/>
    <x v="0"/>
    <n v="0"/>
    <x v="3"/>
    <x v="13"/>
    <n v="549"/>
    <n v="365"/>
    <n v="0"/>
    <n v="0"/>
    <n v="0"/>
  </r>
  <r>
    <x v="1567"/>
    <x v="1"/>
    <n v="0"/>
    <x v="3"/>
    <x v="13"/>
    <n v="699"/>
    <n v="550"/>
    <n v="0"/>
    <n v="0"/>
    <n v="0"/>
  </r>
  <r>
    <x v="1568"/>
    <x v="2"/>
    <n v="0"/>
    <x v="3"/>
    <x v="13"/>
    <n v="739"/>
    <n v="620"/>
    <n v="0"/>
    <n v="0"/>
    <n v="0"/>
  </r>
  <r>
    <x v="1569"/>
    <x v="3"/>
    <n v="0"/>
    <x v="3"/>
    <x v="13"/>
    <n v="899"/>
    <n v="714"/>
    <n v="0"/>
    <n v="0"/>
    <n v="0"/>
  </r>
  <r>
    <x v="1570"/>
    <x v="4"/>
    <n v="0"/>
    <x v="3"/>
    <x v="13"/>
    <n v="1379"/>
    <n v="890"/>
    <n v="0"/>
    <n v="0"/>
    <n v="0"/>
  </r>
  <r>
    <x v="1571"/>
    <x v="5"/>
    <n v="0"/>
    <x v="3"/>
    <x v="13"/>
    <n v="849"/>
    <n v="530"/>
    <n v="0"/>
    <n v="0"/>
    <n v="0"/>
  </r>
  <r>
    <x v="1572"/>
    <x v="6"/>
    <n v="0"/>
    <x v="3"/>
    <x v="13"/>
    <n v="1000"/>
    <n v="768"/>
    <n v="0"/>
    <n v="0"/>
    <n v="0"/>
  </r>
  <r>
    <x v="1573"/>
    <x v="7"/>
    <n v="0"/>
    <x v="3"/>
    <x v="13"/>
    <n v="680"/>
    <n v="570"/>
    <n v="0"/>
    <n v="0"/>
    <n v="0"/>
  </r>
  <r>
    <x v="1574"/>
    <x v="8"/>
    <n v="0"/>
    <x v="3"/>
    <x v="13"/>
    <n v="199"/>
    <n v="140"/>
    <n v="0"/>
    <n v="0"/>
    <n v="0"/>
  </r>
  <r>
    <x v="1575"/>
    <x v="9"/>
    <n v="0"/>
    <x v="3"/>
    <x v="13"/>
    <n v="219"/>
    <n v="132"/>
    <n v="0"/>
    <n v="0"/>
    <n v="0"/>
  </r>
  <r>
    <x v="1576"/>
    <x v="10"/>
    <n v="0"/>
    <x v="3"/>
    <x v="13"/>
    <n v="1469"/>
    <n v="1184"/>
    <n v="0"/>
    <n v="0"/>
    <n v="0"/>
  </r>
  <r>
    <x v="1577"/>
    <x v="11"/>
    <n v="0"/>
    <x v="3"/>
    <x v="13"/>
    <n v="89"/>
    <n v="59"/>
    <n v="0"/>
    <n v="0"/>
    <n v="0"/>
  </r>
  <r>
    <x v="1578"/>
    <x v="12"/>
    <n v="0"/>
    <x v="3"/>
    <x v="13"/>
    <n v="310"/>
    <n v="206"/>
    <n v="0"/>
    <n v="0"/>
    <n v="0"/>
  </r>
  <r>
    <x v="1579"/>
    <x v="13"/>
    <n v="0"/>
    <x v="3"/>
    <x v="13"/>
    <n v="540"/>
    <n v="397"/>
    <n v="0"/>
    <n v="0"/>
    <n v="0"/>
  </r>
  <r>
    <x v="1580"/>
    <x v="14"/>
    <n v="0"/>
    <x v="3"/>
    <x v="13"/>
    <n v="360"/>
    <n v="248"/>
    <n v="0"/>
    <n v="0"/>
    <n v="0"/>
  </r>
  <r>
    <x v="1581"/>
    <x v="15"/>
    <n v="0"/>
    <x v="3"/>
    <x v="13"/>
    <n v="250"/>
    <n v="190"/>
    <n v="0"/>
    <n v="0"/>
    <n v="0"/>
  </r>
  <r>
    <x v="1582"/>
    <x v="16"/>
    <n v="0"/>
    <x v="3"/>
    <x v="13"/>
    <n v="120"/>
    <n v="85"/>
    <n v="0"/>
    <n v="0"/>
    <n v="0"/>
  </r>
  <r>
    <x v="1583"/>
    <x v="17"/>
    <n v="0"/>
    <x v="3"/>
    <x v="13"/>
    <n v="80"/>
    <n v="55"/>
    <n v="0"/>
    <n v="0"/>
    <n v="0"/>
  </r>
  <r>
    <x v="1584"/>
    <x v="0"/>
    <n v="0"/>
    <x v="4"/>
    <x v="13"/>
    <n v="549"/>
    <n v="365"/>
    <n v="0"/>
    <n v="0"/>
    <n v="0"/>
  </r>
  <r>
    <x v="1585"/>
    <x v="1"/>
    <n v="0"/>
    <x v="4"/>
    <x v="13"/>
    <n v="699"/>
    <n v="550"/>
    <n v="0"/>
    <n v="0"/>
    <n v="0"/>
  </r>
  <r>
    <x v="1586"/>
    <x v="2"/>
    <n v="0"/>
    <x v="4"/>
    <x v="13"/>
    <n v="739"/>
    <n v="620"/>
    <n v="0"/>
    <n v="0"/>
    <n v="0"/>
  </r>
  <r>
    <x v="1587"/>
    <x v="3"/>
    <n v="0"/>
    <x v="4"/>
    <x v="13"/>
    <n v="899"/>
    <n v="714"/>
    <n v="0"/>
    <n v="0"/>
    <n v="0"/>
  </r>
  <r>
    <x v="1588"/>
    <x v="4"/>
    <n v="0"/>
    <x v="4"/>
    <x v="13"/>
    <n v="1379"/>
    <n v="890"/>
    <n v="0"/>
    <n v="0"/>
    <n v="0"/>
  </r>
  <r>
    <x v="1589"/>
    <x v="5"/>
    <n v="0"/>
    <x v="4"/>
    <x v="13"/>
    <n v="849"/>
    <n v="530"/>
    <n v="0"/>
    <n v="0"/>
    <n v="0"/>
  </r>
  <r>
    <x v="1590"/>
    <x v="6"/>
    <n v="0"/>
    <x v="4"/>
    <x v="13"/>
    <n v="1000"/>
    <n v="768"/>
    <n v="0"/>
    <n v="0"/>
    <n v="0"/>
  </r>
  <r>
    <x v="1591"/>
    <x v="7"/>
    <n v="0"/>
    <x v="4"/>
    <x v="13"/>
    <n v="680"/>
    <n v="570"/>
    <n v="0"/>
    <n v="0"/>
    <n v="0"/>
  </r>
  <r>
    <x v="1592"/>
    <x v="8"/>
    <n v="0"/>
    <x v="4"/>
    <x v="13"/>
    <n v="199"/>
    <n v="140"/>
    <n v="0"/>
    <n v="0"/>
    <n v="0"/>
  </r>
  <r>
    <x v="1593"/>
    <x v="9"/>
    <n v="0"/>
    <x v="4"/>
    <x v="13"/>
    <n v="219"/>
    <n v="132"/>
    <n v="0"/>
    <n v="0"/>
    <n v="0"/>
  </r>
  <r>
    <x v="1594"/>
    <x v="10"/>
    <n v="0"/>
    <x v="4"/>
    <x v="13"/>
    <n v="1469"/>
    <n v="1184"/>
    <n v="0"/>
    <n v="0"/>
    <n v="0"/>
  </r>
  <r>
    <x v="1595"/>
    <x v="11"/>
    <n v="0"/>
    <x v="4"/>
    <x v="13"/>
    <n v="89"/>
    <n v="59"/>
    <n v="0"/>
    <n v="0"/>
    <n v="0"/>
  </r>
  <r>
    <x v="1596"/>
    <x v="12"/>
    <n v="0"/>
    <x v="4"/>
    <x v="13"/>
    <n v="310"/>
    <n v="206"/>
    <n v="0"/>
    <n v="0"/>
    <n v="0"/>
  </r>
  <r>
    <x v="1597"/>
    <x v="13"/>
    <n v="0"/>
    <x v="4"/>
    <x v="13"/>
    <n v="540"/>
    <n v="397"/>
    <n v="0"/>
    <n v="0"/>
    <n v="0"/>
  </r>
  <r>
    <x v="1598"/>
    <x v="14"/>
    <n v="0"/>
    <x v="4"/>
    <x v="13"/>
    <n v="360"/>
    <n v="248"/>
    <n v="0"/>
    <n v="0"/>
    <n v="0"/>
  </r>
  <r>
    <x v="1599"/>
    <x v="15"/>
    <n v="0"/>
    <x v="4"/>
    <x v="13"/>
    <n v="250"/>
    <n v="190"/>
    <n v="0"/>
    <n v="0"/>
    <n v="0"/>
  </r>
  <r>
    <x v="1600"/>
    <x v="16"/>
    <n v="0"/>
    <x v="4"/>
    <x v="13"/>
    <n v="120"/>
    <n v="85"/>
    <n v="0"/>
    <n v="0"/>
    <n v="0"/>
  </r>
  <r>
    <x v="1601"/>
    <x v="17"/>
    <n v="0"/>
    <x v="4"/>
    <x v="13"/>
    <n v="80"/>
    <n v="55"/>
    <n v="0"/>
    <n v="0"/>
    <n v="0"/>
  </r>
  <r>
    <x v="1602"/>
    <x v="0"/>
    <n v="0"/>
    <x v="5"/>
    <x v="13"/>
    <n v="549"/>
    <n v="365"/>
    <n v="0"/>
    <n v="0"/>
    <n v="0"/>
  </r>
  <r>
    <x v="1603"/>
    <x v="1"/>
    <n v="0"/>
    <x v="5"/>
    <x v="13"/>
    <n v="699"/>
    <n v="550"/>
    <n v="0"/>
    <n v="0"/>
    <n v="0"/>
  </r>
  <r>
    <x v="1604"/>
    <x v="2"/>
    <n v="0"/>
    <x v="5"/>
    <x v="13"/>
    <n v="739"/>
    <n v="620"/>
    <n v="0"/>
    <n v="0"/>
    <n v="0"/>
  </r>
  <r>
    <x v="1605"/>
    <x v="3"/>
    <n v="0"/>
    <x v="5"/>
    <x v="13"/>
    <n v="899"/>
    <n v="714"/>
    <n v="0"/>
    <n v="0"/>
    <n v="0"/>
  </r>
  <r>
    <x v="1606"/>
    <x v="4"/>
    <n v="1"/>
    <x v="5"/>
    <x v="13"/>
    <n v="1379"/>
    <n v="890"/>
    <n v="1379"/>
    <n v="890"/>
    <n v="489"/>
  </r>
  <r>
    <x v="1607"/>
    <x v="5"/>
    <n v="0"/>
    <x v="5"/>
    <x v="13"/>
    <n v="849"/>
    <n v="530"/>
    <n v="0"/>
    <n v="0"/>
    <n v="0"/>
  </r>
  <r>
    <x v="1608"/>
    <x v="6"/>
    <n v="0"/>
    <x v="5"/>
    <x v="13"/>
    <n v="1000"/>
    <n v="768"/>
    <n v="0"/>
    <n v="0"/>
    <n v="0"/>
  </r>
  <r>
    <x v="1609"/>
    <x v="7"/>
    <n v="0"/>
    <x v="5"/>
    <x v="13"/>
    <n v="680"/>
    <n v="570"/>
    <n v="0"/>
    <n v="0"/>
    <n v="0"/>
  </r>
  <r>
    <x v="1610"/>
    <x v="8"/>
    <n v="0"/>
    <x v="5"/>
    <x v="13"/>
    <n v="199"/>
    <n v="140"/>
    <n v="0"/>
    <n v="0"/>
    <n v="0"/>
  </r>
  <r>
    <x v="1611"/>
    <x v="9"/>
    <n v="0"/>
    <x v="5"/>
    <x v="13"/>
    <n v="219"/>
    <n v="132"/>
    <n v="0"/>
    <n v="0"/>
    <n v="0"/>
  </r>
  <r>
    <x v="1612"/>
    <x v="10"/>
    <n v="1"/>
    <x v="5"/>
    <x v="13"/>
    <n v="1469"/>
    <n v="1184"/>
    <n v="1469"/>
    <n v="1184"/>
    <n v="285"/>
  </r>
  <r>
    <x v="1613"/>
    <x v="11"/>
    <n v="0"/>
    <x v="5"/>
    <x v="13"/>
    <n v="89"/>
    <n v="59"/>
    <n v="0"/>
    <n v="0"/>
    <n v="0"/>
  </r>
  <r>
    <x v="1614"/>
    <x v="12"/>
    <n v="0"/>
    <x v="5"/>
    <x v="13"/>
    <n v="310"/>
    <n v="206"/>
    <n v="0"/>
    <n v="0"/>
    <n v="0"/>
  </r>
  <r>
    <x v="1615"/>
    <x v="13"/>
    <n v="0"/>
    <x v="5"/>
    <x v="13"/>
    <n v="540"/>
    <n v="397"/>
    <n v="0"/>
    <n v="0"/>
    <n v="0"/>
  </r>
  <r>
    <x v="1616"/>
    <x v="14"/>
    <n v="0"/>
    <x v="5"/>
    <x v="13"/>
    <n v="360"/>
    <n v="248"/>
    <n v="0"/>
    <n v="0"/>
    <n v="0"/>
  </r>
  <r>
    <x v="1617"/>
    <x v="15"/>
    <n v="0"/>
    <x v="5"/>
    <x v="13"/>
    <n v="250"/>
    <n v="190"/>
    <n v="0"/>
    <n v="0"/>
    <n v="0"/>
  </r>
  <r>
    <x v="1618"/>
    <x v="16"/>
    <n v="0"/>
    <x v="5"/>
    <x v="13"/>
    <n v="120"/>
    <n v="85"/>
    <n v="0"/>
    <n v="0"/>
    <n v="0"/>
  </r>
  <r>
    <x v="1619"/>
    <x v="17"/>
    <n v="0"/>
    <x v="5"/>
    <x v="13"/>
    <n v="80"/>
    <n v="55"/>
    <n v="0"/>
    <n v="0"/>
    <n v="0"/>
  </r>
  <r>
    <x v="1620"/>
    <x v="0"/>
    <n v="0"/>
    <x v="6"/>
    <x v="13"/>
    <n v="549"/>
    <n v="365"/>
    <n v="0"/>
    <n v="0"/>
    <n v="0"/>
  </r>
  <r>
    <x v="1621"/>
    <x v="1"/>
    <n v="0"/>
    <x v="6"/>
    <x v="13"/>
    <n v="699"/>
    <n v="550"/>
    <n v="0"/>
    <n v="0"/>
    <n v="0"/>
  </r>
  <r>
    <x v="1622"/>
    <x v="2"/>
    <n v="0"/>
    <x v="6"/>
    <x v="13"/>
    <n v="739"/>
    <n v="620"/>
    <n v="0"/>
    <n v="0"/>
    <n v="0"/>
  </r>
  <r>
    <x v="1623"/>
    <x v="3"/>
    <n v="0"/>
    <x v="6"/>
    <x v="13"/>
    <n v="899"/>
    <n v="714"/>
    <n v="0"/>
    <n v="0"/>
    <n v="0"/>
  </r>
  <r>
    <x v="1624"/>
    <x v="4"/>
    <n v="1"/>
    <x v="6"/>
    <x v="13"/>
    <n v="1379"/>
    <n v="890"/>
    <n v="1379"/>
    <n v="890"/>
    <n v="489"/>
  </r>
  <r>
    <x v="1625"/>
    <x v="5"/>
    <n v="0"/>
    <x v="6"/>
    <x v="13"/>
    <n v="849"/>
    <n v="530"/>
    <n v="0"/>
    <n v="0"/>
    <n v="0"/>
  </r>
  <r>
    <x v="1626"/>
    <x v="6"/>
    <n v="0"/>
    <x v="6"/>
    <x v="13"/>
    <n v="1000"/>
    <n v="768"/>
    <n v="0"/>
    <n v="0"/>
    <n v="0"/>
  </r>
  <r>
    <x v="1627"/>
    <x v="7"/>
    <n v="0"/>
    <x v="6"/>
    <x v="13"/>
    <n v="680"/>
    <n v="570"/>
    <n v="0"/>
    <n v="0"/>
    <n v="0"/>
  </r>
  <r>
    <x v="1628"/>
    <x v="8"/>
    <n v="0"/>
    <x v="6"/>
    <x v="13"/>
    <n v="199"/>
    <n v="140"/>
    <n v="0"/>
    <n v="0"/>
    <n v="0"/>
  </r>
  <r>
    <x v="1629"/>
    <x v="9"/>
    <n v="0"/>
    <x v="6"/>
    <x v="13"/>
    <n v="219"/>
    <n v="132"/>
    <n v="0"/>
    <n v="0"/>
    <n v="0"/>
  </r>
  <r>
    <x v="1630"/>
    <x v="10"/>
    <n v="1"/>
    <x v="6"/>
    <x v="13"/>
    <n v="1469"/>
    <n v="1184"/>
    <n v="1469"/>
    <n v="1184"/>
    <n v="285"/>
  </r>
  <r>
    <x v="1631"/>
    <x v="11"/>
    <n v="0"/>
    <x v="6"/>
    <x v="13"/>
    <n v="89"/>
    <n v="59"/>
    <n v="0"/>
    <n v="0"/>
    <n v="0"/>
  </r>
  <r>
    <x v="1632"/>
    <x v="12"/>
    <n v="0"/>
    <x v="6"/>
    <x v="13"/>
    <n v="310"/>
    <n v="206"/>
    <n v="0"/>
    <n v="0"/>
    <n v="0"/>
  </r>
  <r>
    <x v="1633"/>
    <x v="13"/>
    <n v="0"/>
    <x v="6"/>
    <x v="13"/>
    <n v="540"/>
    <n v="397"/>
    <n v="0"/>
    <n v="0"/>
    <n v="0"/>
  </r>
  <r>
    <x v="1634"/>
    <x v="14"/>
    <n v="0"/>
    <x v="6"/>
    <x v="13"/>
    <n v="360"/>
    <n v="248"/>
    <n v="0"/>
    <n v="0"/>
    <n v="0"/>
  </r>
  <r>
    <x v="1635"/>
    <x v="15"/>
    <n v="0"/>
    <x v="6"/>
    <x v="13"/>
    <n v="250"/>
    <n v="190"/>
    <n v="0"/>
    <n v="0"/>
    <n v="0"/>
  </r>
  <r>
    <x v="1636"/>
    <x v="16"/>
    <n v="0"/>
    <x v="6"/>
    <x v="13"/>
    <n v="120"/>
    <n v="85"/>
    <n v="0"/>
    <n v="0"/>
    <n v="0"/>
  </r>
  <r>
    <x v="1637"/>
    <x v="17"/>
    <n v="0"/>
    <x v="6"/>
    <x v="13"/>
    <n v="80"/>
    <n v="55"/>
    <n v="0"/>
    <n v="0"/>
    <n v="0"/>
  </r>
  <r>
    <x v="1638"/>
    <x v="0"/>
    <n v="0"/>
    <x v="0"/>
    <x v="13"/>
    <n v="549"/>
    <n v="365"/>
    <n v="0"/>
    <n v="0"/>
    <n v="0"/>
  </r>
  <r>
    <x v="1639"/>
    <x v="1"/>
    <n v="0"/>
    <x v="0"/>
    <x v="13"/>
    <n v="699"/>
    <n v="550"/>
    <n v="0"/>
    <n v="0"/>
    <n v="0"/>
  </r>
  <r>
    <x v="1640"/>
    <x v="2"/>
    <n v="0"/>
    <x v="0"/>
    <x v="13"/>
    <n v="739"/>
    <n v="620"/>
    <n v="0"/>
    <n v="0"/>
    <n v="0"/>
  </r>
  <r>
    <x v="1641"/>
    <x v="3"/>
    <n v="0"/>
    <x v="0"/>
    <x v="13"/>
    <n v="899"/>
    <n v="714"/>
    <n v="0"/>
    <n v="0"/>
    <n v="0"/>
  </r>
  <r>
    <x v="1642"/>
    <x v="4"/>
    <n v="0"/>
    <x v="0"/>
    <x v="13"/>
    <n v="1379"/>
    <n v="890"/>
    <n v="0"/>
    <n v="0"/>
    <n v="0"/>
  </r>
  <r>
    <x v="1643"/>
    <x v="5"/>
    <n v="0"/>
    <x v="0"/>
    <x v="13"/>
    <n v="849"/>
    <n v="530"/>
    <n v="0"/>
    <n v="0"/>
    <n v="0"/>
  </r>
  <r>
    <x v="1644"/>
    <x v="6"/>
    <n v="0"/>
    <x v="0"/>
    <x v="13"/>
    <n v="1000"/>
    <n v="768"/>
    <n v="0"/>
    <n v="0"/>
    <n v="0"/>
  </r>
  <r>
    <x v="1645"/>
    <x v="7"/>
    <n v="0"/>
    <x v="0"/>
    <x v="13"/>
    <n v="680"/>
    <n v="570"/>
    <n v="0"/>
    <n v="0"/>
    <n v="0"/>
  </r>
  <r>
    <x v="1646"/>
    <x v="8"/>
    <n v="0"/>
    <x v="0"/>
    <x v="13"/>
    <n v="199"/>
    <n v="140"/>
    <n v="0"/>
    <n v="0"/>
    <n v="0"/>
  </r>
  <r>
    <x v="1647"/>
    <x v="9"/>
    <n v="0"/>
    <x v="0"/>
    <x v="13"/>
    <n v="219"/>
    <n v="132"/>
    <n v="0"/>
    <n v="0"/>
    <n v="0"/>
  </r>
  <r>
    <x v="1648"/>
    <x v="10"/>
    <n v="0"/>
    <x v="0"/>
    <x v="13"/>
    <n v="1469"/>
    <n v="1184"/>
    <n v="0"/>
    <n v="0"/>
    <n v="0"/>
  </r>
  <r>
    <x v="1649"/>
    <x v="11"/>
    <n v="0"/>
    <x v="0"/>
    <x v="13"/>
    <n v="89"/>
    <n v="59"/>
    <n v="0"/>
    <n v="0"/>
    <n v="0"/>
  </r>
  <r>
    <x v="1650"/>
    <x v="12"/>
    <n v="0"/>
    <x v="0"/>
    <x v="13"/>
    <n v="310"/>
    <n v="206"/>
    <n v="0"/>
    <n v="0"/>
    <n v="0"/>
  </r>
  <r>
    <x v="1651"/>
    <x v="13"/>
    <n v="0"/>
    <x v="0"/>
    <x v="13"/>
    <n v="540"/>
    <n v="397"/>
    <n v="0"/>
    <n v="0"/>
    <n v="0"/>
  </r>
  <r>
    <x v="1652"/>
    <x v="14"/>
    <n v="0"/>
    <x v="0"/>
    <x v="13"/>
    <n v="360"/>
    <n v="248"/>
    <n v="0"/>
    <n v="0"/>
    <n v="0"/>
  </r>
  <r>
    <x v="1653"/>
    <x v="15"/>
    <n v="0"/>
    <x v="0"/>
    <x v="13"/>
    <n v="250"/>
    <n v="190"/>
    <n v="0"/>
    <n v="0"/>
    <n v="0"/>
  </r>
  <r>
    <x v="1654"/>
    <x v="16"/>
    <n v="0"/>
    <x v="0"/>
    <x v="13"/>
    <n v="120"/>
    <n v="85"/>
    <n v="0"/>
    <n v="0"/>
    <n v="0"/>
  </r>
  <r>
    <x v="1655"/>
    <x v="17"/>
    <n v="0"/>
    <x v="0"/>
    <x v="13"/>
    <n v="80"/>
    <n v="5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5D73F-768D-4359-A5D3-2BB11F6A5CE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0"/>
    <field x="0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3F74F-5D56-4CFF-B97C-CAA29F6FB0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0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Sum of REVENUE" fld="7" baseField="0" baseItem="0"/>
  </dataFields>
  <formats count="3">
    <format dxfId="12">
      <pivotArea collapsedLevelsAreSubtotals="1" fieldPosition="0">
        <references count="1">
          <reference field="10" count="1">
            <x v="10"/>
          </reference>
        </references>
      </pivotArea>
    </format>
    <format dxfId="11">
      <pivotArea collapsedLevelsAreSubtotals="1" fieldPosition="0">
        <references count="1">
          <reference field="10" count="1">
            <x v="11"/>
          </reference>
        </references>
      </pivotArea>
    </format>
    <format dxfId="10">
      <pivotArea collapsedLevelsAreSubtotals="1" fieldPosition="0">
        <references count="1">
          <reference field="10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302AF-F8E3-4D21-96FE-B3449F9475EC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0"/>
  </rowFields>
  <rowItems count="4"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7" baseField="0" baseItem="0"/>
    <dataField name="Sum of SALES" fld="2" baseField="0" baseItem="0"/>
  </dataFields>
  <formats count="3">
    <format dxfId="9">
      <pivotArea collapsedLevelsAreSubtotals="1" fieldPosition="0">
        <references count="2">
          <reference field="4294967294" count="1" selected="0">
            <x v="0"/>
          </reference>
          <reference field="10" count="1">
            <x v="10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0"/>
          </reference>
          <reference field="10" count="1">
            <x v="1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0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FD16BF-0953-4AA8-BC0E-A01D66D749F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C3BDE-9A35-49A0-8C1A-DE4BC05D18A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23546-ED25-473B-B746-CD3E702126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1">
    <pivotField numFmtId="14"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showAll="0" defaultSubtota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83390-DCD0-4DB9-816F-498D7931B6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11">
    <pivotField numFmtId="14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showAll="0" defaultSubtotal="0"/>
  </pivotFields>
  <rowFields count="1">
    <field x="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7" baseField="0" baseItem="0"/>
  </dataFields>
  <formats count="1">
    <format dxfId="6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5EA7A4-AE33-4CDD-8539-BFEB8B16F54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numFmtId="14" showAll="0"/>
    <pivotField showAll="0"/>
    <pivotField dataField="1"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1366C0-165E-45B9-A0EC-4BF464B75EE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numFmtId="14" showAll="0"/>
    <pivotField showAll="0"/>
    <pivotField showAll="0"/>
    <pivotField axis="axisRow" showAll="0">
      <items count="8">
        <item x="2"/>
        <item x="3"/>
        <item x="4"/>
        <item x="5"/>
        <item x="6"/>
        <item x="0"/>
        <item x="1"/>
        <item t="default"/>
      </items>
    </pivotField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7" baseField="0" baseItem="0"/>
  </dataFields>
  <formats count="1">
    <format dxfId="5">
      <pivotArea collapsedLevelsAreSubtotals="1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706FD-3CB2-4BF8-82FB-3FFA9E9065C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4" firstHeaderRow="1" firstDataRow="3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2">
    <field x="-2"/>
    <field x="10"/>
  </colFields>
  <colItems count="8">
    <i>
      <x/>
      <x v="10"/>
    </i>
    <i r="1">
      <x v="11"/>
    </i>
    <i r="1">
      <x v="12"/>
    </i>
    <i i="1">
      <x v="1"/>
      <x v="10"/>
    </i>
    <i r="1" i="1">
      <x v="11"/>
    </i>
    <i r="1" i="1">
      <x v="12"/>
    </i>
    <i t="grand">
      <x/>
    </i>
    <i t="grand" i="1">
      <x/>
    </i>
  </colItems>
  <dataFields count="2">
    <dataField name="Sum of SALES" fld="2" baseField="0" baseItem="0"/>
    <dataField name="Sum of REVENUE" fld="7" baseField="0" baseItem="0"/>
  </dataFields>
  <formats count="1">
    <format dxfId="4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10" count="3" selected="0">
            <x v="10"/>
            <x v="11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D6D22-843D-4007-9B04-AC520B46908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3" firstHeaderRow="1" firstDataRow="2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4">
    <i>
      <x v="10"/>
    </i>
    <i>
      <x v="11"/>
    </i>
    <i>
      <x v="12"/>
    </i>
    <i t="grand">
      <x/>
    </i>
  </colItems>
  <dataFields count="1"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F4811-218F-4977-B7C1-3FBEDB6B82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2" firstHeaderRow="0" firstDataRow="1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/>
    <dataField name="Sum of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04E6C1-DC67-40EE-BB5C-94017B87A5A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1">
    <pivotField numFmtId="14" showAll="0"/>
    <pivotField axis="axisRow" showAll="0">
      <items count="19">
        <item x="13"/>
        <item x="14"/>
        <item x="15"/>
        <item x="16"/>
        <item x="17"/>
        <item x="5"/>
        <item x="6"/>
        <item x="7"/>
        <item x="10"/>
        <item x="11"/>
        <item x="12"/>
        <item x="8"/>
        <item x="9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 defaultSubtota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E876B8-5936-4E5A-AAA2-F2296A743DB5}" name="Table4" displayName="Table4" ref="G2:H20" totalsRowShown="0" headerRowDxfId="3">
  <tableColumns count="2">
    <tableColumn id="1" xr3:uid="{1169C2E1-EA65-49D7-9C20-AB621A1576A0}" name="SKUs" dataDxfId="2"/>
    <tableColumn id="2" xr3:uid="{A6CBB780-3C04-4D3A-8C4D-2061CE12F4CC}" name="Average Days of Invento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04F8-815C-494B-B0ED-92447AE96EE9}">
  <dimension ref="A1:T94"/>
  <sheetViews>
    <sheetView zoomScaleNormal="100" workbookViewId="0">
      <selection activeCell="V8" sqref="V8"/>
    </sheetView>
  </sheetViews>
  <sheetFormatPr defaultRowHeight="14.4" x14ac:dyDescent="0.3"/>
  <cols>
    <col min="1" max="1" width="10.6640625" bestFit="1" customWidth="1"/>
    <col min="2" max="20" width="9" bestFit="1" customWidth="1"/>
  </cols>
  <sheetData>
    <row r="1" spans="1:20" x14ac:dyDescent="0.3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</row>
    <row r="2" spans="1:20" x14ac:dyDescent="0.3">
      <c r="A2" s="3">
        <v>44835</v>
      </c>
      <c r="B2">
        <v>0</v>
      </c>
      <c r="C2">
        <v>0</v>
      </c>
      <c r="D2">
        <v>1</v>
      </c>
      <c r="E2">
        <v>0</v>
      </c>
      <c r="F2">
        <v>0</v>
      </c>
      <c r="G2">
        <v>8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f>SUM(B2:S2)</f>
        <v>10</v>
      </c>
    </row>
    <row r="3" spans="1:20" x14ac:dyDescent="0.3">
      <c r="A3" s="3">
        <v>44836</v>
      </c>
      <c r="B3">
        <v>1</v>
      </c>
      <c r="C3">
        <v>6</v>
      </c>
      <c r="D3">
        <v>4</v>
      </c>
      <c r="E3">
        <v>0</v>
      </c>
      <c r="F3">
        <v>0</v>
      </c>
      <c r="G3">
        <v>12</v>
      </c>
      <c r="H3">
        <v>2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f t="shared" ref="T3:T66" si="0">SUM(B3:S3)</f>
        <v>27</v>
      </c>
    </row>
    <row r="4" spans="1:20" x14ac:dyDescent="0.3">
      <c r="A4" s="3">
        <v>44837</v>
      </c>
      <c r="B4">
        <v>0</v>
      </c>
      <c r="C4">
        <v>1</v>
      </c>
      <c r="D4">
        <v>1</v>
      </c>
      <c r="E4">
        <v>0</v>
      </c>
      <c r="F4">
        <v>0</v>
      </c>
      <c r="G4">
        <v>4</v>
      </c>
      <c r="H4">
        <v>4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f t="shared" si="0"/>
        <v>13</v>
      </c>
    </row>
    <row r="5" spans="1:20" x14ac:dyDescent="0.3">
      <c r="A5" s="3">
        <v>44838</v>
      </c>
      <c r="B5">
        <v>1</v>
      </c>
      <c r="C5">
        <v>1</v>
      </c>
      <c r="D5">
        <v>3</v>
      </c>
      <c r="E5">
        <v>0</v>
      </c>
      <c r="F5">
        <v>0</v>
      </c>
      <c r="G5">
        <v>2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f t="shared" si="0"/>
        <v>9</v>
      </c>
    </row>
    <row r="6" spans="1:20" x14ac:dyDescent="0.3">
      <c r="A6" s="3">
        <v>44839</v>
      </c>
      <c r="B6">
        <v>0</v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f t="shared" si="0"/>
        <v>3</v>
      </c>
    </row>
    <row r="7" spans="1:20" x14ac:dyDescent="0.3">
      <c r="A7" s="3">
        <v>44840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f t="shared" si="0"/>
        <v>0</v>
      </c>
    </row>
    <row r="8" spans="1:20" x14ac:dyDescent="0.3">
      <c r="A8" s="3">
        <v>44841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f t="shared" si="0"/>
        <v>5</v>
      </c>
    </row>
    <row r="9" spans="1:20" x14ac:dyDescent="0.3">
      <c r="A9" s="3">
        <v>44842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f t="shared" si="0"/>
        <v>0</v>
      </c>
    </row>
    <row r="10" spans="1:20" x14ac:dyDescent="0.3">
      <c r="A10" s="3">
        <v>44843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f t="shared" si="0"/>
        <v>0</v>
      </c>
    </row>
    <row r="11" spans="1:20" x14ac:dyDescent="0.3">
      <c r="A11" s="3">
        <v>44844</v>
      </c>
      <c r="B11">
        <v>0</v>
      </c>
      <c r="C11">
        <v>1</v>
      </c>
      <c r="D11">
        <v>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f t="shared" si="0"/>
        <v>3</v>
      </c>
    </row>
    <row r="12" spans="1:20" x14ac:dyDescent="0.3">
      <c r="A12" s="3">
        <v>44845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f t="shared" si="0"/>
        <v>0</v>
      </c>
    </row>
    <row r="13" spans="1:20" x14ac:dyDescent="0.3">
      <c r="A13" s="3">
        <v>44846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f t="shared" si="0"/>
        <v>0</v>
      </c>
    </row>
    <row r="14" spans="1:20" x14ac:dyDescent="0.3">
      <c r="A14" s="3">
        <v>44847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f t="shared" si="0"/>
        <v>0</v>
      </c>
    </row>
    <row r="15" spans="1:20" x14ac:dyDescent="0.3">
      <c r="A15" s="3">
        <v>44848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f t="shared" si="0"/>
        <v>0</v>
      </c>
    </row>
    <row r="16" spans="1:20" x14ac:dyDescent="0.3">
      <c r="A16" s="3">
        <v>44849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f t="shared" si="0"/>
        <v>0</v>
      </c>
    </row>
    <row r="17" spans="1:20" x14ac:dyDescent="0.3">
      <c r="A17" s="3">
        <v>44850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f t="shared" si="0"/>
        <v>0</v>
      </c>
    </row>
    <row r="18" spans="1:20" x14ac:dyDescent="0.3">
      <c r="A18" s="3">
        <v>44851</v>
      </c>
      <c r="B18">
        <v>0</v>
      </c>
      <c r="C18">
        <v>1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f t="shared" si="0"/>
        <v>6</v>
      </c>
    </row>
    <row r="19" spans="1:20" x14ac:dyDescent="0.3">
      <c r="A19" s="3">
        <v>44852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f t="shared" si="0"/>
        <v>0</v>
      </c>
    </row>
    <row r="20" spans="1:20" x14ac:dyDescent="0.3">
      <c r="A20" s="3">
        <v>44853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f t="shared" si="0"/>
        <v>0</v>
      </c>
    </row>
    <row r="21" spans="1:20" x14ac:dyDescent="0.3">
      <c r="A21" s="3">
        <v>44854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f t="shared" si="0"/>
        <v>0</v>
      </c>
    </row>
    <row r="22" spans="1:20" x14ac:dyDescent="0.3">
      <c r="A22" s="3">
        <v>44855</v>
      </c>
      <c r="B22">
        <v>0</v>
      </c>
      <c r="C22">
        <v>2</v>
      </c>
      <c r="D22">
        <v>4</v>
      </c>
      <c r="E22">
        <v>0</v>
      </c>
      <c r="F22">
        <v>0</v>
      </c>
      <c r="G22">
        <v>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f t="shared" si="0"/>
        <v>12</v>
      </c>
    </row>
    <row r="23" spans="1:20" x14ac:dyDescent="0.3">
      <c r="A23" s="3">
        <v>44856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f t="shared" si="0"/>
        <v>4</v>
      </c>
    </row>
    <row r="24" spans="1:20" x14ac:dyDescent="0.3">
      <c r="A24" s="3">
        <v>44857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f t="shared" si="0"/>
        <v>0</v>
      </c>
    </row>
    <row r="25" spans="1:20" x14ac:dyDescent="0.3">
      <c r="A25" s="3">
        <v>44858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0"/>
        <v>0</v>
      </c>
    </row>
    <row r="26" spans="1:20" x14ac:dyDescent="0.3">
      <c r="A26" s="3">
        <v>44859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f t="shared" si="0"/>
        <v>0</v>
      </c>
    </row>
    <row r="27" spans="1:20" x14ac:dyDescent="0.3">
      <c r="A27" s="3">
        <v>44860</v>
      </c>
      <c r="B27">
        <v>0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f t="shared" si="0"/>
        <v>4</v>
      </c>
    </row>
    <row r="28" spans="1:20" x14ac:dyDescent="0.3">
      <c r="A28" s="3">
        <v>44861</v>
      </c>
      <c r="B28">
        <v>0</v>
      </c>
      <c r="C28">
        <v>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f t="shared" si="0"/>
        <v>3</v>
      </c>
    </row>
    <row r="29" spans="1:20" x14ac:dyDescent="0.3">
      <c r="A29" s="3">
        <v>44862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f t="shared" si="0"/>
        <v>2</v>
      </c>
    </row>
    <row r="30" spans="1:20" x14ac:dyDescent="0.3">
      <c r="A30" s="3">
        <v>44863</v>
      </c>
      <c r="B30">
        <v>0</v>
      </c>
      <c r="C30">
        <v>1</v>
      </c>
      <c r="D30">
        <v>2</v>
      </c>
      <c r="E30">
        <v>6</v>
      </c>
      <c r="F30">
        <v>0</v>
      </c>
      <c r="G30">
        <v>13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f t="shared" si="0"/>
        <v>24</v>
      </c>
    </row>
    <row r="31" spans="1:20" x14ac:dyDescent="0.3">
      <c r="A31" s="3">
        <v>44864</v>
      </c>
      <c r="B31">
        <v>0</v>
      </c>
      <c r="C31">
        <v>2</v>
      </c>
      <c r="D31">
        <v>3</v>
      </c>
      <c r="E31">
        <v>0</v>
      </c>
      <c r="F31">
        <v>0</v>
      </c>
      <c r="G31">
        <v>2</v>
      </c>
      <c r="H31">
        <v>0</v>
      </c>
      <c r="I31">
        <v>1</v>
      </c>
      <c r="J31">
        <v>0</v>
      </c>
      <c r="K31">
        <v>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f t="shared" si="0"/>
        <v>10</v>
      </c>
    </row>
    <row r="32" spans="1:20" x14ac:dyDescent="0.3">
      <c r="A32" s="3">
        <v>44865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f t="shared" si="0"/>
        <v>0</v>
      </c>
    </row>
    <row r="33" spans="1:20" x14ac:dyDescent="0.3">
      <c r="A33" s="3">
        <v>44866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f t="shared" si="0"/>
        <v>0</v>
      </c>
    </row>
    <row r="34" spans="1:20" x14ac:dyDescent="0.3">
      <c r="A34" s="3">
        <v>44867</v>
      </c>
      <c r="B34">
        <v>0</v>
      </c>
      <c r="C34">
        <v>1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f t="shared" si="0"/>
        <v>5</v>
      </c>
    </row>
    <row r="35" spans="1:20" x14ac:dyDescent="0.3">
      <c r="A35" s="3">
        <v>44868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f t="shared" si="0"/>
        <v>2</v>
      </c>
    </row>
    <row r="36" spans="1:20" x14ac:dyDescent="0.3">
      <c r="A36" s="3">
        <v>44869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f t="shared" si="0"/>
        <v>0</v>
      </c>
    </row>
    <row r="37" spans="1:20" x14ac:dyDescent="0.3">
      <c r="A37" s="3">
        <v>44870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f t="shared" si="0"/>
        <v>0</v>
      </c>
    </row>
    <row r="38" spans="1:20" x14ac:dyDescent="0.3">
      <c r="A38" s="3">
        <v>44871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f t="shared" si="0"/>
        <v>0</v>
      </c>
    </row>
    <row r="39" spans="1:20" x14ac:dyDescent="0.3">
      <c r="A39" s="3">
        <v>44872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f t="shared" si="0"/>
        <v>0</v>
      </c>
    </row>
    <row r="40" spans="1:20" x14ac:dyDescent="0.3">
      <c r="A40" s="3">
        <v>44873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f t="shared" si="0"/>
        <v>0</v>
      </c>
    </row>
    <row r="41" spans="1:20" x14ac:dyDescent="0.3">
      <c r="A41" s="3">
        <v>44874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f t="shared" si="0"/>
        <v>0</v>
      </c>
    </row>
    <row r="42" spans="1:20" x14ac:dyDescent="0.3">
      <c r="A42" s="3">
        <v>44875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f t="shared" si="0"/>
        <v>0</v>
      </c>
    </row>
    <row r="43" spans="1:20" x14ac:dyDescent="0.3">
      <c r="A43" s="3">
        <v>44876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f t="shared" si="0"/>
        <v>0</v>
      </c>
    </row>
    <row r="44" spans="1:20" x14ac:dyDescent="0.3">
      <c r="A44" s="3">
        <v>44877</v>
      </c>
      <c r="B44">
        <v>0</v>
      </c>
      <c r="C44">
        <v>1</v>
      </c>
      <c r="D44">
        <v>2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f t="shared" si="0"/>
        <v>7</v>
      </c>
    </row>
    <row r="45" spans="1:20" x14ac:dyDescent="0.3">
      <c r="A45" s="3">
        <v>44878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f t="shared" si="0"/>
        <v>0</v>
      </c>
    </row>
    <row r="46" spans="1:20" x14ac:dyDescent="0.3">
      <c r="A46" s="3">
        <v>44879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f t="shared" si="0"/>
        <v>0</v>
      </c>
    </row>
    <row r="47" spans="1:20" x14ac:dyDescent="0.3">
      <c r="A47" s="3">
        <v>44880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f t="shared" si="0"/>
        <v>0</v>
      </c>
    </row>
    <row r="48" spans="1:20" x14ac:dyDescent="0.3">
      <c r="A48" s="3">
        <v>44881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f t="shared" si="0"/>
        <v>0</v>
      </c>
    </row>
    <row r="49" spans="1:20" x14ac:dyDescent="0.3">
      <c r="A49" s="3">
        <v>44882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f t="shared" si="0"/>
        <v>0</v>
      </c>
    </row>
    <row r="50" spans="1:20" x14ac:dyDescent="0.3">
      <c r="A50" s="3">
        <v>44883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f t="shared" si="0"/>
        <v>0</v>
      </c>
    </row>
    <row r="51" spans="1:20" x14ac:dyDescent="0.3">
      <c r="A51" s="3">
        <v>44884</v>
      </c>
      <c r="B51">
        <v>0</v>
      </c>
      <c r="C51">
        <v>1</v>
      </c>
      <c r="D51">
        <v>2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f t="shared" si="0"/>
        <v>5</v>
      </c>
    </row>
    <row r="52" spans="1:20" x14ac:dyDescent="0.3">
      <c r="A52" s="3">
        <v>44885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f t="shared" si="0"/>
        <v>0</v>
      </c>
    </row>
    <row r="53" spans="1:20" x14ac:dyDescent="0.3">
      <c r="A53" s="3">
        <v>44886</v>
      </c>
      <c r="B53">
        <v>0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f t="shared" si="0"/>
        <v>2</v>
      </c>
    </row>
    <row r="54" spans="1:20" x14ac:dyDescent="0.3">
      <c r="A54" s="3">
        <v>44887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f t="shared" si="0"/>
        <v>1</v>
      </c>
    </row>
    <row r="55" spans="1:20" x14ac:dyDescent="0.3">
      <c r="A55" s="3">
        <v>44888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f t="shared" si="0"/>
        <v>0</v>
      </c>
    </row>
    <row r="56" spans="1:20" x14ac:dyDescent="0.3">
      <c r="A56" s="3">
        <v>44889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f t="shared" si="0"/>
        <v>2</v>
      </c>
    </row>
    <row r="57" spans="1:20" x14ac:dyDescent="0.3">
      <c r="A57" s="3">
        <v>44890</v>
      </c>
      <c r="B57">
        <v>0</v>
      </c>
      <c r="C57">
        <v>0</v>
      </c>
      <c r="D57">
        <v>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f t="shared" si="0"/>
        <v>4</v>
      </c>
    </row>
    <row r="58" spans="1:20" x14ac:dyDescent="0.3">
      <c r="A58" s="3">
        <v>44891</v>
      </c>
      <c r="B58">
        <v>0</v>
      </c>
      <c r="C58">
        <v>2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f t="shared" si="0"/>
        <v>3</v>
      </c>
    </row>
    <row r="59" spans="1:20" x14ac:dyDescent="0.3">
      <c r="A59" s="3">
        <v>44892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f t="shared" si="0"/>
        <v>2</v>
      </c>
    </row>
    <row r="60" spans="1:20" x14ac:dyDescent="0.3">
      <c r="A60" s="3">
        <v>44893</v>
      </c>
      <c r="B60">
        <v>0</v>
      </c>
      <c r="C60">
        <v>0</v>
      </c>
      <c r="D60">
        <v>0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f t="shared" si="0"/>
        <v>7</v>
      </c>
    </row>
    <row r="61" spans="1:20" x14ac:dyDescent="0.3">
      <c r="A61" s="3">
        <v>44894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f t="shared" si="0"/>
        <v>1</v>
      </c>
    </row>
    <row r="62" spans="1:20" x14ac:dyDescent="0.3">
      <c r="A62" s="3">
        <v>44895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f t="shared" si="0"/>
        <v>1</v>
      </c>
    </row>
    <row r="63" spans="1:20" x14ac:dyDescent="0.3">
      <c r="A63" s="3">
        <v>44896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f t="shared" si="0"/>
        <v>2</v>
      </c>
    </row>
    <row r="64" spans="1:20" x14ac:dyDescent="0.3">
      <c r="A64" s="3">
        <v>44897</v>
      </c>
      <c r="B64">
        <v>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f t="shared" si="0"/>
        <v>4</v>
      </c>
    </row>
    <row r="65" spans="1:20" x14ac:dyDescent="0.3">
      <c r="A65" s="3">
        <v>44898</v>
      </c>
      <c r="B65">
        <v>0</v>
      </c>
      <c r="C65">
        <v>2</v>
      </c>
      <c r="D65">
        <v>3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f t="shared" si="0"/>
        <v>8</v>
      </c>
    </row>
    <row r="66" spans="1:20" x14ac:dyDescent="0.3">
      <c r="A66" s="3">
        <v>44899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f t="shared" si="0"/>
        <v>1</v>
      </c>
    </row>
    <row r="67" spans="1:20" x14ac:dyDescent="0.3">
      <c r="A67" s="3">
        <v>44900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f t="shared" ref="T67:T93" si="1">SUM(B67:S67)</f>
        <v>7</v>
      </c>
    </row>
    <row r="68" spans="1:20" x14ac:dyDescent="0.3">
      <c r="A68" s="3">
        <v>44901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f t="shared" si="1"/>
        <v>3</v>
      </c>
    </row>
    <row r="69" spans="1:20" x14ac:dyDescent="0.3">
      <c r="A69" s="3">
        <v>44902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f t="shared" si="1"/>
        <v>2</v>
      </c>
    </row>
    <row r="70" spans="1:20" x14ac:dyDescent="0.3">
      <c r="A70" s="3">
        <v>44903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f t="shared" si="1"/>
        <v>0</v>
      </c>
    </row>
    <row r="71" spans="1:20" x14ac:dyDescent="0.3">
      <c r="A71" s="3">
        <v>44904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f t="shared" si="1"/>
        <v>2</v>
      </c>
    </row>
    <row r="72" spans="1:20" x14ac:dyDescent="0.3">
      <c r="A72" s="3">
        <v>44905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f t="shared" si="1"/>
        <v>0</v>
      </c>
    </row>
    <row r="73" spans="1:20" x14ac:dyDescent="0.3">
      <c r="A73" s="3">
        <v>44906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f t="shared" si="1"/>
        <v>1</v>
      </c>
    </row>
    <row r="74" spans="1:20" x14ac:dyDescent="0.3">
      <c r="A74" s="3">
        <v>44907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f t="shared" si="1"/>
        <v>5</v>
      </c>
    </row>
    <row r="75" spans="1:20" x14ac:dyDescent="0.3">
      <c r="A75" s="3">
        <v>44908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f t="shared" si="1"/>
        <v>3</v>
      </c>
    </row>
    <row r="76" spans="1:20" x14ac:dyDescent="0.3">
      <c r="A76" s="3">
        <v>44909</v>
      </c>
      <c r="B76">
        <v>0</v>
      </c>
      <c r="C76">
        <v>0</v>
      </c>
      <c r="D76">
        <v>0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f t="shared" si="1"/>
        <v>6</v>
      </c>
    </row>
    <row r="77" spans="1:20" x14ac:dyDescent="0.3">
      <c r="A77" s="3">
        <v>44910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f t="shared" si="1"/>
        <v>0</v>
      </c>
    </row>
    <row r="78" spans="1:20" x14ac:dyDescent="0.3">
      <c r="A78" s="3">
        <v>44911</v>
      </c>
      <c r="B78">
        <v>1</v>
      </c>
      <c r="C78">
        <v>3</v>
      </c>
      <c r="D78">
        <v>2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4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f t="shared" si="1"/>
        <v>11</v>
      </c>
    </row>
    <row r="79" spans="1:20" x14ac:dyDescent="0.3">
      <c r="A79" s="3">
        <v>44912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f t="shared" si="1"/>
        <v>1</v>
      </c>
    </row>
    <row r="80" spans="1:20" x14ac:dyDescent="0.3">
      <c r="A80" s="3">
        <v>44913</v>
      </c>
      <c r="B80">
        <v>0</v>
      </c>
      <c r="C80">
        <v>0</v>
      </c>
      <c r="D80">
        <v>0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f t="shared" si="1"/>
        <v>4</v>
      </c>
    </row>
    <row r="81" spans="1:20" x14ac:dyDescent="0.3">
      <c r="A81" s="3">
        <v>44914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f t="shared" si="1"/>
        <v>0</v>
      </c>
    </row>
    <row r="82" spans="1:20" x14ac:dyDescent="0.3">
      <c r="A82" s="3">
        <v>44915</v>
      </c>
      <c r="B82">
        <v>0</v>
      </c>
      <c r="C82">
        <v>0</v>
      </c>
      <c r="D82">
        <v>0</v>
      </c>
      <c r="E82">
        <v>0</v>
      </c>
      <c r="F82">
        <v>1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f t="shared" si="1"/>
        <v>2</v>
      </c>
    </row>
    <row r="83" spans="1:20" x14ac:dyDescent="0.3">
      <c r="A83" s="3">
        <v>44916</v>
      </c>
      <c r="B83">
        <v>0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f t="shared" si="1"/>
        <v>4</v>
      </c>
    </row>
    <row r="84" spans="1:20" x14ac:dyDescent="0.3">
      <c r="A84" s="3">
        <v>44917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f t="shared" si="1"/>
        <v>0</v>
      </c>
    </row>
    <row r="85" spans="1:20" x14ac:dyDescent="0.3">
      <c r="A85" s="3">
        <v>44918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f t="shared" si="1"/>
        <v>1</v>
      </c>
    </row>
    <row r="86" spans="1:20" x14ac:dyDescent="0.3">
      <c r="A86" s="3">
        <v>44919</v>
      </c>
      <c r="B86">
        <v>0</v>
      </c>
      <c r="C86">
        <v>0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f t="shared" si="1"/>
        <v>4</v>
      </c>
    </row>
    <row r="87" spans="1:20" x14ac:dyDescent="0.3">
      <c r="A87" s="3">
        <v>44920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f t="shared" si="1"/>
        <v>2</v>
      </c>
    </row>
    <row r="88" spans="1:20" x14ac:dyDescent="0.3">
      <c r="A88" s="3">
        <v>44921</v>
      </c>
      <c r="B88">
        <v>0</v>
      </c>
      <c r="C88">
        <v>2</v>
      </c>
      <c r="D88">
        <v>1</v>
      </c>
      <c r="E88">
        <v>0</v>
      </c>
      <c r="F88">
        <v>1</v>
      </c>
      <c r="G88">
        <v>3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f t="shared" si="1"/>
        <v>8</v>
      </c>
    </row>
    <row r="89" spans="1:20" x14ac:dyDescent="0.3">
      <c r="A89" s="3">
        <v>44922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f t="shared" si="1"/>
        <v>0</v>
      </c>
    </row>
    <row r="90" spans="1:20" x14ac:dyDescent="0.3">
      <c r="A90" s="3">
        <v>44923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f t="shared" si="1"/>
        <v>0</v>
      </c>
    </row>
    <row r="91" spans="1:20" x14ac:dyDescent="0.3">
      <c r="A91" s="3">
        <v>44924</v>
      </c>
      <c r="B91">
        <v>0</v>
      </c>
      <c r="C91">
        <v>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f t="shared" si="1"/>
        <v>2</v>
      </c>
    </row>
    <row r="92" spans="1:20" x14ac:dyDescent="0.3">
      <c r="A92" s="3">
        <v>44925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f t="shared" si="1"/>
        <v>2</v>
      </c>
    </row>
    <row r="93" spans="1:20" x14ac:dyDescent="0.3">
      <c r="A93" s="3">
        <v>44926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f t="shared" si="1"/>
        <v>0</v>
      </c>
    </row>
    <row r="94" spans="1:20" x14ac:dyDescent="0.3">
      <c r="A94" s="2" t="s">
        <v>18</v>
      </c>
      <c r="B94">
        <f>SUM(B2:B93)</f>
        <v>4</v>
      </c>
      <c r="C94">
        <f t="shared" ref="C94:S94" si="2">SUM(C2:C93)</f>
        <v>35</v>
      </c>
      <c r="D94">
        <f t="shared" si="2"/>
        <v>41</v>
      </c>
      <c r="E94">
        <f t="shared" si="2"/>
        <v>16</v>
      </c>
      <c r="F94">
        <f t="shared" si="2"/>
        <v>10</v>
      </c>
      <c r="G94">
        <f t="shared" si="2"/>
        <v>78</v>
      </c>
      <c r="H94">
        <f t="shared" si="2"/>
        <v>10</v>
      </c>
      <c r="I94">
        <f t="shared" si="2"/>
        <v>13</v>
      </c>
      <c r="J94">
        <f t="shared" si="2"/>
        <v>0</v>
      </c>
      <c r="K94">
        <f t="shared" si="2"/>
        <v>0</v>
      </c>
      <c r="L94">
        <f t="shared" si="2"/>
        <v>54</v>
      </c>
      <c r="M94">
        <f t="shared" si="2"/>
        <v>0</v>
      </c>
      <c r="N94">
        <f t="shared" si="2"/>
        <v>0</v>
      </c>
      <c r="O94">
        <f t="shared" si="2"/>
        <v>1</v>
      </c>
      <c r="P94">
        <f t="shared" si="2"/>
        <v>0</v>
      </c>
      <c r="Q94">
        <f t="shared" si="2"/>
        <v>0</v>
      </c>
      <c r="R94">
        <f t="shared" si="2"/>
        <v>0</v>
      </c>
      <c r="S94">
        <f t="shared" si="2"/>
        <v>0</v>
      </c>
      <c r="T94" s="2">
        <f>SUM(T2:T93)</f>
        <v>262</v>
      </c>
    </row>
  </sheetData>
  <phoneticPr fontId="2" type="noConversion"/>
  <conditionalFormatting sqref="B2:S93">
    <cfRule type="cellIs" dxfId="0" priority="1" operator="greaterThan">
      <formula>0</formula>
    </cfRule>
  </conditionalFormatting>
  <conditionalFormatting sqref="N101">
    <cfRule type="cellIs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T2 T3:T9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B471-BB55-484C-B607-191A378E248F}">
  <dimension ref="A1:N20"/>
  <sheetViews>
    <sheetView zoomScaleNormal="100" workbookViewId="0">
      <selection activeCell="A3" sqref="A3:A20"/>
    </sheetView>
  </sheetViews>
  <sheetFormatPr defaultRowHeight="14.4" x14ac:dyDescent="0.3"/>
  <cols>
    <col min="2" max="2" width="14.33203125" bestFit="1" customWidth="1"/>
    <col min="3" max="3" width="14.6640625" bestFit="1" customWidth="1"/>
    <col min="4" max="5" width="14.6640625" customWidth="1"/>
    <col min="6" max="6" width="14.33203125" bestFit="1" customWidth="1"/>
    <col min="7" max="7" width="14.6640625" bestFit="1" customWidth="1"/>
    <col min="8" max="9" width="14.6640625" customWidth="1"/>
    <col min="10" max="10" width="14.33203125" bestFit="1" customWidth="1"/>
    <col min="11" max="11" width="14.6640625" bestFit="1" customWidth="1"/>
    <col min="12" max="12" width="14.6640625" customWidth="1"/>
    <col min="13" max="13" width="12.6640625" bestFit="1" customWidth="1"/>
    <col min="14" max="14" width="14.33203125" bestFit="1" customWidth="1"/>
  </cols>
  <sheetData>
    <row r="1" spans="1:14" x14ac:dyDescent="0.3">
      <c r="A1" s="6"/>
      <c r="B1" s="6"/>
      <c r="C1" s="26">
        <v>45200</v>
      </c>
      <c r="D1" s="26"/>
      <c r="E1" s="26"/>
      <c r="F1" s="27"/>
      <c r="G1" s="26">
        <v>45231</v>
      </c>
      <c r="H1" s="26"/>
      <c r="I1" s="26"/>
      <c r="J1" s="27"/>
      <c r="K1" s="26">
        <v>45261</v>
      </c>
      <c r="L1" s="26"/>
      <c r="M1" s="26"/>
      <c r="N1" s="26"/>
    </row>
    <row r="2" spans="1:14" x14ac:dyDescent="0.3">
      <c r="A2" s="6" t="s">
        <v>19</v>
      </c>
      <c r="B2" s="6" t="s">
        <v>20</v>
      </c>
      <c r="C2" s="6" t="s">
        <v>21</v>
      </c>
      <c r="D2" s="25" t="s">
        <v>22</v>
      </c>
      <c r="E2" s="25" t="s">
        <v>23</v>
      </c>
      <c r="F2" s="6" t="s">
        <v>24</v>
      </c>
      <c r="G2" s="6" t="s">
        <v>21</v>
      </c>
      <c r="H2" s="25" t="s">
        <v>22</v>
      </c>
      <c r="I2" s="25" t="s">
        <v>23</v>
      </c>
      <c r="J2" s="6" t="s">
        <v>24</v>
      </c>
      <c r="K2" s="6" t="s">
        <v>21</v>
      </c>
      <c r="L2" s="25" t="s">
        <v>22</v>
      </c>
      <c r="M2" s="25" t="s">
        <v>25</v>
      </c>
      <c r="N2" s="6" t="s">
        <v>24</v>
      </c>
    </row>
    <row r="3" spans="1:14" x14ac:dyDescent="0.3">
      <c r="A3" s="2" t="s">
        <v>0</v>
      </c>
      <c r="B3" s="2" t="s">
        <v>26</v>
      </c>
      <c r="C3">
        <v>20</v>
      </c>
      <c r="D3">
        <v>5</v>
      </c>
      <c r="E3">
        <v>3</v>
      </c>
      <c r="F3">
        <f>C3+D3-E3</f>
        <v>22</v>
      </c>
      <c r="G3">
        <f>F3</f>
        <v>22</v>
      </c>
      <c r="H3">
        <v>5</v>
      </c>
      <c r="I3">
        <v>0</v>
      </c>
      <c r="J3">
        <f>G3+H3-I3</f>
        <v>27</v>
      </c>
      <c r="K3">
        <f>J3</f>
        <v>27</v>
      </c>
      <c r="L3">
        <v>0</v>
      </c>
      <c r="M3">
        <v>1</v>
      </c>
      <c r="N3">
        <f>K3+L3-M3</f>
        <v>26</v>
      </c>
    </row>
    <row r="4" spans="1:14" x14ac:dyDescent="0.3">
      <c r="A4" s="2" t="s">
        <v>1</v>
      </c>
      <c r="B4" s="2" t="s">
        <v>27</v>
      </c>
      <c r="C4">
        <v>50</v>
      </c>
      <c r="D4">
        <v>10</v>
      </c>
      <c r="E4">
        <v>19</v>
      </c>
      <c r="F4">
        <f t="shared" ref="F4:F20" si="0">C4+D4-E4</f>
        <v>41</v>
      </c>
      <c r="G4">
        <f t="shared" ref="G4:G20" si="1">F4</f>
        <v>41</v>
      </c>
      <c r="H4">
        <v>15</v>
      </c>
      <c r="I4">
        <v>7</v>
      </c>
      <c r="J4">
        <f t="shared" ref="J4:J20" si="2">G4+H4-I4</f>
        <v>49</v>
      </c>
      <c r="K4">
        <f t="shared" ref="K4:K20" si="3">J4</f>
        <v>49</v>
      </c>
      <c r="L4">
        <v>0</v>
      </c>
      <c r="M4">
        <v>9</v>
      </c>
      <c r="N4">
        <f t="shared" ref="N4:N20" si="4">K4+L4-M4</f>
        <v>40</v>
      </c>
    </row>
    <row r="5" spans="1:14" x14ac:dyDescent="0.3">
      <c r="A5" s="2" t="s">
        <v>2</v>
      </c>
      <c r="B5" s="2" t="s">
        <v>28</v>
      </c>
      <c r="C5">
        <v>65</v>
      </c>
      <c r="D5">
        <v>8</v>
      </c>
      <c r="E5">
        <v>27</v>
      </c>
      <c r="F5">
        <f t="shared" si="0"/>
        <v>46</v>
      </c>
      <c r="G5">
        <f t="shared" si="1"/>
        <v>46</v>
      </c>
      <c r="H5">
        <v>22</v>
      </c>
      <c r="I5">
        <v>7</v>
      </c>
      <c r="J5">
        <f t="shared" si="2"/>
        <v>61</v>
      </c>
      <c r="K5">
        <f t="shared" si="3"/>
        <v>61</v>
      </c>
      <c r="L5">
        <v>15</v>
      </c>
      <c r="M5">
        <v>7</v>
      </c>
      <c r="N5">
        <f t="shared" si="4"/>
        <v>69</v>
      </c>
    </row>
    <row r="6" spans="1:14" x14ac:dyDescent="0.3">
      <c r="A6" s="2" t="s">
        <v>3</v>
      </c>
      <c r="B6" s="2" t="s">
        <v>29</v>
      </c>
      <c r="C6">
        <v>18</v>
      </c>
      <c r="D6">
        <v>12</v>
      </c>
      <c r="E6">
        <v>6</v>
      </c>
      <c r="F6">
        <f t="shared" si="0"/>
        <v>24</v>
      </c>
      <c r="G6">
        <f t="shared" si="1"/>
        <v>24</v>
      </c>
      <c r="H6">
        <v>12</v>
      </c>
      <c r="I6">
        <v>9</v>
      </c>
      <c r="J6">
        <f t="shared" si="2"/>
        <v>27</v>
      </c>
      <c r="K6">
        <f t="shared" si="3"/>
        <v>27</v>
      </c>
      <c r="L6">
        <v>10</v>
      </c>
      <c r="M6">
        <v>1</v>
      </c>
      <c r="N6">
        <f t="shared" si="4"/>
        <v>36</v>
      </c>
    </row>
    <row r="7" spans="1:14" x14ac:dyDescent="0.3">
      <c r="A7" s="2" t="s">
        <v>4</v>
      </c>
      <c r="B7" s="2" t="s">
        <v>30</v>
      </c>
      <c r="C7">
        <v>15</v>
      </c>
      <c r="D7">
        <v>2</v>
      </c>
      <c r="E7">
        <v>0</v>
      </c>
      <c r="F7">
        <f t="shared" si="0"/>
        <v>17</v>
      </c>
      <c r="G7">
        <f t="shared" si="1"/>
        <v>17</v>
      </c>
      <c r="H7">
        <v>0</v>
      </c>
      <c r="I7">
        <v>0</v>
      </c>
      <c r="J7">
        <f t="shared" si="2"/>
        <v>17</v>
      </c>
      <c r="K7">
        <f t="shared" si="3"/>
        <v>17</v>
      </c>
      <c r="L7">
        <v>5</v>
      </c>
      <c r="M7">
        <v>10</v>
      </c>
      <c r="N7">
        <f t="shared" si="4"/>
        <v>12</v>
      </c>
    </row>
    <row r="8" spans="1:14" x14ac:dyDescent="0.3">
      <c r="A8" s="2" t="s">
        <v>5</v>
      </c>
      <c r="B8" s="2" t="s">
        <v>31</v>
      </c>
      <c r="C8">
        <v>150</v>
      </c>
      <c r="D8">
        <v>10</v>
      </c>
      <c r="E8">
        <v>52</v>
      </c>
      <c r="F8">
        <f t="shared" si="0"/>
        <v>108</v>
      </c>
      <c r="G8">
        <f t="shared" si="1"/>
        <v>108</v>
      </c>
      <c r="H8">
        <v>30</v>
      </c>
      <c r="I8">
        <v>6</v>
      </c>
      <c r="J8">
        <f t="shared" si="2"/>
        <v>132</v>
      </c>
      <c r="K8">
        <f t="shared" si="3"/>
        <v>132</v>
      </c>
      <c r="L8">
        <v>20</v>
      </c>
      <c r="M8">
        <v>20</v>
      </c>
      <c r="N8">
        <f t="shared" si="4"/>
        <v>132</v>
      </c>
    </row>
    <row r="9" spans="1:14" x14ac:dyDescent="0.3">
      <c r="A9" s="2" t="s">
        <v>6</v>
      </c>
      <c r="B9" s="2" t="s">
        <v>32</v>
      </c>
      <c r="C9">
        <v>45</v>
      </c>
      <c r="D9">
        <v>6</v>
      </c>
      <c r="E9">
        <v>8</v>
      </c>
      <c r="F9">
        <f t="shared" si="0"/>
        <v>43</v>
      </c>
      <c r="G9">
        <f t="shared" si="1"/>
        <v>43</v>
      </c>
      <c r="H9">
        <v>0</v>
      </c>
      <c r="I9">
        <v>2</v>
      </c>
      <c r="J9">
        <f t="shared" si="2"/>
        <v>41</v>
      </c>
      <c r="K9">
        <f t="shared" si="3"/>
        <v>41</v>
      </c>
      <c r="L9">
        <v>10</v>
      </c>
      <c r="M9">
        <v>0</v>
      </c>
      <c r="N9">
        <f t="shared" si="4"/>
        <v>51</v>
      </c>
    </row>
    <row r="10" spans="1:14" x14ac:dyDescent="0.3">
      <c r="A10" s="2" t="s">
        <v>7</v>
      </c>
      <c r="B10" s="2" t="s">
        <v>33</v>
      </c>
      <c r="C10">
        <v>30</v>
      </c>
      <c r="D10">
        <v>5</v>
      </c>
      <c r="E10">
        <v>12</v>
      </c>
      <c r="F10">
        <f t="shared" si="0"/>
        <v>23</v>
      </c>
      <c r="G10">
        <f t="shared" si="1"/>
        <v>23</v>
      </c>
      <c r="H10">
        <v>8</v>
      </c>
      <c r="I10">
        <v>1</v>
      </c>
      <c r="J10">
        <f t="shared" si="2"/>
        <v>30</v>
      </c>
      <c r="K10">
        <f t="shared" si="3"/>
        <v>30</v>
      </c>
      <c r="L10">
        <v>0</v>
      </c>
      <c r="M10">
        <v>0</v>
      </c>
      <c r="N10">
        <f t="shared" si="4"/>
        <v>30</v>
      </c>
    </row>
    <row r="11" spans="1:14" x14ac:dyDescent="0.3">
      <c r="A11" s="2" t="s">
        <v>8</v>
      </c>
      <c r="B11" s="2" t="s">
        <v>34</v>
      </c>
      <c r="C11">
        <v>15</v>
      </c>
      <c r="D11">
        <v>0</v>
      </c>
      <c r="E11">
        <v>0</v>
      </c>
      <c r="F11">
        <f t="shared" si="0"/>
        <v>15</v>
      </c>
      <c r="G11">
        <f t="shared" si="1"/>
        <v>15</v>
      </c>
      <c r="H11">
        <v>0</v>
      </c>
      <c r="I11">
        <v>0</v>
      </c>
      <c r="J11">
        <f t="shared" si="2"/>
        <v>15</v>
      </c>
      <c r="K11">
        <f t="shared" si="3"/>
        <v>15</v>
      </c>
      <c r="L11">
        <v>8</v>
      </c>
      <c r="M11">
        <v>0</v>
      </c>
      <c r="N11">
        <f t="shared" si="4"/>
        <v>23</v>
      </c>
    </row>
    <row r="12" spans="1:14" x14ac:dyDescent="0.3">
      <c r="A12" s="2" t="s">
        <v>9</v>
      </c>
      <c r="B12" s="2" t="s">
        <v>35</v>
      </c>
      <c r="C12">
        <v>10</v>
      </c>
      <c r="D12">
        <v>0</v>
      </c>
      <c r="E12">
        <v>0</v>
      </c>
      <c r="F12">
        <f t="shared" si="0"/>
        <v>10</v>
      </c>
      <c r="G12">
        <f t="shared" si="1"/>
        <v>10</v>
      </c>
      <c r="H12">
        <v>0</v>
      </c>
      <c r="I12">
        <v>0</v>
      </c>
      <c r="J12">
        <f t="shared" si="2"/>
        <v>10</v>
      </c>
      <c r="K12">
        <f t="shared" si="3"/>
        <v>10</v>
      </c>
      <c r="L12">
        <v>0</v>
      </c>
      <c r="M12">
        <v>0</v>
      </c>
      <c r="N12">
        <f t="shared" si="4"/>
        <v>10</v>
      </c>
    </row>
    <row r="13" spans="1:14" x14ac:dyDescent="0.3">
      <c r="A13" s="2" t="s">
        <v>10</v>
      </c>
      <c r="B13" s="2" t="s">
        <v>36</v>
      </c>
      <c r="C13">
        <v>55</v>
      </c>
      <c r="D13">
        <v>15</v>
      </c>
      <c r="E13">
        <v>8</v>
      </c>
      <c r="F13">
        <f t="shared" si="0"/>
        <v>62</v>
      </c>
      <c r="G13">
        <f t="shared" si="1"/>
        <v>62</v>
      </c>
      <c r="H13">
        <v>30</v>
      </c>
      <c r="I13">
        <v>10</v>
      </c>
      <c r="J13">
        <f t="shared" si="2"/>
        <v>82</v>
      </c>
      <c r="K13">
        <f t="shared" si="3"/>
        <v>82</v>
      </c>
      <c r="L13">
        <v>10</v>
      </c>
      <c r="M13">
        <v>36</v>
      </c>
      <c r="N13">
        <f t="shared" si="4"/>
        <v>56</v>
      </c>
    </row>
    <row r="14" spans="1:14" x14ac:dyDescent="0.3">
      <c r="A14" s="2" t="s">
        <v>11</v>
      </c>
      <c r="B14" s="2" t="s">
        <v>37</v>
      </c>
      <c r="C14">
        <v>16</v>
      </c>
      <c r="D14">
        <v>0</v>
      </c>
      <c r="E14">
        <v>0</v>
      </c>
      <c r="F14">
        <f t="shared" si="0"/>
        <v>16</v>
      </c>
      <c r="G14">
        <f t="shared" si="1"/>
        <v>16</v>
      </c>
      <c r="H14">
        <v>0</v>
      </c>
      <c r="I14">
        <v>0</v>
      </c>
      <c r="J14">
        <f t="shared" si="2"/>
        <v>16</v>
      </c>
      <c r="K14">
        <f t="shared" si="3"/>
        <v>16</v>
      </c>
      <c r="L14">
        <v>0</v>
      </c>
      <c r="M14">
        <v>0</v>
      </c>
      <c r="N14">
        <f t="shared" si="4"/>
        <v>16</v>
      </c>
    </row>
    <row r="15" spans="1:14" x14ac:dyDescent="0.3">
      <c r="A15" s="2" t="s">
        <v>12</v>
      </c>
      <c r="B15" s="2" t="s">
        <v>38</v>
      </c>
      <c r="C15">
        <v>13</v>
      </c>
      <c r="D15">
        <v>5</v>
      </c>
      <c r="E15">
        <v>0</v>
      </c>
      <c r="F15">
        <f t="shared" si="0"/>
        <v>18</v>
      </c>
      <c r="G15">
        <f t="shared" si="1"/>
        <v>18</v>
      </c>
      <c r="H15">
        <v>0</v>
      </c>
      <c r="I15">
        <v>0</v>
      </c>
      <c r="J15">
        <f t="shared" si="2"/>
        <v>18</v>
      </c>
      <c r="K15">
        <f t="shared" si="3"/>
        <v>18</v>
      </c>
      <c r="L15">
        <v>0</v>
      </c>
      <c r="M15">
        <v>0</v>
      </c>
      <c r="N15">
        <f t="shared" si="4"/>
        <v>18</v>
      </c>
    </row>
    <row r="16" spans="1:14" x14ac:dyDescent="0.3">
      <c r="A16" s="2" t="s">
        <v>13</v>
      </c>
      <c r="B16" s="2" t="s">
        <v>39</v>
      </c>
      <c r="C16">
        <v>5</v>
      </c>
      <c r="D16">
        <v>0</v>
      </c>
      <c r="E16">
        <v>0</v>
      </c>
      <c r="F16">
        <f t="shared" si="0"/>
        <v>5</v>
      </c>
      <c r="G16">
        <f t="shared" si="1"/>
        <v>5</v>
      </c>
      <c r="H16">
        <v>5</v>
      </c>
      <c r="I16">
        <v>0</v>
      </c>
      <c r="J16">
        <f t="shared" si="2"/>
        <v>10</v>
      </c>
      <c r="K16">
        <f t="shared" si="3"/>
        <v>10</v>
      </c>
      <c r="L16">
        <v>0</v>
      </c>
      <c r="M16">
        <v>1</v>
      </c>
      <c r="N16">
        <f t="shared" si="4"/>
        <v>9</v>
      </c>
    </row>
    <row r="17" spans="1:14" x14ac:dyDescent="0.3">
      <c r="A17" s="2" t="s">
        <v>14</v>
      </c>
      <c r="B17" s="2" t="s">
        <v>40</v>
      </c>
      <c r="C17">
        <v>7</v>
      </c>
      <c r="D17">
        <v>0</v>
      </c>
      <c r="E17">
        <v>0</v>
      </c>
      <c r="F17">
        <f t="shared" si="0"/>
        <v>7</v>
      </c>
      <c r="G17">
        <f t="shared" si="1"/>
        <v>7</v>
      </c>
      <c r="H17">
        <v>0</v>
      </c>
      <c r="I17">
        <v>0</v>
      </c>
      <c r="J17">
        <f t="shared" si="2"/>
        <v>7</v>
      </c>
      <c r="K17">
        <f t="shared" si="3"/>
        <v>7</v>
      </c>
      <c r="L17">
        <v>3</v>
      </c>
      <c r="M17">
        <v>0</v>
      </c>
      <c r="N17">
        <f t="shared" si="4"/>
        <v>10</v>
      </c>
    </row>
    <row r="18" spans="1:14" x14ac:dyDescent="0.3">
      <c r="A18" s="2" t="s">
        <v>15</v>
      </c>
      <c r="B18" s="2" t="s">
        <v>41</v>
      </c>
      <c r="C18">
        <v>10</v>
      </c>
      <c r="D18">
        <v>0</v>
      </c>
      <c r="E18">
        <v>0</v>
      </c>
      <c r="F18">
        <f t="shared" si="0"/>
        <v>10</v>
      </c>
      <c r="G18">
        <f t="shared" si="1"/>
        <v>10</v>
      </c>
      <c r="H18">
        <v>0</v>
      </c>
      <c r="I18">
        <v>0</v>
      </c>
      <c r="J18">
        <f t="shared" si="2"/>
        <v>10</v>
      </c>
      <c r="K18">
        <f t="shared" si="3"/>
        <v>10</v>
      </c>
      <c r="L18">
        <v>0</v>
      </c>
      <c r="M18">
        <v>0</v>
      </c>
      <c r="N18">
        <f t="shared" si="4"/>
        <v>10</v>
      </c>
    </row>
    <row r="19" spans="1:14" x14ac:dyDescent="0.3">
      <c r="A19" s="2" t="s">
        <v>16</v>
      </c>
      <c r="B19" s="2" t="s">
        <v>42</v>
      </c>
      <c r="C19">
        <v>7</v>
      </c>
      <c r="D19">
        <v>3</v>
      </c>
      <c r="E19">
        <v>0</v>
      </c>
      <c r="F19">
        <f t="shared" si="0"/>
        <v>10</v>
      </c>
      <c r="G19">
        <f t="shared" si="1"/>
        <v>10</v>
      </c>
      <c r="H19">
        <v>0</v>
      </c>
      <c r="I19">
        <v>0</v>
      </c>
      <c r="J19">
        <f t="shared" si="2"/>
        <v>10</v>
      </c>
      <c r="K19">
        <f t="shared" si="3"/>
        <v>10</v>
      </c>
      <c r="L19">
        <v>0</v>
      </c>
      <c r="M19">
        <v>0</v>
      </c>
      <c r="N19">
        <f t="shared" si="4"/>
        <v>10</v>
      </c>
    </row>
    <row r="20" spans="1:14" x14ac:dyDescent="0.3">
      <c r="A20" s="2" t="s">
        <v>17</v>
      </c>
      <c r="B20" s="2" t="s">
        <v>43</v>
      </c>
      <c r="C20">
        <v>11</v>
      </c>
      <c r="D20">
        <v>0</v>
      </c>
      <c r="E20">
        <v>0</v>
      </c>
      <c r="F20">
        <f t="shared" si="0"/>
        <v>11</v>
      </c>
      <c r="G20">
        <f t="shared" si="1"/>
        <v>11</v>
      </c>
      <c r="H20">
        <v>0</v>
      </c>
      <c r="I20">
        <v>0</v>
      </c>
      <c r="J20">
        <f t="shared" si="2"/>
        <v>11</v>
      </c>
      <c r="K20">
        <f t="shared" si="3"/>
        <v>11</v>
      </c>
      <c r="L20">
        <v>4</v>
      </c>
      <c r="M20">
        <v>0</v>
      </c>
      <c r="N20">
        <f t="shared" si="4"/>
        <v>15</v>
      </c>
    </row>
  </sheetData>
  <mergeCells count="3">
    <mergeCell ref="C1:F1"/>
    <mergeCell ref="G1:J1"/>
    <mergeCell ref="K1:N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8A356-5413-4772-A2EF-8BF9B5D69FFE}">
  <dimension ref="A1:F19"/>
  <sheetViews>
    <sheetView workbookViewId="0">
      <selection activeCell="K8" sqref="K8"/>
    </sheetView>
  </sheetViews>
  <sheetFormatPr defaultRowHeight="14.4" x14ac:dyDescent="0.3"/>
  <cols>
    <col min="1" max="1" width="11.33203125" bestFit="1" customWidth="1"/>
    <col min="2" max="2" width="11.33203125" customWidth="1"/>
    <col min="3" max="3" width="14.33203125" bestFit="1" customWidth="1"/>
    <col min="4" max="6" width="9.44140625" bestFit="1" customWidth="1"/>
  </cols>
  <sheetData>
    <row r="1" spans="1:6" x14ac:dyDescent="0.3">
      <c r="A1" s="4" t="s">
        <v>44</v>
      </c>
      <c r="B1" s="4" t="s">
        <v>19</v>
      </c>
      <c r="C1" s="4" t="s">
        <v>20</v>
      </c>
      <c r="D1" s="4" t="s">
        <v>45</v>
      </c>
      <c r="E1" s="4" t="s">
        <v>46</v>
      </c>
      <c r="F1" s="4" t="s">
        <v>47</v>
      </c>
    </row>
    <row r="2" spans="1:6" x14ac:dyDescent="0.3">
      <c r="A2" s="5" t="s">
        <v>48</v>
      </c>
      <c r="B2" s="5" t="s">
        <v>0</v>
      </c>
      <c r="C2" s="5" t="s">
        <v>26</v>
      </c>
      <c r="D2" s="12">
        <v>1399</v>
      </c>
      <c r="E2" s="12">
        <v>549</v>
      </c>
      <c r="F2" s="12">
        <v>365</v>
      </c>
    </row>
    <row r="3" spans="1:6" x14ac:dyDescent="0.3">
      <c r="A3" s="5" t="s">
        <v>48</v>
      </c>
      <c r="B3" s="5" t="s">
        <v>1</v>
      </c>
      <c r="C3" s="5" t="s">
        <v>27</v>
      </c>
      <c r="D3" s="12">
        <v>2199</v>
      </c>
      <c r="E3" s="12">
        <v>699</v>
      </c>
      <c r="F3" s="12">
        <v>550</v>
      </c>
    </row>
    <row r="4" spans="1:6" x14ac:dyDescent="0.3">
      <c r="A4" s="5" t="s">
        <v>48</v>
      </c>
      <c r="B4" s="5" t="s">
        <v>2</v>
      </c>
      <c r="C4" s="5" t="s">
        <v>28</v>
      </c>
      <c r="D4" s="12">
        <v>2299</v>
      </c>
      <c r="E4" s="12">
        <v>739</v>
      </c>
      <c r="F4" s="12">
        <v>620</v>
      </c>
    </row>
    <row r="5" spans="1:6" x14ac:dyDescent="0.3">
      <c r="A5" s="5" t="s">
        <v>48</v>
      </c>
      <c r="B5" s="5" t="s">
        <v>3</v>
      </c>
      <c r="C5" s="5" t="s">
        <v>29</v>
      </c>
      <c r="D5" s="12">
        <v>2499</v>
      </c>
      <c r="E5" s="12">
        <v>899</v>
      </c>
      <c r="F5" s="12">
        <v>714</v>
      </c>
    </row>
    <row r="6" spans="1:6" x14ac:dyDescent="0.3">
      <c r="A6" s="5" t="s">
        <v>48</v>
      </c>
      <c r="B6" s="5" t="s">
        <v>4</v>
      </c>
      <c r="C6" s="5" t="s">
        <v>30</v>
      </c>
      <c r="D6" s="12">
        <v>4999</v>
      </c>
      <c r="E6" s="12">
        <v>1379</v>
      </c>
      <c r="F6" s="12">
        <v>890</v>
      </c>
    </row>
    <row r="7" spans="1:6" x14ac:dyDescent="0.3">
      <c r="A7" s="5" t="s">
        <v>49</v>
      </c>
      <c r="B7" s="5" t="s">
        <v>5</v>
      </c>
      <c r="C7" s="5" t="s">
        <v>31</v>
      </c>
      <c r="D7" s="12">
        <v>3499</v>
      </c>
      <c r="E7" s="12">
        <v>849</v>
      </c>
      <c r="F7" s="12">
        <v>530</v>
      </c>
    </row>
    <row r="8" spans="1:6" x14ac:dyDescent="0.3">
      <c r="A8" s="5" t="s">
        <v>49</v>
      </c>
      <c r="B8" s="5" t="s">
        <v>6</v>
      </c>
      <c r="C8" s="5" t="s">
        <v>32</v>
      </c>
      <c r="D8" s="12">
        <v>2999</v>
      </c>
      <c r="E8" s="12">
        <v>1000</v>
      </c>
      <c r="F8" s="12">
        <v>768</v>
      </c>
    </row>
    <row r="9" spans="1:6" x14ac:dyDescent="0.3">
      <c r="A9" s="5" t="s">
        <v>49</v>
      </c>
      <c r="B9" s="5" t="s">
        <v>7</v>
      </c>
      <c r="C9" s="5" t="s">
        <v>33</v>
      </c>
      <c r="D9" s="12">
        <v>2099</v>
      </c>
      <c r="E9" s="12">
        <v>680</v>
      </c>
      <c r="F9" s="12">
        <v>570</v>
      </c>
    </row>
    <row r="10" spans="1:6" x14ac:dyDescent="0.3">
      <c r="A10" s="5" t="s">
        <v>50</v>
      </c>
      <c r="B10" s="5" t="s">
        <v>8</v>
      </c>
      <c r="C10" s="5" t="s">
        <v>34</v>
      </c>
      <c r="D10" s="12">
        <v>250</v>
      </c>
      <c r="E10" s="12">
        <v>199</v>
      </c>
      <c r="F10" s="12">
        <v>140</v>
      </c>
    </row>
    <row r="11" spans="1:6" x14ac:dyDescent="0.3">
      <c r="A11" s="5" t="s">
        <v>50</v>
      </c>
      <c r="B11" s="5" t="s">
        <v>9</v>
      </c>
      <c r="C11" s="5" t="s">
        <v>35</v>
      </c>
      <c r="D11" s="12">
        <v>399</v>
      </c>
      <c r="E11" s="12">
        <v>219</v>
      </c>
      <c r="F11" s="12">
        <v>132</v>
      </c>
    </row>
    <row r="12" spans="1:6" x14ac:dyDescent="0.3">
      <c r="A12" s="5" t="s">
        <v>51</v>
      </c>
      <c r="B12" s="5" t="s">
        <v>10</v>
      </c>
      <c r="C12" s="5" t="s">
        <v>36</v>
      </c>
      <c r="D12" s="12">
        <v>4199</v>
      </c>
      <c r="E12" s="12">
        <v>1469</v>
      </c>
      <c r="F12" s="12">
        <v>1184</v>
      </c>
    </row>
    <row r="13" spans="1:6" x14ac:dyDescent="0.3">
      <c r="A13" s="5" t="s">
        <v>51</v>
      </c>
      <c r="B13" s="5" t="s">
        <v>11</v>
      </c>
      <c r="C13" s="5" t="s">
        <v>37</v>
      </c>
      <c r="D13" s="12">
        <v>150</v>
      </c>
      <c r="E13" s="12">
        <v>89</v>
      </c>
      <c r="F13" s="12">
        <v>59</v>
      </c>
    </row>
    <row r="14" spans="1:6" x14ac:dyDescent="0.3">
      <c r="A14" s="5" t="s">
        <v>51</v>
      </c>
      <c r="B14" s="5" t="s">
        <v>12</v>
      </c>
      <c r="C14" s="5" t="s">
        <v>38</v>
      </c>
      <c r="D14" s="12">
        <v>475</v>
      </c>
      <c r="E14" s="12">
        <v>310</v>
      </c>
      <c r="F14" s="12">
        <v>206</v>
      </c>
    </row>
    <row r="15" spans="1:6" x14ac:dyDescent="0.3">
      <c r="A15" s="5" t="s">
        <v>52</v>
      </c>
      <c r="B15" s="5" t="s">
        <v>13</v>
      </c>
      <c r="C15" s="5" t="s">
        <v>39</v>
      </c>
      <c r="D15" s="12">
        <v>899</v>
      </c>
      <c r="E15" s="12">
        <v>540</v>
      </c>
      <c r="F15" s="12">
        <v>397</v>
      </c>
    </row>
    <row r="16" spans="1:6" x14ac:dyDescent="0.3">
      <c r="A16" s="5" t="s">
        <v>52</v>
      </c>
      <c r="B16" s="5" t="s">
        <v>14</v>
      </c>
      <c r="C16" s="5" t="s">
        <v>40</v>
      </c>
      <c r="D16" s="12">
        <v>799</v>
      </c>
      <c r="E16" s="12">
        <v>360</v>
      </c>
      <c r="F16" s="12">
        <v>248</v>
      </c>
    </row>
    <row r="17" spans="1:6" x14ac:dyDescent="0.3">
      <c r="A17" s="5" t="s">
        <v>52</v>
      </c>
      <c r="B17" s="5" t="s">
        <v>15</v>
      </c>
      <c r="C17" s="5" t="s">
        <v>41</v>
      </c>
      <c r="D17" s="12">
        <v>499</v>
      </c>
      <c r="E17" s="12">
        <v>250</v>
      </c>
      <c r="F17" s="12">
        <v>190</v>
      </c>
    </row>
    <row r="18" spans="1:6" x14ac:dyDescent="0.3">
      <c r="A18" s="5" t="s">
        <v>52</v>
      </c>
      <c r="B18" s="5" t="s">
        <v>16</v>
      </c>
      <c r="C18" s="5" t="s">
        <v>42</v>
      </c>
      <c r="D18" s="12">
        <v>249</v>
      </c>
      <c r="E18" s="12">
        <v>120</v>
      </c>
      <c r="F18" s="12">
        <v>85</v>
      </c>
    </row>
    <row r="19" spans="1:6" x14ac:dyDescent="0.3">
      <c r="A19" s="5" t="s">
        <v>52</v>
      </c>
      <c r="B19" s="5" t="s">
        <v>17</v>
      </c>
      <c r="C19" s="5" t="s">
        <v>43</v>
      </c>
      <c r="D19" s="12">
        <v>199</v>
      </c>
      <c r="E19" s="12">
        <v>80</v>
      </c>
      <c r="F19" s="12">
        <v>55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CC8D-A3AC-4E4A-9822-545209F2F016}">
  <dimension ref="A3:E7"/>
  <sheetViews>
    <sheetView workbookViewId="0">
      <selection activeCell="I28" sqref="I28"/>
    </sheetView>
  </sheetViews>
  <sheetFormatPr defaultRowHeight="14.4" x14ac:dyDescent="0.3"/>
  <cols>
    <col min="1" max="2" width="12.5546875" bestFit="1" customWidth="1"/>
  </cols>
  <sheetData>
    <row r="3" spans="1:5" x14ac:dyDescent="0.3">
      <c r="A3" s="13" t="s">
        <v>53</v>
      </c>
      <c r="B3" t="s">
        <v>54</v>
      </c>
      <c r="D3" s="2" t="s">
        <v>55</v>
      </c>
      <c r="E3" s="2" t="s">
        <v>56</v>
      </c>
    </row>
    <row r="4" spans="1:5" x14ac:dyDescent="0.3">
      <c r="A4" s="14" t="s">
        <v>57</v>
      </c>
      <c r="B4">
        <v>135</v>
      </c>
      <c r="D4" s="16" t="s">
        <v>57</v>
      </c>
      <c r="E4" s="15">
        <v>135</v>
      </c>
    </row>
    <row r="5" spans="1:5" x14ac:dyDescent="0.3">
      <c r="A5" s="14" t="s">
        <v>58</v>
      </c>
      <c r="B5">
        <v>42</v>
      </c>
      <c r="D5" s="16" t="s">
        <v>58</v>
      </c>
      <c r="E5" s="15">
        <v>42</v>
      </c>
    </row>
    <row r="6" spans="1:5" x14ac:dyDescent="0.3">
      <c r="A6" s="14" t="s">
        <v>59</v>
      </c>
      <c r="B6">
        <v>85</v>
      </c>
      <c r="D6" s="16" t="s">
        <v>59</v>
      </c>
      <c r="E6" s="15">
        <v>85</v>
      </c>
    </row>
    <row r="7" spans="1:5" x14ac:dyDescent="0.3">
      <c r="A7" s="14" t="s">
        <v>60</v>
      </c>
      <c r="B7">
        <v>262</v>
      </c>
      <c r="D7" s="2"/>
      <c r="E7" s="2"/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86B1A-1A5C-4A59-B410-A7ED79682C74}">
  <dimension ref="A3:E7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5.5546875" bestFit="1" customWidth="1"/>
    <col min="5" max="5" width="15.21875" customWidth="1"/>
  </cols>
  <sheetData>
    <row r="3" spans="1:5" x14ac:dyDescent="0.3">
      <c r="A3" s="13" t="s">
        <v>53</v>
      </c>
      <c r="B3" t="s">
        <v>61</v>
      </c>
      <c r="D3" s="2" t="s">
        <v>55</v>
      </c>
      <c r="E3" s="2" t="s">
        <v>62</v>
      </c>
    </row>
    <row r="4" spans="1:5" x14ac:dyDescent="0.3">
      <c r="A4" s="14" t="s">
        <v>57</v>
      </c>
      <c r="B4" s="11">
        <v>112335</v>
      </c>
      <c r="D4" s="16" t="s">
        <v>57</v>
      </c>
      <c r="E4" s="18">
        <v>112335</v>
      </c>
    </row>
    <row r="5" spans="1:5" x14ac:dyDescent="0.3">
      <c r="A5" s="14" t="s">
        <v>58</v>
      </c>
      <c r="B5" s="11">
        <v>40621</v>
      </c>
      <c r="D5" s="16" t="s">
        <v>58</v>
      </c>
      <c r="E5" s="18">
        <v>40621</v>
      </c>
    </row>
    <row r="6" spans="1:5" x14ac:dyDescent="0.3">
      <c r="A6" s="14" t="s">
        <v>59</v>
      </c>
      <c r="B6" s="11">
        <v>97106</v>
      </c>
      <c r="D6" s="16" t="s">
        <v>59</v>
      </c>
      <c r="E6" s="18">
        <v>97106</v>
      </c>
    </row>
    <row r="7" spans="1:5" x14ac:dyDescent="0.3">
      <c r="A7" s="14" t="s">
        <v>60</v>
      </c>
      <c r="B7">
        <v>250062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1E80-2D91-4679-98C0-8B8C2EEAA736}">
  <dimension ref="A3:G7"/>
  <sheetViews>
    <sheetView zoomScaleNormal="100" workbookViewId="0">
      <selection activeCell="P7" sqref="P7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2.5546875" bestFit="1" customWidth="1"/>
    <col min="6" max="6" width="14.21875" customWidth="1"/>
  </cols>
  <sheetData>
    <row r="3" spans="1:7" x14ac:dyDescent="0.3">
      <c r="A3" s="13" t="s">
        <v>53</v>
      </c>
      <c r="B3" t="s">
        <v>61</v>
      </c>
      <c r="C3" t="s">
        <v>54</v>
      </c>
      <c r="E3" s="2" t="s">
        <v>55</v>
      </c>
      <c r="F3" s="2" t="s">
        <v>62</v>
      </c>
      <c r="G3" s="2" t="s">
        <v>56</v>
      </c>
    </row>
    <row r="4" spans="1:7" x14ac:dyDescent="0.3">
      <c r="A4" s="14" t="s">
        <v>57</v>
      </c>
      <c r="B4" s="11">
        <v>112335</v>
      </c>
      <c r="C4">
        <v>135</v>
      </c>
      <c r="E4" s="16" t="s">
        <v>57</v>
      </c>
      <c r="F4" s="18">
        <v>112335</v>
      </c>
      <c r="G4" s="15">
        <v>135</v>
      </c>
    </row>
    <row r="5" spans="1:7" x14ac:dyDescent="0.3">
      <c r="A5" s="14" t="s">
        <v>58</v>
      </c>
      <c r="B5" s="11">
        <v>40621</v>
      </c>
      <c r="C5">
        <v>42</v>
      </c>
      <c r="E5" s="16" t="s">
        <v>58</v>
      </c>
      <c r="F5" s="18">
        <v>40621</v>
      </c>
      <c r="G5" s="15">
        <v>42</v>
      </c>
    </row>
    <row r="6" spans="1:7" x14ac:dyDescent="0.3">
      <c r="A6" s="14" t="s">
        <v>59</v>
      </c>
      <c r="B6" s="11">
        <v>97106</v>
      </c>
      <c r="C6">
        <v>85</v>
      </c>
      <c r="E6" s="16" t="s">
        <v>59</v>
      </c>
      <c r="F6" s="18">
        <v>97106</v>
      </c>
      <c r="G6" s="15">
        <v>85</v>
      </c>
    </row>
    <row r="7" spans="1:7" x14ac:dyDescent="0.3">
      <c r="A7" s="14" t="s">
        <v>60</v>
      </c>
      <c r="B7">
        <v>250062</v>
      </c>
      <c r="C7">
        <v>262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0E17-A050-4FBA-AD20-5983EC7D6998}">
  <dimension ref="A3:K22"/>
  <sheetViews>
    <sheetView topLeftCell="A2" workbookViewId="0">
      <selection activeCell="J24" sqref="J24"/>
    </sheetView>
  </sheetViews>
  <sheetFormatPr defaultRowHeight="14.4" x14ac:dyDescent="0.3"/>
  <cols>
    <col min="1" max="2" width="12.5546875" bestFit="1" customWidth="1"/>
    <col min="3" max="3" width="13.5546875" bestFit="1" customWidth="1"/>
    <col min="10" max="10" width="20" bestFit="1" customWidth="1"/>
  </cols>
  <sheetData>
    <row r="3" spans="1:11" x14ac:dyDescent="0.3">
      <c r="A3" s="13" t="s">
        <v>53</v>
      </c>
      <c r="B3" t="s">
        <v>54</v>
      </c>
      <c r="D3" s="2" t="s">
        <v>19</v>
      </c>
      <c r="E3" s="2" t="s">
        <v>56</v>
      </c>
      <c r="F3" s="2"/>
      <c r="H3" s="2" t="s">
        <v>19</v>
      </c>
      <c r="I3" s="2" t="s">
        <v>56</v>
      </c>
      <c r="J3" s="2" t="s">
        <v>63</v>
      </c>
      <c r="K3" s="2" t="s">
        <v>64</v>
      </c>
    </row>
    <row r="4" spans="1:11" x14ac:dyDescent="0.3">
      <c r="A4" s="14" t="s">
        <v>13</v>
      </c>
      <c r="B4">
        <v>1</v>
      </c>
      <c r="D4" s="14" t="s">
        <v>13</v>
      </c>
      <c r="E4">
        <v>1</v>
      </c>
      <c r="H4" s="14" t="s">
        <v>5</v>
      </c>
      <c r="I4">
        <v>78</v>
      </c>
      <c r="J4">
        <f>I4</f>
        <v>78</v>
      </c>
      <c r="K4" s="17">
        <f>J4/$J$21</f>
        <v>0.29770992366412213</v>
      </c>
    </row>
    <row r="5" spans="1:11" x14ac:dyDescent="0.3">
      <c r="A5" s="14" t="s">
        <v>14</v>
      </c>
      <c r="B5">
        <v>0</v>
      </c>
      <c r="D5" s="14" t="s">
        <v>14</v>
      </c>
      <c r="E5">
        <v>0</v>
      </c>
      <c r="H5" s="14" t="s">
        <v>10</v>
      </c>
      <c r="I5">
        <v>54</v>
      </c>
      <c r="J5">
        <f>J4+I5</f>
        <v>132</v>
      </c>
      <c r="K5" s="17">
        <f t="shared" ref="K5:K21" si="0">J5/$J$21</f>
        <v>0.50381679389312972</v>
      </c>
    </row>
    <row r="6" spans="1:11" x14ac:dyDescent="0.3">
      <c r="A6" s="14" t="s">
        <v>15</v>
      </c>
      <c r="B6">
        <v>0</v>
      </c>
      <c r="D6" s="14" t="s">
        <v>15</v>
      </c>
      <c r="E6">
        <v>0</v>
      </c>
      <c r="H6" s="14" t="s">
        <v>2</v>
      </c>
      <c r="I6">
        <v>41</v>
      </c>
      <c r="J6">
        <f>J5+I6</f>
        <v>173</v>
      </c>
      <c r="K6" s="17">
        <f t="shared" si="0"/>
        <v>0.66030534351145043</v>
      </c>
    </row>
    <row r="7" spans="1:11" x14ac:dyDescent="0.3">
      <c r="A7" s="14" t="s">
        <v>16</v>
      </c>
      <c r="B7">
        <v>0</v>
      </c>
      <c r="D7" s="14" t="s">
        <v>16</v>
      </c>
      <c r="E7">
        <v>0</v>
      </c>
      <c r="H7" s="14" t="s">
        <v>1</v>
      </c>
      <c r="I7">
        <v>35</v>
      </c>
      <c r="J7">
        <f t="shared" ref="J7:J21" si="1">J6+I7</f>
        <v>208</v>
      </c>
      <c r="K7" s="17">
        <f t="shared" si="0"/>
        <v>0.79389312977099236</v>
      </c>
    </row>
    <row r="8" spans="1:11" x14ac:dyDescent="0.3">
      <c r="A8" s="14" t="s">
        <v>17</v>
      </c>
      <c r="B8">
        <v>0</v>
      </c>
      <c r="D8" s="14" t="s">
        <v>17</v>
      </c>
      <c r="E8">
        <v>0</v>
      </c>
      <c r="H8" s="14" t="s">
        <v>3</v>
      </c>
      <c r="I8">
        <v>16</v>
      </c>
      <c r="J8">
        <f t="shared" si="1"/>
        <v>224</v>
      </c>
      <c r="K8" s="17">
        <f t="shared" si="0"/>
        <v>0.85496183206106868</v>
      </c>
    </row>
    <row r="9" spans="1:11" x14ac:dyDescent="0.3">
      <c r="A9" s="14" t="s">
        <v>5</v>
      </c>
      <c r="B9">
        <v>78</v>
      </c>
      <c r="D9" s="14" t="s">
        <v>5</v>
      </c>
      <c r="E9">
        <v>78</v>
      </c>
      <c r="H9" s="14" t="s">
        <v>7</v>
      </c>
      <c r="I9">
        <v>13</v>
      </c>
      <c r="J9">
        <f t="shared" si="1"/>
        <v>237</v>
      </c>
      <c r="K9" s="17">
        <f t="shared" si="0"/>
        <v>0.90458015267175573</v>
      </c>
    </row>
    <row r="10" spans="1:11" x14ac:dyDescent="0.3">
      <c r="A10" s="14" t="s">
        <v>6</v>
      </c>
      <c r="B10">
        <v>10</v>
      </c>
      <c r="D10" s="14" t="s">
        <v>6</v>
      </c>
      <c r="E10">
        <v>10</v>
      </c>
      <c r="H10" s="14" t="s">
        <v>6</v>
      </c>
      <c r="I10">
        <v>10</v>
      </c>
      <c r="J10">
        <f t="shared" si="1"/>
        <v>247</v>
      </c>
      <c r="K10" s="17">
        <f t="shared" si="0"/>
        <v>0.9427480916030534</v>
      </c>
    </row>
    <row r="11" spans="1:11" x14ac:dyDescent="0.3">
      <c r="A11" s="14" t="s">
        <v>7</v>
      </c>
      <c r="B11">
        <v>13</v>
      </c>
      <c r="D11" s="14" t="s">
        <v>7</v>
      </c>
      <c r="E11">
        <v>13</v>
      </c>
      <c r="H11" s="14" t="s">
        <v>4</v>
      </c>
      <c r="I11">
        <v>10</v>
      </c>
      <c r="J11">
        <f t="shared" si="1"/>
        <v>257</v>
      </c>
      <c r="K11" s="17">
        <f t="shared" si="0"/>
        <v>0.98091603053435117</v>
      </c>
    </row>
    <row r="12" spans="1:11" x14ac:dyDescent="0.3">
      <c r="A12" s="14" t="s">
        <v>10</v>
      </c>
      <c r="B12">
        <v>54</v>
      </c>
      <c r="D12" s="14" t="s">
        <v>10</v>
      </c>
      <c r="E12">
        <v>54</v>
      </c>
      <c r="H12" s="14" t="s">
        <v>0</v>
      </c>
      <c r="I12">
        <v>4</v>
      </c>
      <c r="J12">
        <f t="shared" si="1"/>
        <v>261</v>
      </c>
      <c r="K12" s="17">
        <f t="shared" si="0"/>
        <v>0.99618320610687028</v>
      </c>
    </row>
    <row r="13" spans="1:11" x14ac:dyDescent="0.3">
      <c r="A13" s="14" t="s">
        <v>11</v>
      </c>
      <c r="B13">
        <v>0</v>
      </c>
      <c r="D13" s="14" t="s">
        <v>11</v>
      </c>
      <c r="E13">
        <v>0</v>
      </c>
      <c r="H13" s="14" t="s">
        <v>13</v>
      </c>
      <c r="I13">
        <v>1</v>
      </c>
      <c r="J13">
        <f t="shared" si="1"/>
        <v>262</v>
      </c>
      <c r="K13" s="17">
        <f t="shared" si="0"/>
        <v>1</v>
      </c>
    </row>
    <row r="14" spans="1:11" x14ac:dyDescent="0.3">
      <c r="A14" s="14" t="s">
        <v>12</v>
      </c>
      <c r="B14">
        <v>0</v>
      </c>
      <c r="D14" s="14" t="s">
        <v>12</v>
      </c>
      <c r="E14">
        <v>0</v>
      </c>
      <c r="H14" s="14" t="s">
        <v>14</v>
      </c>
      <c r="I14">
        <v>0</v>
      </c>
      <c r="J14">
        <f t="shared" si="1"/>
        <v>262</v>
      </c>
      <c r="K14" s="17">
        <f t="shared" si="0"/>
        <v>1</v>
      </c>
    </row>
    <row r="15" spans="1:11" x14ac:dyDescent="0.3">
      <c r="A15" s="14" t="s">
        <v>8</v>
      </c>
      <c r="B15">
        <v>0</v>
      </c>
      <c r="D15" s="14" t="s">
        <v>8</v>
      </c>
      <c r="E15">
        <v>0</v>
      </c>
      <c r="H15" s="14" t="s">
        <v>15</v>
      </c>
      <c r="I15">
        <v>0</v>
      </c>
      <c r="J15">
        <f t="shared" si="1"/>
        <v>262</v>
      </c>
      <c r="K15" s="17">
        <f t="shared" si="0"/>
        <v>1</v>
      </c>
    </row>
    <row r="16" spans="1:11" x14ac:dyDescent="0.3">
      <c r="A16" s="14" t="s">
        <v>9</v>
      </c>
      <c r="B16">
        <v>0</v>
      </c>
      <c r="D16" s="14" t="s">
        <v>9</v>
      </c>
      <c r="E16">
        <v>0</v>
      </c>
      <c r="H16" s="14" t="s">
        <v>16</v>
      </c>
      <c r="I16">
        <v>0</v>
      </c>
      <c r="J16">
        <f t="shared" si="1"/>
        <v>262</v>
      </c>
      <c r="K16" s="17">
        <f t="shared" si="0"/>
        <v>1</v>
      </c>
    </row>
    <row r="17" spans="1:11" x14ac:dyDescent="0.3">
      <c r="A17" s="14" t="s">
        <v>0</v>
      </c>
      <c r="B17">
        <v>4</v>
      </c>
      <c r="D17" s="14" t="s">
        <v>0</v>
      </c>
      <c r="E17">
        <v>4</v>
      </c>
      <c r="H17" s="14" t="s">
        <v>17</v>
      </c>
      <c r="I17">
        <v>0</v>
      </c>
      <c r="J17">
        <f t="shared" si="1"/>
        <v>262</v>
      </c>
      <c r="K17" s="17">
        <f t="shared" si="0"/>
        <v>1</v>
      </c>
    </row>
    <row r="18" spans="1:11" x14ac:dyDescent="0.3">
      <c r="A18" s="14" t="s">
        <v>1</v>
      </c>
      <c r="B18">
        <v>35</v>
      </c>
      <c r="D18" s="14" t="s">
        <v>1</v>
      </c>
      <c r="E18">
        <v>35</v>
      </c>
      <c r="H18" s="14" t="s">
        <v>11</v>
      </c>
      <c r="I18">
        <v>0</v>
      </c>
      <c r="J18">
        <f t="shared" si="1"/>
        <v>262</v>
      </c>
      <c r="K18" s="17">
        <f t="shared" si="0"/>
        <v>1</v>
      </c>
    </row>
    <row r="19" spans="1:11" x14ac:dyDescent="0.3">
      <c r="A19" s="14" t="s">
        <v>2</v>
      </c>
      <c r="B19">
        <v>41</v>
      </c>
      <c r="D19" s="14" t="s">
        <v>2</v>
      </c>
      <c r="E19">
        <v>41</v>
      </c>
      <c r="H19" s="14" t="s">
        <v>12</v>
      </c>
      <c r="I19">
        <v>0</v>
      </c>
      <c r="J19">
        <f t="shared" si="1"/>
        <v>262</v>
      </c>
      <c r="K19" s="17">
        <f t="shared" si="0"/>
        <v>1</v>
      </c>
    </row>
    <row r="20" spans="1:11" x14ac:dyDescent="0.3">
      <c r="A20" s="14" t="s">
        <v>3</v>
      </c>
      <c r="B20">
        <v>16</v>
      </c>
      <c r="D20" s="14" t="s">
        <v>3</v>
      </c>
      <c r="E20">
        <v>16</v>
      </c>
      <c r="H20" s="14" t="s">
        <v>8</v>
      </c>
      <c r="I20">
        <v>0</v>
      </c>
      <c r="J20">
        <f t="shared" si="1"/>
        <v>262</v>
      </c>
      <c r="K20" s="17">
        <f t="shared" si="0"/>
        <v>1</v>
      </c>
    </row>
    <row r="21" spans="1:11" x14ac:dyDescent="0.3">
      <c r="A21" s="14" t="s">
        <v>4</v>
      </c>
      <c r="B21">
        <v>10</v>
      </c>
      <c r="D21" s="14" t="s">
        <v>4</v>
      </c>
      <c r="E21">
        <v>10</v>
      </c>
      <c r="H21" s="14" t="s">
        <v>9</v>
      </c>
      <c r="I21">
        <v>0</v>
      </c>
      <c r="J21">
        <f t="shared" si="1"/>
        <v>262</v>
      </c>
      <c r="K21" s="17">
        <f t="shared" si="0"/>
        <v>1</v>
      </c>
    </row>
    <row r="22" spans="1:11" x14ac:dyDescent="0.3">
      <c r="A22" s="14" t="s">
        <v>60</v>
      </c>
      <c r="B22">
        <v>262</v>
      </c>
    </row>
  </sheetData>
  <sortState xmlns:xlrd2="http://schemas.microsoft.com/office/spreadsheetml/2017/richdata2" ref="H4:I21">
    <sortCondition descending="1" ref="I4:I21"/>
  </sortState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851C-FB84-4E94-AFCB-03133239B740}">
  <dimension ref="A3:J22"/>
  <sheetViews>
    <sheetView workbookViewId="0">
      <selection activeCell="H25" sqref="H25"/>
    </sheetView>
  </sheetViews>
  <sheetFormatPr defaultRowHeight="14.4" x14ac:dyDescent="0.3"/>
  <cols>
    <col min="1" max="1" width="12.5546875" bestFit="1" customWidth="1"/>
    <col min="2" max="2" width="15.5546875" bestFit="1" customWidth="1"/>
    <col min="5" max="5" width="10.44140625" bestFit="1" customWidth="1"/>
    <col min="8" max="8" width="10.44140625" bestFit="1" customWidth="1"/>
    <col min="9" max="9" width="19.6640625" bestFit="1" customWidth="1"/>
    <col min="10" max="10" width="10.44140625" bestFit="1" customWidth="1"/>
  </cols>
  <sheetData>
    <row r="3" spans="1:10" x14ac:dyDescent="0.3">
      <c r="A3" s="13" t="s">
        <v>53</v>
      </c>
      <c r="B3" t="s">
        <v>61</v>
      </c>
      <c r="D3" s="2" t="s">
        <v>19</v>
      </c>
      <c r="E3" s="2" t="s">
        <v>62</v>
      </c>
      <c r="G3" s="2" t="s">
        <v>19</v>
      </c>
      <c r="H3" s="2" t="s">
        <v>62</v>
      </c>
      <c r="I3" s="2" t="s">
        <v>65</v>
      </c>
      <c r="J3" s="2" t="s">
        <v>64</v>
      </c>
    </row>
    <row r="4" spans="1:10" x14ac:dyDescent="0.3">
      <c r="A4" s="14" t="s">
        <v>13</v>
      </c>
      <c r="B4">
        <v>540</v>
      </c>
      <c r="D4" s="14" t="s">
        <v>13</v>
      </c>
      <c r="E4" s="11">
        <v>540</v>
      </c>
      <c r="G4" s="14" t="s">
        <v>10</v>
      </c>
      <c r="H4" s="11">
        <v>79326</v>
      </c>
      <c r="I4" s="11">
        <f>H4</f>
        <v>79326</v>
      </c>
      <c r="J4" s="17">
        <f>I4/$I$21</f>
        <v>0.31722532811862658</v>
      </c>
    </row>
    <row r="5" spans="1:10" x14ac:dyDescent="0.3">
      <c r="A5" s="14" t="s">
        <v>14</v>
      </c>
      <c r="B5">
        <v>0</v>
      </c>
      <c r="D5" s="14" t="s">
        <v>14</v>
      </c>
      <c r="E5" s="11">
        <v>0</v>
      </c>
      <c r="G5" s="14" t="s">
        <v>5</v>
      </c>
      <c r="H5" s="11">
        <v>66222</v>
      </c>
      <c r="I5" s="11">
        <f>I4+H5</f>
        <v>145548</v>
      </c>
      <c r="J5" s="17">
        <f t="shared" ref="J5:J21" si="0">I5/$I$21</f>
        <v>0.58204765218225885</v>
      </c>
    </row>
    <row r="6" spans="1:10" x14ac:dyDescent="0.3">
      <c r="A6" s="14" t="s">
        <v>15</v>
      </c>
      <c r="B6">
        <v>0</v>
      </c>
      <c r="D6" s="14" t="s">
        <v>15</v>
      </c>
      <c r="E6" s="11">
        <v>0</v>
      </c>
      <c r="G6" s="14" t="s">
        <v>2</v>
      </c>
      <c r="H6" s="11">
        <v>30299</v>
      </c>
      <c r="I6" s="11">
        <f t="shared" ref="I6:I21" si="1">I5+H6</f>
        <v>175847</v>
      </c>
      <c r="J6" s="17">
        <f t="shared" si="0"/>
        <v>0.70321360302644942</v>
      </c>
    </row>
    <row r="7" spans="1:10" x14ac:dyDescent="0.3">
      <c r="A7" s="14" t="s">
        <v>16</v>
      </c>
      <c r="B7">
        <v>0</v>
      </c>
      <c r="D7" s="14" t="s">
        <v>16</v>
      </c>
      <c r="E7" s="11">
        <v>0</v>
      </c>
      <c r="G7" s="14" t="s">
        <v>1</v>
      </c>
      <c r="H7" s="11">
        <v>24465</v>
      </c>
      <c r="I7" s="11">
        <f t="shared" si="1"/>
        <v>200312</v>
      </c>
      <c r="J7" s="17">
        <f t="shared" si="0"/>
        <v>0.8010493397637386</v>
      </c>
    </row>
    <row r="8" spans="1:10" x14ac:dyDescent="0.3">
      <c r="A8" s="14" t="s">
        <v>17</v>
      </c>
      <c r="B8">
        <v>0</v>
      </c>
      <c r="D8" s="14" t="s">
        <v>17</v>
      </c>
      <c r="E8" s="11">
        <v>0</v>
      </c>
      <c r="G8" s="14" t="s">
        <v>3</v>
      </c>
      <c r="H8" s="11">
        <v>14384</v>
      </c>
      <c r="I8" s="11">
        <f t="shared" si="1"/>
        <v>214696</v>
      </c>
      <c r="J8" s="17">
        <f t="shared" si="0"/>
        <v>0.8585710743735554</v>
      </c>
    </row>
    <row r="9" spans="1:10" x14ac:dyDescent="0.3">
      <c r="A9" s="14" t="s">
        <v>5</v>
      </c>
      <c r="B9">
        <v>66222</v>
      </c>
      <c r="D9" s="14" t="s">
        <v>5</v>
      </c>
      <c r="E9" s="11">
        <v>66222</v>
      </c>
      <c r="G9" s="14" t="s">
        <v>4</v>
      </c>
      <c r="H9" s="11">
        <v>13790</v>
      </c>
      <c r="I9" s="11">
        <f t="shared" si="1"/>
        <v>228486</v>
      </c>
      <c r="J9" s="17">
        <f t="shared" si="0"/>
        <v>0.91371739808527486</v>
      </c>
    </row>
    <row r="10" spans="1:10" x14ac:dyDescent="0.3">
      <c r="A10" s="14" t="s">
        <v>6</v>
      </c>
      <c r="B10">
        <v>10000</v>
      </c>
      <c r="D10" s="14" t="s">
        <v>6</v>
      </c>
      <c r="E10" s="11">
        <v>10000</v>
      </c>
      <c r="G10" s="14" t="s">
        <v>6</v>
      </c>
      <c r="H10" s="11">
        <v>10000</v>
      </c>
      <c r="I10" s="11">
        <f t="shared" si="1"/>
        <v>238486</v>
      </c>
      <c r="J10" s="17">
        <f t="shared" si="0"/>
        <v>0.9537074805448249</v>
      </c>
    </row>
    <row r="11" spans="1:10" x14ac:dyDescent="0.3">
      <c r="A11" s="14" t="s">
        <v>7</v>
      </c>
      <c r="B11">
        <v>8840</v>
      </c>
      <c r="D11" s="14" t="s">
        <v>7</v>
      </c>
      <c r="E11" s="11">
        <v>8840</v>
      </c>
      <c r="G11" s="14" t="s">
        <v>7</v>
      </c>
      <c r="H11" s="11">
        <v>8840</v>
      </c>
      <c r="I11" s="11">
        <f t="shared" si="1"/>
        <v>247326</v>
      </c>
      <c r="J11" s="17">
        <f t="shared" si="0"/>
        <v>0.98905871343906715</v>
      </c>
    </row>
    <row r="12" spans="1:10" x14ac:dyDescent="0.3">
      <c r="A12" s="14" t="s">
        <v>10</v>
      </c>
      <c r="B12">
        <v>79326</v>
      </c>
      <c r="D12" s="14" t="s">
        <v>10</v>
      </c>
      <c r="E12" s="11">
        <v>79326</v>
      </c>
      <c r="G12" s="14" t="s">
        <v>0</v>
      </c>
      <c r="H12" s="11">
        <v>2196</v>
      </c>
      <c r="I12" s="11">
        <f t="shared" si="1"/>
        <v>249522</v>
      </c>
      <c r="J12" s="17">
        <f t="shared" si="0"/>
        <v>0.99784053554718433</v>
      </c>
    </row>
    <row r="13" spans="1:10" x14ac:dyDescent="0.3">
      <c r="A13" s="14" t="s">
        <v>11</v>
      </c>
      <c r="B13">
        <v>0</v>
      </c>
      <c r="D13" s="14" t="s">
        <v>11</v>
      </c>
      <c r="E13" s="11">
        <v>0</v>
      </c>
      <c r="G13" s="14" t="s">
        <v>13</v>
      </c>
      <c r="H13" s="11">
        <v>540</v>
      </c>
      <c r="I13" s="11">
        <f t="shared" si="1"/>
        <v>250062</v>
      </c>
      <c r="J13" s="17">
        <f t="shared" si="0"/>
        <v>1</v>
      </c>
    </row>
    <row r="14" spans="1:10" x14ac:dyDescent="0.3">
      <c r="A14" s="14" t="s">
        <v>12</v>
      </c>
      <c r="B14">
        <v>0</v>
      </c>
      <c r="D14" s="14" t="s">
        <v>12</v>
      </c>
      <c r="E14" s="11">
        <v>0</v>
      </c>
      <c r="G14" s="14" t="s">
        <v>14</v>
      </c>
      <c r="H14" s="11">
        <v>0</v>
      </c>
      <c r="I14" s="11">
        <f t="shared" si="1"/>
        <v>250062</v>
      </c>
      <c r="J14" s="17">
        <f t="shared" si="0"/>
        <v>1</v>
      </c>
    </row>
    <row r="15" spans="1:10" x14ac:dyDescent="0.3">
      <c r="A15" s="14" t="s">
        <v>8</v>
      </c>
      <c r="B15">
        <v>0</v>
      </c>
      <c r="D15" s="14" t="s">
        <v>8</v>
      </c>
      <c r="E15" s="11">
        <v>0</v>
      </c>
      <c r="G15" s="14" t="s">
        <v>15</v>
      </c>
      <c r="H15" s="11">
        <v>0</v>
      </c>
      <c r="I15" s="11">
        <f t="shared" si="1"/>
        <v>250062</v>
      </c>
      <c r="J15" s="17">
        <f t="shared" si="0"/>
        <v>1</v>
      </c>
    </row>
    <row r="16" spans="1:10" x14ac:dyDescent="0.3">
      <c r="A16" s="14" t="s">
        <v>9</v>
      </c>
      <c r="B16">
        <v>0</v>
      </c>
      <c r="D16" s="14" t="s">
        <v>9</v>
      </c>
      <c r="E16" s="11">
        <v>0</v>
      </c>
      <c r="G16" s="14" t="s">
        <v>16</v>
      </c>
      <c r="H16" s="11">
        <v>0</v>
      </c>
      <c r="I16" s="11">
        <f t="shared" si="1"/>
        <v>250062</v>
      </c>
      <c r="J16" s="17">
        <f t="shared" si="0"/>
        <v>1</v>
      </c>
    </row>
    <row r="17" spans="1:10" x14ac:dyDescent="0.3">
      <c r="A17" s="14" t="s">
        <v>0</v>
      </c>
      <c r="B17">
        <v>2196</v>
      </c>
      <c r="D17" s="14" t="s">
        <v>0</v>
      </c>
      <c r="E17" s="11">
        <v>2196</v>
      </c>
      <c r="G17" s="14" t="s">
        <v>17</v>
      </c>
      <c r="H17" s="11">
        <v>0</v>
      </c>
      <c r="I17" s="11">
        <f t="shared" si="1"/>
        <v>250062</v>
      </c>
      <c r="J17" s="17">
        <f t="shared" si="0"/>
        <v>1</v>
      </c>
    </row>
    <row r="18" spans="1:10" x14ac:dyDescent="0.3">
      <c r="A18" s="14" t="s">
        <v>1</v>
      </c>
      <c r="B18">
        <v>24465</v>
      </c>
      <c r="D18" s="14" t="s">
        <v>1</v>
      </c>
      <c r="E18" s="11">
        <v>24465</v>
      </c>
      <c r="G18" s="14" t="s">
        <v>11</v>
      </c>
      <c r="H18" s="11">
        <v>0</v>
      </c>
      <c r="I18" s="11">
        <f t="shared" si="1"/>
        <v>250062</v>
      </c>
      <c r="J18" s="17">
        <f t="shared" si="0"/>
        <v>1</v>
      </c>
    </row>
    <row r="19" spans="1:10" x14ac:dyDescent="0.3">
      <c r="A19" s="14" t="s">
        <v>2</v>
      </c>
      <c r="B19">
        <v>30299</v>
      </c>
      <c r="D19" s="14" t="s">
        <v>2</v>
      </c>
      <c r="E19" s="11">
        <v>30299</v>
      </c>
      <c r="G19" s="14" t="s">
        <v>12</v>
      </c>
      <c r="H19" s="11">
        <v>0</v>
      </c>
      <c r="I19" s="11">
        <f t="shared" si="1"/>
        <v>250062</v>
      </c>
      <c r="J19" s="17">
        <f t="shared" si="0"/>
        <v>1</v>
      </c>
    </row>
    <row r="20" spans="1:10" x14ac:dyDescent="0.3">
      <c r="A20" s="14" t="s">
        <v>3</v>
      </c>
      <c r="B20">
        <v>14384</v>
      </c>
      <c r="D20" s="14" t="s">
        <v>3</v>
      </c>
      <c r="E20" s="11">
        <v>14384</v>
      </c>
      <c r="G20" s="14" t="s">
        <v>8</v>
      </c>
      <c r="H20" s="11">
        <v>0</v>
      </c>
      <c r="I20" s="11">
        <f t="shared" si="1"/>
        <v>250062</v>
      </c>
      <c r="J20" s="17">
        <f t="shared" si="0"/>
        <v>1</v>
      </c>
    </row>
    <row r="21" spans="1:10" x14ac:dyDescent="0.3">
      <c r="A21" s="14" t="s">
        <v>4</v>
      </c>
      <c r="B21">
        <v>13790</v>
      </c>
      <c r="D21" s="14" t="s">
        <v>4</v>
      </c>
      <c r="E21" s="11">
        <v>13790</v>
      </c>
      <c r="G21" s="14" t="s">
        <v>9</v>
      </c>
      <c r="H21" s="11">
        <v>0</v>
      </c>
      <c r="I21" s="11">
        <f t="shared" si="1"/>
        <v>250062</v>
      </c>
      <c r="J21" s="17">
        <f t="shared" si="0"/>
        <v>1</v>
      </c>
    </row>
    <row r="22" spans="1:10" x14ac:dyDescent="0.3">
      <c r="A22" s="14" t="s">
        <v>60</v>
      </c>
      <c r="B22">
        <v>250062</v>
      </c>
    </row>
  </sheetData>
  <sortState xmlns:xlrd2="http://schemas.microsoft.com/office/spreadsheetml/2017/richdata2" ref="G4:H21">
    <sortCondition descending="1" ref="H4:H21"/>
  </sortState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AEFA2-6704-41AC-AC83-C94DF0915184}">
  <dimension ref="A3:E18"/>
  <sheetViews>
    <sheetView topLeftCell="F1" workbookViewId="0">
      <selection activeCell="L21" sqref="L21"/>
    </sheetView>
  </sheetViews>
  <sheetFormatPr defaultRowHeight="14.4" x14ac:dyDescent="0.3"/>
  <cols>
    <col min="1" max="2" width="12.5546875" bestFit="1" customWidth="1"/>
    <col min="3" max="4" width="13.5546875" bestFit="1" customWidth="1"/>
  </cols>
  <sheetData>
    <row r="3" spans="1:5" x14ac:dyDescent="0.3">
      <c r="A3" s="13" t="s">
        <v>53</v>
      </c>
      <c r="B3" t="s">
        <v>54</v>
      </c>
      <c r="D3" s="2" t="s">
        <v>66</v>
      </c>
      <c r="E3" s="2" t="s">
        <v>56</v>
      </c>
    </row>
    <row r="4" spans="1:5" x14ac:dyDescent="0.3">
      <c r="A4" s="14">
        <v>40</v>
      </c>
      <c r="B4">
        <v>10</v>
      </c>
      <c r="D4" s="14">
        <v>40</v>
      </c>
      <c r="E4">
        <v>10</v>
      </c>
    </row>
    <row r="5" spans="1:5" x14ac:dyDescent="0.3">
      <c r="A5" s="14">
        <v>41</v>
      </c>
      <c r="B5">
        <v>57</v>
      </c>
      <c r="D5" s="14">
        <v>41</v>
      </c>
      <c r="E5">
        <v>57</v>
      </c>
    </row>
    <row r="6" spans="1:5" x14ac:dyDescent="0.3">
      <c r="A6" s="14">
        <v>42</v>
      </c>
      <c r="B6">
        <v>3</v>
      </c>
      <c r="D6" s="14">
        <v>42</v>
      </c>
      <c r="E6">
        <v>3</v>
      </c>
    </row>
    <row r="7" spans="1:5" x14ac:dyDescent="0.3">
      <c r="A7" s="14">
        <v>43</v>
      </c>
      <c r="B7">
        <v>22</v>
      </c>
      <c r="D7" s="14">
        <v>43</v>
      </c>
      <c r="E7">
        <v>22</v>
      </c>
    </row>
    <row r="8" spans="1:5" x14ac:dyDescent="0.3">
      <c r="A8" s="14">
        <v>44</v>
      </c>
      <c r="B8">
        <v>33</v>
      </c>
      <c r="D8" s="14">
        <v>44</v>
      </c>
      <c r="E8">
        <v>33</v>
      </c>
    </row>
    <row r="9" spans="1:5" x14ac:dyDescent="0.3">
      <c r="A9" s="14">
        <v>45</v>
      </c>
      <c r="B9">
        <v>17</v>
      </c>
      <c r="D9" s="14">
        <v>45</v>
      </c>
      <c r="E9">
        <v>17</v>
      </c>
    </row>
    <row r="10" spans="1:5" x14ac:dyDescent="0.3">
      <c r="A10" s="14">
        <v>46</v>
      </c>
      <c r="B10">
        <v>7</v>
      </c>
      <c r="D10" s="14">
        <v>46</v>
      </c>
      <c r="E10">
        <v>7</v>
      </c>
    </row>
    <row r="11" spans="1:5" x14ac:dyDescent="0.3">
      <c r="A11" s="14">
        <v>47</v>
      </c>
      <c r="B11">
        <v>5</v>
      </c>
      <c r="D11" s="14">
        <v>47</v>
      </c>
      <c r="E11">
        <v>5</v>
      </c>
    </row>
    <row r="12" spans="1:5" x14ac:dyDescent="0.3">
      <c r="A12" s="14">
        <v>48</v>
      </c>
      <c r="B12">
        <v>12</v>
      </c>
      <c r="D12" s="14">
        <v>48</v>
      </c>
      <c r="E12">
        <v>12</v>
      </c>
    </row>
    <row r="13" spans="1:5" x14ac:dyDescent="0.3">
      <c r="A13" s="14">
        <v>49</v>
      </c>
      <c r="B13">
        <v>25</v>
      </c>
      <c r="D13" s="14">
        <v>49</v>
      </c>
      <c r="E13">
        <v>25</v>
      </c>
    </row>
    <row r="14" spans="1:5" x14ac:dyDescent="0.3">
      <c r="A14" s="14">
        <v>50</v>
      </c>
      <c r="B14">
        <v>15</v>
      </c>
      <c r="D14" s="14">
        <v>50</v>
      </c>
      <c r="E14">
        <v>15</v>
      </c>
    </row>
    <row r="15" spans="1:5" x14ac:dyDescent="0.3">
      <c r="A15" s="14">
        <v>51</v>
      </c>
      <c r="B15">
        <v>27</v>
      </c>
      <c r="D15" s="14">
        <v>51</v>
      </c>
      <c r="E15">
        <v>27</v>
      </c>
    </row>
    <row r="16" spans="1:5" x14ac:dyDescent="0.3">
      <c r="A16" s="14">
        <v>52</v>
      </c>
      <c r="B16">
        <v>15</v>
      </c>
      <c r="D16" s="14">
        <v>52</v>
      </c>
      <c r="E16">
        <v>15</v>
      </c>
    </row>
    <row r="17" spans="1:5" x14ac:dyDescent="0.3">
      <c r="A17" s="14">
        <v>53</v>
      </c>
      <c r="B17">
        <v>14</v>
      </c>
      <c r="D17" s="14">
        <v>53</v>
      </c>
      <c r="E17">
        <v>14</v>
      </c>
    </row>
    <row r="18" spans="1:5" x14ac:dyDescent="0.3">
      <c r="A18" s="14" t="s">
        <v>60</v>
      </c>
      <c r="B18">
        <v>262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621F-F648-444B-8FBB-8B391AF475EB}">
  <dimension ref="A3:E18"/>
  <sheetViews>
    <sheetView topLeftCell="F1" workbookViewId="0">
      <selection activeCell="O25" sqref="O25"/>
    </sheetView>
  </sheetViews>
  <sheetFormatPr defaultRowHeight="14.4" x14ac:dyDescent="0.3"/>
  <cols>
    <col min="1" max="1" width="12.5546875" bestFit="1" customWidth="1"/>
    <col min="2" max="2" width="15.5546875" bestFit="1" customWidth="1"/>
    <col min="5" max="5" width="10.44140625" bestFit="1" customWidth="1"/>
  </cols>
  <sheetData>
    <row r="3" spans="1:5" x14ac:dyDescent="0.3">
      <c r="A3" s="13" t="s">
        <v>53</v>
      </c>
      <c r="B3" t="s">
        <v>61</v>
      </c>
      <c r="D3" s="2" t="s">
        <v>67</v>
      </c>
      <c r="E3" s="2" t="s">
        <v>62</v>
      </c>
    </row>
    <row r="4" spans="1:5" x14ac:dyDescent="0.3">
      <c r="A4" s="14">
        <v>40</v>
      </c>
      <c r="B4" s="11">
        <v>8211</v>
      </c>
      <c r="D4" s="14">
        <v>40</v>
      </c>
      <c r="E4" s="11">
        <v>8211</v>
      </c>
    </row>
    <row r="5" spans="1:5" x14ac:dyDescent="0.3">
      <c r="A5" s="14">
        <v>41</v>
      </c>
      <c r="B5" s="11">
        <v>46967</v>
      </c>
      <c r="D5" s="14">
        <v>41</v>
      </c>
      <c r="E5" s="11">
        <v>46967</v>
      </c>
    </row>
    <row r="6" spans="1:5" x14ac:dyDescent="0.3">
      <c r="A6" s="14">
        <v>42</v>
      </c>
      <c r="B6" s="11">
        <v>2397</v>
      </c>
      <c r="D6" s="14">
        <v>42</v>
      </c>
      <c r="E6" s="11">
        <v>2397</v>
      </c>
    </row>
    <row r="7" spans="1:5" x14ac:dyDescent="0.3">
      <c r="A7" s="14">
        <v>43</v>
      </c>
      <c r="B7" s="11">
        <v>18379</v>
      </c>
      <c r="D7" s="14">
        <v>43</v>
      </c>
      <c r="E7" s="11">
        <v>18379</v>
      </c>
    </row>
    <row r="8" spans="1:5" x14ac:dyDescent="0.3">
      <c r="A8" s="14">
        <v>44</v>
      </c>
      <c r="B8" s="11">
        <v>27450</v>
      </c>
      <c r="D8" s="14">
        <v>44</v>
      </c>
      <c r="E8" s="11">
        <v>27450</v>
      </c>
    </row>
    <row r="9" spans="1:5" x14ac:dyDescent="0.3">
      <c r="A9" s="14">
        <v>45</v>
      </c>
      <c r="B9" s="11">
        <v>14354</v>
      </c>
      <c r="D9" s="14">
        <v>45</v>
      </c>
      <c r="E9" s="11">
        <v>14354</v>
      </c>
    </row>
    <row r="10" spans="1:5" x14ac:dyDescent="0.3">
      <c r="A10" s="14">
        <v>46</v>
      </c>
      <c r="B10" s="11">
        <v>5605</v>
      </c>
      <c r="D10" s="14">
        <v>46</v>
      </c>
      <c r="E10" s="11">
        <v>5605</v>
      </c>
    </row>
    <row r="11" spans="1:5" x14ac:dyDescent="0.3">
      <c r="A11" s="14">
        <v>47</v>
      </c>
      <c r="B11" s="11">
        <v>4495</v>
      </c>
      <c r="D11" s="14">
        <v>47</v>
      </c>
      <c r="E11" s="11">
        <v>4495</v>
      </c>
    </row>
    <row r="12" spans="1:5" x14ac:dyDescent="0.3">
      <c r="A12" s="14">
        <v>48</v>
      </c>
      <c r="B12" s="11">
        <v>13129</v>
      </c>
      <c r="D12" s="14">
        <v>48</v>
      </c>
      <c r="E12" s="11">
        <v>13129</v>
      </c>
    </row>
    <row r="13" spans="1:5" x14ac:dyDescent="0.3">
      <c r="A13" s="14">
        <v>49</v>
      </c>
      <c r="B13" s="11">
        <v>26175</v>
      </c>
      <c r="D13" s="14">
        <v>49</v>
      </c>
      <c r="E13" s="11">
        <v>26175</v>
      </c>
    </row>
    <row r="14" spans="1:5" x14ac:dyDescent="0.3">
      <c r="A14" s="14">
        <v>50</v>
      </c>
      <c r="B14" s="11">
        <v>19825</v>
      </c>
      <c r="D14" s="14">
        <v>50</v>
      </c>
      <c r="E14" s="11">
        <v>19825</v>
      </c>
    </row>
    <row r="15" spans="1:5" x14ac:dyDescent="0.3">
      <c r="A15" s="14">
        <v>51</v>
      </c>
      <c r="B15" s="11">
        <v>29044</v>
      </c>
      <c r="D15" s="14">
        <v>51</v>
      </c>
      <c r="E15" s="11">
        <v>29044</v>
      </c>
    </row>
    <row r="16" spans="1:5" x14ac:dyDescent="0.3">
      <c r="A16" s="14">
        <v>52</v>
      </c>
      <c r="B16" s="11">
        <v>17865</v>
      </c>
      <c r="D16" s="14">
        <v>52</v>
      </c>
      <c r="E16" s="11">
        <v>17865</v>
      </c>
    </row>
    <row r="17" spans="1:5" x14ac:dyDescent="0.3">
      <c r="A17" s="14">
        <v>53</v>
      </c>
      <c r="B17" s="11">
        <v>16166</v>
      </c>
      <c r="D17" s="14">
        <v>53</v>
      </c>
      <c r="E17" s="11">
        <v>16166</v>
      </c>
    </row>
    <row r="18" spans="1:5" x14ac:dyDescent="0.3">
      <c r="A18" s="14" t="s">
        <v>60</v>
      </c>
      <c r="B18">
        <v>250062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51BB-1612-420D-AD2A-6C8D2D6A0B2D}">
  <dimension ref="A3:G11"/>
  <sheetViews>
    <sheetView topLeftCell="A4" workbookViewId="0">
      <selection activeCell="C7" sqref="C7"/>
    </sheetView>
  </sheetViews>
  <sheetFormatPr defaultRowHeight="14.4" x14ac:dyDescent="0.3"/>
  <cols>
    <col min="1" max="2" width="12.5546875" bestFit="1" customWidth="1"/>
    <col min="3" max="4" width="13.5546875" bestFit="1" customWidth="1"/>
  </cols>
  <sheetData>
    <row r="3" spans="1:7" x14ac:dyDescent="0.3">
      <c r="A3" s="13" t="s">
        <v>53</v>
      </c>
      <c r="B3" t="s">
        <v>54</v>
      </c>
      <c r="F3" s="2" t="s">
        <v>68</v>
      </c>
      <c r="G3" s="2" t="s">
        <v>56</v>
      </c>
    </row>
    <row r="4" spans="1:7" x14ac:dyDescent="0.3">
      <c r="A4" s="14" t="s">
        <v>69</v>
      </c>
      <c r="B4">
        <v>51</v>
      </c>
      <c r="F4" s="14" t="s">
        <v>69</v>
      </c>
      <c r="G4">
        <v>51</v>
      </c>
    </row>
    <row r="5" spans="1:7" x14ac:dyDescent="0.3">
      <c r="A5" s="14" t="s">
        <v>70</v>
      </c>
      <c r="B5">
        <v>19</v>
      </c>
      <c r="F5" s="14" t="s">
        <v>70</v>
      </c>
      <c r="G5">
        <v>19</v>
      </c>
    </row>
    <row r="6" spans="1:7" x14ac:dyDescent="0.3">
      <c r="A6" s="14" t="s">
        <v>71</v>
      </c>
      <c r="B6">
        <v>25</v>
      </c>
      <c r="F6" s="14" t="s">
        <v>71</v>
      </c>
      <c r="G6">
        <v>25</v>
      </c>
    </row>
    <row r="7" spans="1:7" x14ac:dyDescent="0.3">
      <c r="A7" s="14" t="s">
        <v>72</v>
      </c>
      <c r="B7">
        <v>11</v>
      </c>
      <c r="F7" s="14" t="s">
        <v>72</v>
      </c>
      <c r="G7">
        <v>11</v>
      </c>
    </row>
    <row r="8" spans="1:7" x14ac:dyDescent="0.3">
      <c r="A8" s="14" t="s">
        <v>73</v>
      </c>
      <c r="B8">
        <v>43</v>
      </c>
      <c r="F8" s="14" t="s">
        <v>73</v>
      </c>
      <c r="G8">
        <v>43</v>
      </c>
    </row>
    <row r="9" spans="1:7" x14ac:dyDescent="0.3">
      <c r="A9" s="14" t="s">
        <v>74</v>
      </c>
      <c r="B9">
        <v>66</v>
      </c>
      <c r="F9" s="14" t="s">
        <v>74</v>
      </c>
      <c r="G9">
        <v>66</v>
      </c>
    </row>
    <row r="10" spans="1:7" x14ac:dyDescent="0.3">
      <c r="A10" s="14" t="s">
        <v>75</v>
      </c>
      <c r="B10">
        <v>47</v>
      </c>
      <c r="F10" s="14" t="s">
        <v>75</v>
      </c>
      <c r="G10">
        <v>47</v>
      </c>
    </row>
    <row r="11" spans="1:7" x14ac:dyDescent="0.3">
      <c r="A11" s="14" t="s">
        <v>60</v>
      </c>
      <c r="B11">
        <v>262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822D-E91E-4798-8A29-C37EE09D4F05}">
  <dimension ref="A3:E11"/>
  <sheetViews>
    <sheetView topLeftCell="E1" workbookViewId="0">
      <selection activeCell="R10" sqref="R10"/>
    </sheetView>
  </sheetViews>
  <sheetFormatPr defaultRowHeight="14.4" x14ac:dyDescent="0.3"/>
  <cols>
    <col min="1" max="1" width="12.5546875" bestFit="1" customWidth="1"/>
    <col min="2" max="2" width="15.5546875" bestFit="1" customWidth="1"/>
    <col min="4" max="5" width="10.44140625" bestFit="1" customWidth="1"/>
  </cols>
  <sheetData>
    <row r="3" spans="1:5" x14ac:dyDescent="0.3">
      <c r="A3" s="13" t="s">
        <v>53</v>
      </c>
      <c r="B3" t="s">
        <v>61</v>
      </c>
      <c r="D3" s="2" t="s">
        <v>68</v>
      </c>
      <c r="E3" s="2" t="s">
        <v>62</v>
      </c>
    </row>
    <row r="4" spans="1:5" x14ac:dyDescent="0.3">
      <c r="A4" s="14" t="s">
        <v>69</v>
      </c>
      <c r="B4" s="11">
        <v>50946</v>
      </c>
      <c r="D4" s="14" t="s">
        <v>69</v>
      </c>
      <c r="E4" s="11">
        <v>50946</v>
      </c>
    </row>
    <row r="5" spans="1:5" x14ac:dyDescent="0.3">
      <c r="A5" s="14" t="s">
        <v>70</v>
      </c>
      <c r="B5" s="11">
        <v>20203</v>
      </c>
      <c r="D5" s="14" t="s">
        <v>70</v>
      </c>
      <c r="E5" s="11">
        <v>20203</v>
      </c>
    </row>
    <row r="6" spans="1:5" x14ac:dyDescent="0.3">
      <c r="A6" s="14" t="s">
        <v>71</v>
      </c>
      <c r="B6" s="11">
        <v>23798</v>
      </c>
      <c r="D6" s="14" t="s">
        <v>71</v>
      </c>
      <c r="E6" s="11">
        <v>23798</v>
      </c>
    </row>
    <row r="7" spans="1:5" x14ac:dyDescent="0.3">
      <c r="A7" s="14" t="s">
        <v>72</v>
      </c>
      <c r="B7" s="11">
        <v>12449</v>
      </c>
      <c r="D7" s="14" t="s">
        <v>72</v>
      </c>
      <c r="E7" s="11">
        <v>12449</v>
      </c>
    </row>
    <row r="8" spans="1:5" x14ac:dyDescent="0.3">
      <c r="A8" s="14" t="s">
        <v>73</v>
      </c>
      <c r="B8" s="11">
        <v>43598</v>
      </c>
      <c r="D8" s="14" t="s">
        <v>73</v>
      </c>
      <c r="E8" s="11">
        <v>43598</v>
      </c>
    </row>
    <row r="9" spans="1:5" x14ac:dyDescent="0.3">
      <c r="A9" s="14" t="s">
        <v>74</v>
      </c>
      <c r="B9" s="11">
        <v>56761</v>
      </c>
      <c r="D9" s="14" t="s">
        <v>74</v>
      </c>
      <c r="E9" s="11">
        <v>56761</v>
      </c>
    </row>
    <row r="10" spans="1:5" x14ac:dyDescent="0.3">
      <c r="A10" s="14" t="s">
        <v>75</v>
      </c>
      <c r="B10" s="11">
        <v>42307</v>
      </c>
      <c r="D10" s="14" t="s">
        <v>75</v>
      </c>
      <c r="E10" s="11">
        <v>42307</v>
      </c>
    </row>
    <row r="11" spans="1:5" x14ac:dyDescent="0.3">
      <c r="A11" s="14" t="s">
        <v>60</v>
      </c>
      <c r="B11">
        <v>250062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5DD6-7C82-45C7-BD6C-5205C55F07D8}">
  <dimension ref="A3:Q24"/>
  <sheetViews>
    <sheetView workbookViewId="0">
      <selection activeCell="N23" sqref="N2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.44140625" bestFit="1" customWidth="1"/>
    <col min="4" max="4" width="4.109375" bestFit="1" customWidth="1"/>
    <col min="5" max="5" width="15.5546875" bestFit="1" customWidth="1"/>
    <col min="6" max="7" width="10.44140625" bestFit="1" customWidth="1"/>
    <col min="8" max="8" width="17.44140625" bestFit="1" customWidth="1"/>
    <col min="9" max="9" width="20.33203125" bestFit="1" customWidth="1"/>
    <col min="15" max="17" width="10.44140625" bestFit="1" customWidth="1"/>
  </cols>
  <sheetData>
    <row r="3" spans="1:17" x14ac:dyDescent="0.3">
      <c r="B3" s="13" t="s">
        <v>76</v>
      </c>
    </row>
    <row r="4" spans="1:17" x14ac:dyDescent="0.3">
      <c r="B4" t="s">
        <v>54</v>
      </c>
      <c r="E4" t="s">
        <v>61</v>
      </c>
      <c r="H4" t="s">
        <v>77</v>
      </c>
      <c r="I4" t="s">
        <v>78</v>
      </c>
      <c r="K4" s="28" t="s">
        <v>19</v>
      </c>
      <c r="L4" s="28" t="s">
        <v>79</v>
      </c>
      <c r="M4" s="28"/>
      <c r="N4" s="28"/>
      <c r="O4" s="28"/>
      <c r="P4" s="28"/>
      <c r="Q4" s="28"/>
    </row>
    <row r="5" spans="1:17" x14ac:dyDescent="0.3">
      <c r="A5" s="13" t="s">
        <v>53</v>
      </c>
      <c r="B5" t="s">
        <v>57</v>
      </c>
      <c r="C5" t="s">
        <v>58</v>
      </c>
      <c r="D5" t="s">
        <v>59</v>
      </c>
      <c r="E5" t="s">
        <v>57</v>
      </c>
      <c r="F5" t="s">
        <v>58</v>
      </c>
      <c r="G5" t="s">
        <v>59</v>
      </c>
      <c r="K5" s="28"/>
      <c r="L5" s="2" t="s">
        <v>80</v>
      </c>
      <c r="M5" s="2" t="s">
        <v>81</v>
      </c>
      <c r="N5" s="2" t="s">
        <v>82</v>
      </c>
      <c r="O5" s="2"/>
      <c r="P5" s="2"/>
      <c r="Q5" s="2"/>
    </row>
    <row r="6" spans="1:17" x14ac:dyDescent="0.3">
      <c r="A6" s="14" t="s">
        <v>13</v>
      </c>
      <c r="B6">
        <v>0</v>
      </c>
      <c r="C6">
        <v>0</v>
      </c>
      <c r="D6">
        <v>1</v>
      </c>
      <c r="E6" s="11">
        <v>0</v>
      </c>
      <c r="F6" s="11">
        <v>0</v>
      </c>
      <c r="G6" s="11">
        <v>540</v>
      </c>
      <c r="H6">
        <v>1</v>
      </c>
      <c r="I6">
        <v>540</v>
      </c>
      <c r="K6" s="14" t="s">
        <v>13</v>
      </c>
      <c r="L6">
        <v>0</v>
      </c>
      <c r="M6">
        <v>0</v>
      </c>
      <c r="N6">
        <v>1</v>
      </c>
      <c r="O6" s="11"/>
      <c r="P6" s="11"/>
      <c r="Q6" s="11"/>
    </row>
    <row r="7" spans="1:17" x14ac:dyDescent="0.3">
      <c r="A7" s="14" t="s">
        <v>14</v>
      </c>
      <c r="B7">
        <v>0</v>
      </c>
      <c r="C7">
        <v>0</v>
      </c>
      <c r="D7">
        <v>0</v>
      </c>
      <c r="E7" s="11">
        <v>0</v>
      </c>
      <c r="F7" s="11">
        <v>0</v>
      </c>
      <c r="G7" s="11">
        <v>0</v>
      </c>
      <c r="H7">
        <v>0</v>
      </c>
      <c r="I7">
        <v>0</v>
      </c>
      <c r="K7" s="14" t="s">
        <v>5</v>
      </c>
      <c r="L7">
        <v>52</v>
      </c>
      <c r="M7">
        <v>6</v>
      </c>
      <c r="N7">
        <v>20</v>
      </c>
      <c r="O7" s="11"/>
      <c r="P7" s="11"/>
      <c r="Q7" s="11"/>
    </row>
    <row r="8" spans="1:17" x14ac:dyDescent="0.3">
      <c r="A8" s="14" t="s">
        <v>15</v>
      </c>
      <c r="B8">
        <v>0</v>
      </c>
      <c r="C8">
        <v>0</v>
      </c>
      <c r="D8">
        <v>0</v>
      </c>
      <c r="E8" s="11">
        <v>0</v>
      </c>
      <c r="F8" s="11">
        <v>0</v>
      </c>
      <c r="G8" s="11">
        <v>0</v>
      </c>
      <c r="H8">
        <v>0</v>
      </c>
      <c r="I8">
        <v>0</v>
      </c>
      <c r="K8" s="14" t="s">
        <v>6</v>
      </c>
      <c r="L8">
        <v>8</v>
      </c>
      <c r="M8">
        <v>2</v>
      </c>
      <c r="N8">
        <v>0</v>
      </c>
      <c r="O8" s="11"/>
      <c r="P8" s="11"/>
      <c r="Q8" s="11"/>
    </row>
    <row r="9" spans="1:17" x14ac:dyDescent="0.3">
      <c r="A9" s="14" t="s">
        <v>16</v>
      </c>
      <c r="B9">
        <v>0</v>
      </c>
      <c r="C9">
        <v>0</v>
      </c>
      <c r="D9">
        <v>0</v>
      </c>
      <c r="E9" s="11">
        <v>0</v>
      </c>
      <c r="F9" s="11">
        <v>0</v>
      </c>
      <c r="G9" s="11">
        <v>0</v>
      </c>
      <c r="H9">
        <v>0</v>
      </c>
      <c r="I9">
        <v>0</v>
      </c>
      <c r="K9" s="14" t="s">
        <v>7</v>
      </c>
      <c r="L9">
        <v>12</v>
      </c>
      <c r="M9">
        <v>1</v>
      </c>
      <c r="N9">
        <v>0</v>
      </c>
      <c r="O9" s="11"/>
      <c r="P9" s="11"/>
      <c r="Q9" s="11"/>
    </row>
    <row r="10" spans="1:17" x14ac:dyDescent="0.3">
      <c r="A10" s="14" t="s">
        <v>17</v>
      </c>
      <c r="B10">
        <v>0</v>
      </c>
      <c r="C10">
        <v>0</v>
      </c>
      <c r="D10">
        <v>0</v>
      </c>
      <c r="E10" s="11">
        <v>0</v>
      </c>
      <c r="F10" s="11">
        <v>0</v>
      </c>
      <c r="G10" s="11">
        <v>0</v>
      </c>
      <c r="H10">
        <v>0</v>
      </c>
      <c r="I10">
        <v>0</v>
      </c>
      <c r="K10" s="14" t="s">
        <v>10</v>
      </c>
      <c r="L10">
        <v>8</v>
      </c>
      <c r="M10">
        <v>10</v>
      </c>
      <c r="N10">
        <v>36</v>
      </c>
      <c r="O10" s="11"/>
      <c r="P10" s="11"/>
      <c r="Q10" s="11"/>
    </row>
    <row r="11" spans="1:17" x14ac:dyDescent="0.3">
      <c r="A11" s="14" t="s">
        <v>5</v>
      </c>
      <c r="B11">
        <v>52</v>
      </c>
      <c r="C11">
        <v>6</v>
      </c>
      <c r="D11">
        <v>20</v>
      </c>
      <c r="E11" s="11">
        <v>44148</v>
      </c>
      <c r="F11" s="11">
        <v>5094</v>
      </c>
      <c r="G11" s="11">
        <v>16980</v>
      </c>
      <c r="H11">
        <v>78</v>
      </c>
      <c r="I11">
        <v>66222</v>
      </c>
      <c r="K11" s="14" t="s">
        <v>0</v>
      </c>
      <c r="L11">
        <v>3</v>
      </c>
      <c r="M11">
        <v>0</v>
      </c>
      <c r="N11">
        <v>1</v>
      </c>
      <c r="O11" s="11"/>
      <c r="P11" s="11"/>
      <c r="Q11" s="11"/>
    </row>
    <row r="12" spans="1:17" x14ac:dyDescent="0.3">
      <c r="A12" s="14" t="s">
        <v>6</v>
      </c>
      <c r="B12">
        <v>8</v>
      </c>
      <c r="C12">
        <v>2</v>
      </c>
      <c r="D12">
        <v>0</v>
      </c>
      <c r="E12" s="11">
        <v>8000</v>
      </c>
      <c r="F12" s="11">
        <v>2000</v>
      </c>
      <c r="G12" s="11">
        <v>0</v>
      </c>
      <c r="H12">
        <v>10</v>
      </c>
      <c r="I12">
        <v>10000</v>
      </c>
      <c r="K12" s="14" t="s">
        <v>1</v>
      </c>
      <c r="L12">
        <v>19</v>
      </c>
      <c r="M12">
        <v>7</v>
      </c>
      <c r="N12">
        <v>9</v>
      </c>
      <c r="O12" s="11"/>
      <c r="P12" s="11"/>
      <c r="Q12" s="11"/>
    </row>
    <row r="13" spans="1:17" x14ac:dyDescent="0.3">
      <c r="A13" s="14" t="s">
        <v>7</v>
      </c>
      <c r="B13">
        <v>12</v>
      </c>
      <c r="C13">
        <v>1</v>
      </c>
      <c r="D13">
        <v>0</v>
      </c>
      <c r="E13" s="11">
        <v>8160</v>
      </c>
      <c r="F13" s="11">
        <v>680</v>
      </c>
      <c r="G13" s="11">
        <v>0</v>
      </c>
      <c r="H13">
        <v>13</v>
      </c>
      <c r="I13">
        <v>8840</v>
      </c>
      <c r="K13" s="14" t="s">
        <v>2</v>
      </c>
      <c r="L13">
        <v>27</v>
      </c>
      <c r="M13">
        <v>7</v>
      </c>
      <c r="N13">
        <v>7</v>
      </c>
      <c r="O13" s="11"/>
      <c r="P13" s="11"/>
      <c r="Q13" s="11"/>
    </row>
    <row r="14" spans="1:17" x14ac:dyDescent="0.3">
      <c r="A14" s="14" t="s">
        <v>10</v>
      </c>
      <c r="B14">
        <v>8</v>
      </c>
      <c r="C14">
        <v>10</v>
      </c>
      <c r="D14">
        <v>36</v>
      </c>
      <c r="E14" s="11">
        <v>11752</v>
      </c>
      <c r="F14" s="11">
        <v>14690</v>
      </c>
      <c r="G14" s="11">
        <v>52884</v>
      </c>
      <c r="H14">
        <v>54</v>
      </c>
      <c r="I14">
        <v>79326</v>
      </c>
      <c r="K14" s="14" t="s">
        <v>3</v>
      </c>
      <c r="L14">
        <v>6</v>
      </c>
      <c r="M14">
        <v>9</v>
      </c>
      <c r="N14">
        <v>1</v>
      </c>
      <c r="O14" s="11"/>
      <c r="P14" s="11"/>
      <c r="Q14" s="11"/>
    </row>
    <row r="15" spans="1:17" x14ac:dyDescent="0.3">
      <c r="A15" s="14" t="s">
        <v>11</v>
      </c>
      <c r="B15">
        <v>0</v>
      </c>
      <c r="C15">
        <v>0</v>
      </c>
      <c r="D15">
        <v>0</v>
      </c>
      <c r="E15" s="11">
        <v>0</v>
      </c>
      <c r="F15" s="11">
        <v>0</v>
      </c>
      <c r="G15" s="11">
        <v>0</v>
      </c>
      <c r="H15">
        <v>0</v>
      </c>
      <c r="I15">
        <v>0</v>
      </c>
      <c r="K15" s="14" t="s">
        <v>4</v>
      </c>
      <c r="L15">
        <v>0</v>
      </c>
      <c r="M15">
        <v>0</v>
      </c>
      <c r="N15">
        <v>10</v>
      </c>
      <c r="O15" s="11"/>
      <c r="P15" s="11"/>
      <c r="Q15" s="11"/>
    </row>
    <row r="16" spans="1:17" x14ac:dyDescent="0.3">
      <c r="A16" s="14" t="s">
        <v>12</v>
      </c>
      <c r="B16">
        <v>0</v>
      </c>
      <c r="C16">
        <v>0</v>
      </c>
      <c r="D16">
        <v>0</v>
      </c>
      <c r="E16" s="11">
        <v>0</v>
      </c>
      <c r="F16" s="11">
        <v>0</v>
      </c>
      <c r="G16" s="11">
        <v>0</v>
      </c>
      <c r="H16">
        <v>0</v>
      </c>
      <c r="I16">
        <v>0</v>
      </c>
      <c r="K16" s="14"/>
      <c r="O16" s="11"/>
      <c r="P16" s="11"/>
      <c r="Q16" s="11"/>
    </row>
    <row r="17" spans="1:17" x14ac:dyDescent="0.3">
      <c r="A17" s="14" t="s">
        <v>8</v>
      </c>
      <c r="B17">
        <v>0</v>
      </c>
      <c r="C17">
        <v>0</v>
      </c>
      <c r="D17">
        <v>0</v>
      </c>
      <c r="E17" s="11">
        <v>0</v>
      </c>
      <c r="F17" s="11">
        <v>0</v>
      </c>
      <c r="G17" s="11">
        <v>0</v>
      </c>
      <c r="H17">
        <v>0</v>
      </c>
      <c r="I17">
        <v>0</v>
      </c>
      <c r="K17" s="14"/>
      <c r="O17" s="11"/>
      <c r="P17" s="11"/>
      <c r="Q17" s="11"/>
    </row>
    <row r="18" spans="1:17" x14ac:dyDescent="0.3">
      <c r="A18" s="14" t="s">
        <v>9</v>
      </c>
      <c r="B18">
        <v>0</v>
      </c>
      <c r="C18">
        <v>0</v>
      </c>
      <c r="D18">
        <v>0</v>
      </c>
      <c r="E18" s="11">
        <v>0</v>
      </c>
      <c r="F18" s="11">
        <v>0</v>
      </c>
      <c r="G18" s="11">
        <v>0</v>
      </c>
      <c r="H18">
        <v>0</v>
      </c>
      <c r="I18">
        <v>0</v>
      </c>
      <c r="K18" s="14"/>
      <c r="O18" s="11"/>
      <c r="P18" s="11"/>
      <c r="Q18" s="11"/>
    </row>
    <row r="19" spans="1:17" x14ac:dyDescent="0.3">
      <c r="A19" s="14" t="s">
        <v>0</v>
      </c>
      <c r="B19">
        <v>3</v>
      </c>
      <c r="C19">
        <v>0</v>
      </c>
      <c r="D19">
        <v>1</v>
      </c>
      <c r="E19" s="11">
        <v>1647</v>
      </c>
      <c r="F19" s="11">
        <v>0</v>
      </c>
      <c r="G19" s="11">
        <v>549</v>
      </c>
      <c r="H19">
        <v>4</v>
      </c>
      <c r="I19">
        <v>2196</v>
      </c>
    </row>
    <row r="20" spans="1:17" x14ac:dyDescent="0.3">
      <c r="A20" s="14" t="s">
        <v>1</v>
      </c>
      <c r="B20">
        <v>19</v>
      </c>
      <c r="C20">
        <v>7</v>
      </c>
      <c r="D20">
        <v>9</v>
      </c>
      <c r="E20" s="11">
        <v>13281</v>
      </c>
      <c r="F20" s="11">
        <v>4893</v>
      </c>
      <c r="G20" s="11">
        <v>6291</v>
      </c>
      <c r="H20">
        <v>35</v>
      </c>
      <c r="I20">
        <v>24465</v>
      </c>
    </row>
    <row r="21" spans="1:17" x14ac:dyDescent="0.3">
      <c r="A21" s="14" t="s">
        <v>2</v>
      </c>
      <c r="B21">
        <v>27</v>
      </c>
      <c r="C21">
        <v>7</v>
      </c>
      <c r="D21">
        <v>7</v>
      </c>
      <c r="E21" s="11">
        <v>19953</v>
      </c>
      <c r="F21" s="11">
        <v>5173</v>
      </c>
      <c r="G21" s="11">
        <v>5173</v>
      </c>
      <c r="H21">
        <v>41</v>
      </c>
      <c r="I21">
        <v>30299</v>
      </c>
    </row>
    <row r="22" spans="1:17" x14ac:dyDescent="0.3">
      <c r="A22" s="14" t="s">
        <v>3</v>
      </c>
      <c r="B22">
        <v>6</v>
      </c>
      <c r="C22">
        <v>9</v>
      </c>
      <c r="D22">
        <v>1</v>
      </c>
      <c r="E22" s="11">
        <v>5394</v>
      </c>
      <c r="F22" s="11">
        <v>8091</v>
      </c>
      <c r="G22" s="11">
        <v>899</v>
      </c>
      <c r="H22">
        <v>16</v>
      </c>
      <c r="I22">
        <v>14384</v>
      </c>
    </row>
    <row r="23" spans="1:17" x14ac:dyDescent="0.3">
      <c r="A23" s="14" t="s">
        <v>4</v>
      </c>
      <c r="B23">
        <v>0</v>
      </c>
      <c r="C23">
        <v>0</v>
      </c>
      <c r="D23">
        <v>10</v>
      </c>
      <c r="E23" s="11">
        <v>0</v>
      </c>
      <c r="F23" s="11">
        <v>0</v>
      </c>
      <c r="G23" s="11">
        <v>13790</v>
      </c>
      <c r="H23">
        <v>10</v>
      </c>
      <c r="I23">
        <v>13790</v>
      </c>
    </row>
    <row r="24" spans="1:17" x14ac:dyDescent="0.3">
      <c r="A24" s="14" t="s">
        <v>60</v>
      </c>
      <c r="B24">
        <v>135</v>
      </c>
      <c r="C24">
        <v>42</v>
      </c>
      <c r="D24">
        <v>85</v>
      </c>
      <c r="E24">
        <v>112335</v>
      </c>
      <c r="F24">
        <v>40621</v>
      </c>
      <c r="G24">
        <v>97106</v>
      </c>
      <c r="H24">
        <v>262</v>
      </c>
      <c r="I24">
        <v>250062</v>
      </c>
    </row>
  </sheetData>
  <mergeCells count="3">
    <mergeCell ref="O4:Q4"/>
    <mergeCell ref="L4:N4"/>
    <mergeCell ref="K4:K5"/>
  </mergeCells>
  <pageMargins left="0.7" right="0.7" top="0.75" bottom="0.75" header="0.3" footer="0.3"/>
  <pageSetup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BFDF-6A56-426F-989F-9C7904DFCDB6}">
  <dimension ref="A3:K23"/>
  <sheetViews>
    <sheetView tabSelected="1" zoomScaleNormal="100" workbookViewId="0">
      <selection activeCell="H23" sqref="H23"/>
    </sheetView>
  </sheetViews>
  <sheetFormatPr defaultRowHeight="14.4" x14ac:dyDescent="0.3"/>
  <cols>
    <col min="1" max="2" width="15.5546875" bestFit="1" customWidth="1"/>
    <col min="3" max="4" width="6" bestFit="1" customWidth="1"/>
    <col min="5" max="5" width="10.6640625" bestFit="1" customWidth="1"/>
    <col min="7" max="7" width="10.44140625" bestFit="1" customWidth="1"/>
    <col min="9" max="11" width="10.44140625" bestFit="1" customWidth="1"/>
  </cols>
  <sheetData>
    <row r="3" spans="1:11" x14ac:dyDescent="0.3">
      <c r="A3" s="13" t="s">
        <v>61</v>
      </c>
      <c r="B3" s="13" t="s">
        <v>76</v>
      </c>
      <c r="H3" s="28" t="s">
        <v>19</v>
      </c>
      <c r="I3" s="28" t="s">
        <v>83</v>
      </c>
      <c r="J3" s="28"/>
      <c r="K3" s="28"/>
    </row>
    <row r="4" spans="1:11" x14ac:dyDescent="0.3">
      <c r="A4" s="13" t="s">
        <v>53</v>
      </c>
      <c r="B4" t="s">
        <v>57</v>
      </c>
      <c r="C4" t="s">
        <v>58</v>
      </c>
      <c r="D4" t="s">
        <v>59</v>
      </c>
      <c r="E4" t="s">
        <v>60</v>
      </c>
      <c r="G4" s="11"/>
      <c r="H4" s="28"/>
      <c r="I4" s="2" t="s">
        <v>80</v>
      </c>
      <c r="J4" s="2" t="s">
        <v>81</v>
      </c>
      <c r="K4" s="2" t="s">
        <v>82</v>
      </c>
    </row>
    <row r="5" spans="1:11" x14ac:dyDescent="0.3">
      <c r="A5" s="14" t="s">
        <v>13</v>
      </c>
      <c r="B5">
        <v>0</v>
      </c>
      <c r="C5">
        <v>0</v>
      </c>
      <c r="D5">
        <v>540</v>
      </c>
      <c r="E5">
        <v>540</v>
      </c>
      <c r="G5" s="11"/>
      <c r="H5" s="14" t="s">
        <v>13</v>
      </c>
      <c r="I5" s="11">
        <v>0</v>
      </c>
      <c r="J5" s="11">
        <v>0</v>
      </c>
      <c r="K5" s="11">
        <v>540</v>
      </c>
    </row>
    <row r="6" spans="1:11" x14ac:dyDescent="0.3">
      <c r="A6" s="14" t="s">
        <v>14</v>
      </c>
      <c r="B6">
        <v>0</v>
      </c>
      <c r="C6">
        <v>0</v>
      </c>
      <c r="D6">
        <v>0</v>
      </c>
      <c r="E6">
        <v>0</v>
      </c>
      <c r="G6" s="11"/>
      <c r="H6" s="14" t="s">
        <v>5</v>
      </c>
      <c r="I6" s="11">
        <v>44148</v>
      </c>
      <c r="J6" s="11">
        <v>5094</v>
      </c>
      <c r="K6" s="11">
        <v>16980</v>
      </c>
    </row>
    <row r="7" spans="1:11" x14ac:dyDescent="0.3">
      <c r="A7" s="14" t="s">
        <v>15</v>
      </c>
      <c r="B7">
        <v>0</v>
      </c>
      <c r="C7">
        <v>0</v>
      </c>
      <c r="D7">
        <v>0</v>
      </c>
      <c r="E7">
        <v>0</v>
      </c>
      <c r="G7" s="11"/>
      <c r="H7" s="14" t="s">
        <v>6</v>
      </c>
      <c r="I7" s="11">
        <v>8000</v>
      </c>
      <c r="J7" s="11">
        <v>2000</v>
      </c>
      <c r="K7" s="11">
        <v>0</v>
      </c>
    </row>
    <row r="8" spans="1:11" x14ac:dyDescent="0.3">
      <c r="A8" s="14" t="s">
        <v>16</v>
      </c>
      <c r="B8">
        <v>0</v>
      </c>
      <c r="C8">
        <v>0</v>
      </c>
      <c r="D8">
        <v>0</v>
      </c>
      <c r="E8">
        <v>0</v>
      </c>
      <c r="G8" s="11"/>
      <c r="H8" s="14" t="s">
        <v>7</v>
      </c>
      <c r="I8" s="11">
        <v>8160</v>
      </c>
      <c r="J8" s="11">
        <v>680</v>
      </c>
      <c r="K8" s="11">
        <v>0</v>
      </c>
    </row>
    <row r="9" spans="1:11" x14ac:dyDescent="0.3">
      <c r="A9" s="14" t="s">
        <v>17</v>
      </c>
      <c r="B9">
        <v>0</v>
      </c>
      <c r="C9">
        <v>0</v>
      </c>
      <c r="D9">
        <v>0</v>
      </c>
      <c r="E9">
        <v>0</v>
      </c>
      <c r="G9" s="11"/>
      <c r="H9" s="14" t="s">
        <v>10</v>
      </c>
      <c r="I9" s="11">
        <v>11752</v>
      </c>
      <c r="J9" s="11">
        <v>14690</v>
      </c>
      <c r="K9" s="11">
        <v>52884</v>
      </c>
    </row>
    <row r="10" spans="1:11" x14ac:dyDescent="0.3">
      <c r="A10" s="14" t="s">
        <v>5</v>
      </c>
      <c r="B10">
        <v>44148</v>
      </c>
      <c r="C10">
        <v>5094</v>
      </c>
      <c r="D10">
        <v>16980</v>
      </c>
      <c r="E10">
        <v>66222</v>
      </c>
      <c r="G10" s="11"/>
      <c r="H10" s="14" t="s">
        <v>0</v>
      </c>
      <c r="I10" s="11">
        <v>1647</v>
      </c>
      <c r="J10" s="11">
        <v>0</v>
      </c>
      <c r="K10" s="11">
        <v>549</v>
      </c>
    </row>
    <row r="11" spans="1:11" x14ac:dyDescent="0.3">
      <c r="A11" s="14" t="s">
        <v>6</v>
      </c>
      <c r="B11">
        <v>8000</v>
      </c>
      <c r="C11">
        <v>2000</v>
      </c>
      <c r="D11">
        <v>0</v>
      </c>
      <c r="E11">
        <v>10000</v>
      </c>
      <c r="G11" s="11"/>
      <c r="H11" s="14" t="s">
        <v>1</v>
      </c>
      <c r="I11" s="11">
        <v>13281</v>
      </c>
      <c r="J11" s="11">
        <v>4893</v>
      </c>
      <c r="K11" s="11">
        <v>6291</v>
      </c>
    </row>
    <row r="12" spans="1:11" x14ac:dyDescent="0.3">
      <c r="A12" s="14" t="s">
        <v>7</v>
      </c>
      <c r="B12">
        <v>8160</v>
      </c>
      <c r="C12">
        <v>680</v>
      </c>
      <c r="D12">
        <v>0</v>
      </c>
      <c r="E12">
        <v>8840</v>
      </c>
      <c r="G12" s="11"/>
      <c r="H12" s="14" t="s">
        <v>2</v>
      </c>
      <c r="I12" s="11">
        <v>19953</v>
      </c>
      <c r="J12" s="11">
        <v>5173</v>
      </c>
      <c r="K12" s="11">
        <v>5173</v>
      </c>
    </row>
    <row r="13" spans="1:11" x14ac:dyDescent="0.3">
      <c r="A13" s="14" t="s">
        <v>10</v>
      </c>
      <c r="B13">
        <v>11752</v>
      </c>
      <c r="C13">
        <v>14690</v>
      </c>
      <c r="D13">
        <v>52884</v>
      </c>
      <c r="E13">
        <v>79326</v>
      </c>
      <c r="G13" s="11"/>
      <c r="H13" s="14" t="s">
        <v>3</v>
      </c>
      <c r="I13" s="11">
        <v>5394</v>
      </c>
      <c r="J13" s="11">
        <v>8091</v>
      </c>
      <c r="K13" s="11">
        <v>899</v>
      </c>
    </row>
    <row r="14" spans="1:11" x14ac:dyDescent="0.3">
      <c r="A14" s="14" t="s">
        <v>11</v>
      </c>
      <c r="B14">
        <v>0</v>
      </c>
      <c r="C14">
        <v>0</v>
      </c>
      <c r="D14">
        <v>0</v>
      </c>
      <c r="E14">
        <v>0</v>
      </c>
      <c r="G14" s="11"/>
      <c r="H14" s="14" t="s">
        <v>4</v>
      </c>
      <c r="I14" s="11">
        <v>0</v>
      </c>
      <c r="J14" s="11">
        <v>0</v>
      </c>
      <c r="K14" s="11">
        <v>13790</v>
      </c>
    </row>
    <row r="15" spans="1:11" x14ac:dyDescent="0.3">
      <c r="A15" s="14" t="s">
        <v>12</v>
      </c>
      <c r="B15">
        <v>0</v>
      </c>
      <c r="C15">
        <v>0</v>
      </c>
      <c r="D15">
        <v>0</v>
      </c>
      <c r="E15">
        <v>0</v>
      </c>
      <c r="G15" s="11"/>
      <c r="H15" s="14"/>
    </row>
    <row r="16" spans="1:11" x14ac:dyDescent="0.3">
      <c r="A16" s="14" t="s">
        <v>8</v>
      </c>
      <c r="B16">
        <v>0</v>
      </c>
      <c r="C16">
        <v>0</v>
      </c>
      <c r="D16">
        <v>0</v>
      </c>
      <c r="E16">
        <v>0</v>
      </c>
      <c r="G16" s="11"/>
      <c r="H16" s="14"/>
    </row>
    <row r="17" spans="1:8" x14ac:dyDescent="0.3">
      <c r="A17" s="14" t="s">
        <v>9</v>
      </c>
      <c r="B17">
        <v>0</v>
      </c>
      <c r="C17">
        <v>0</v>
      </c>
      <c r="D17">
        <v>0</v>
      </c>
      <c r="E17">
        <v>0</v>
      </c>
      <c r="G17" s="11"/>
      <c r="H17" s="14"/>
    </row>
    <row r="18" spans="1:8" x14ac:dyDescent="0.3">
      <c r="A18" s="14" t="s">
        <v>0</v>
      </c>
      <c r="B18">
        <v>1647</v>
      </c>
      <c r="C18">
        <v>0</v>
      </c>
      <c r="D18">
        <v>549</v>
      </c>
      <c r="E18">
        <v>2196</v>
      </c>
      <c r="G18" s="11"/>
    </row>
    <row r="19" spans="1:8" x14ac:dyDescent="0.3">
      <c r="A19" s="14" t="s">
        <v>1</v>
      </c>
      <c r="B19">
        <v>13281</v>
      </c>
      <c r="C19">
        <v>4893</v>
      </c>
      <c r="D19">
        <v>6291</v>
      </c>
      <c r="E19">
        <v>24465</v>
      </c>
      <c r="G19" s="11"/>
    </row>
    <row r="20" spans="1:8" x14ac:dyDescent="0.3">
      <c r="A20" s="14" t="s">
        <v>2</v>
      </c>
      <c r="B20">
        <v>19953</v>
      </c>
      <c r="C20">
        <v>5173</v>
      </c>
      <c r="D20">
        <v>5173</v>
      </c>
      <c r="E20">
        <v>30299</v>
      </c>
      <c r="G20" s="11"/>
    </row>
    <row r="21" spans="1:8" x14ac:dyDescent="0.3">
      <c r="A21" s="14" t="s">
        <v>3</v>
      </c>
      <c r="B21">
        <v>5394</v>
      </c>
      <c r="C21">
        <v>8091</v>
      </c>
      <c r="D21">
        <v>899</v>
      </c>
      <c r="E21">
        <v>14384</v>
      </c>
      <c r="G21" s="11"/>
    </row>
    <row r="22" spans="1:8" x14ac:dyDescent="0.3">
      <c r="A22" s="14" t="s">
        <v>4</v>
      </c>
      <c r="B22">
        <v>0</v>
      </c>
      <c r="C22">
        <v>0</v>
      </c>
      <c r="D22">
        <v>13790</v>
      </c>
      <c r="E22">
        <v>13790</v>
      </c>
    </row>
    <row r="23" spans="1:8" x14ac:dyDescent="0.3">
      <c r="A23" s="14" t="s">
        <v>60</v>
      </c>
      <c r="B23">
        <v>112335</v>
      </c>
      <c r="C23">
        <v>40621</v>
      </c>
      <c r="D23">
        <v>97106</v>
      </c>
      <c r="E23">
        <v>250062</v>
      </c>
    </row>
  </sheetData>
  <mergeCells count="2">
    <mergeCell ref="I3:K3"/>
    <mergeCell ref="H3:H4"/>
  </mergeCells>
  <pageMargins left="0.7" right="0.7" top="0.75" bottom="0.75" header="0.3" footer="0.3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5D99-8A8E-422E-9EC8-07D51157D4B8}">
  <dimension ref="A3:G22"/>
  <sheetViews>
    <sheetView zoomScaleNormal="100" workbookViewId="0">
      <selection activeCell="R10" sqref="R10"/>
    </sheetView>
  </sheetViews>
  <sheetFormatPr defaultRowHeight="14.4" x14ac:dyDescent="0.3"/>
  <cols>
    <col min="1" max="2" width="12.5546875" bestFit="1" customWidth="1"/>
    <col min="3" max="3" width="15.5546875" bestFit="1" customWidth="1"/>
    <col min="7" max="7" width="11.44140625" bestFit="1" customWidth="1"/>
  </cols>
  <sheetData>
    <row r="3" spans="1:7" x14ac:dyDescent="0.3">
      <c r="A3" s="13" t="s">
        <v>53</v>
      </c>
      <c r="B3" t="s">
        <v>54</v>
      </c>
      <c r="C3" t="s">
        <v>61</v>
      </c>
      <c r="E3" s="2" t="s">
        <v>84</v>
      </c>
      <c r="F3" s="2" t="s">
        <v>79</v>
      </c>
      <c r="G3" s="2" t="s">
        <v>85</v>
      </c>
    </row>
    <row r="4" spans="1:7" x14ac:dyDescent="0.3">
      <c r="A4" s="14" t="s">
        <v>13</v>
      </c>
      <c r="B4">
        <v>1</v>
      </c>
      <c r="C4">
        <v>540</v>
      </c>
      <c r="E4" s="14" t="s">
        <v>13</v>
      </c>
      <c r="F4">
        <v>1</v>
      </c>
      <c r="G4" s="11">
        <v>540</v>
      </c>
    </row>
    <row r="5" spans="1:7" x14ac:dyDescent="0.3">
      <c r="A5" s="14" t="s">
        <v>14</v>
      </c>
      <c r="B5">
        <v>0</v>
      </c>
      <c r="C5">
        <v>0</v>
      </c>
      <c r="E5" s="14" t="s">
        <v>14</v>
      </c>
      <c r="F5">
        <v>0</v>
      </c>
      <c r="G5" s="11">
        <v>0</v>
      </c>
    </row>
    <row r="6" spans="1:7" x14ac:dyDescent="0.3">
      <c r="A6" s="14" t="s">
        <v>15</v>
      </c>
      <c r="B6">
        <v>0</v>
      </c>
      <c r="C6">
        <v>0</v>
      </c>
      <c r="E6" s="14" t="s">
        <v>15</v>
      </c>
      <c r="F6">
        <v>0</v>
      </c>
      <c r="G6" s="11">
        <v>0</v>
      </c>
    </row>
    <row r="7" spans="1:7" x14ac:dyDescent="0.3">
      <c r="A7" s="14" t="s">
        <v>16</v>
      </c>
      <c r="B7">
        <v>0</v>
      </c>
      <c r="C7">
        <v>0</v>
      </c>
      <c r="E7" s="14" t="s">
        <v>16</v>
      </c>
      <c r="F7">
        <v>0</v>
      </c>
      <c r="G7" s="11">
        <v>0</v>
      </c>
    </row>
    <row r="8" spans="1:7" x14ac:dyDescent="0.3">
      <c r="A8" s="14" t="s">
        <v>17</v>
      </c>
      <c r="B8">
        <v>0</v>
      </c>
      <c r="C8">
        <v>0</v>
      </c>
      <c r="E8" s="14" t="s">
        <v>17</v>
      </c>
      <c r="F8">
        <v>0</v>
      </c>
      <c r="G8" s="11">
        <v>0</v>
      </c>
    </row>
    <row r="9" spans="1:7" x14ac:dyDescent="0.3">
      <c r="A9" s="14" t="s">
        <v>5</v>
      </c>
      <c r="B9">
        <v>78</v>
      </c>
      <c r="C9">
        <v>66222</v>
      </c>
      <c r="E9" s="14" t="s">
        <v>5</v>
      </c>
      <c r="F9">
        <v>78</v>
      </c>
      <c r="G9" s="11">
        <v>66222</v>
      </c>
    </row>
    <row r="10" spans="1:7" x14ac:dyDescent="0.3">
      <c r="A10" s="14" t="s">
        <v>6</v>
      </c>
      <c r="B10">
        <v>10</v>
      </c>
      <c r="C10">
        <v>10000</v>
      </c>
      <c r="E10" s="14" t="s">
        <v>6</v>
      </c>
      <c r="F10">
        <v>10</v>
      </c>
      <c r="G10" s="11">
        <v>10000</v>
      </c>
    </row>
    <row r="11" spans="1:7" x14ac:dyDescent="0.3">
      <c r="A11" s="14" t="s">
        <v>7</v>
      </c>
      <c r="B11">
        <v>13</v>
      </c>
      <c r="C11">
        <v>8840</v>
      </c>
      <c r="E11" s="14" t="s">
        <v>7</v>
      </c>
      <c r="F11">
        <v>13</v>
      </c>
      <c r="G11" s="11">
        <v>8840</v>
      </c>
    </row>
    <row r="12" spans="1:7" x14ac:dyDescent="0.3">
      <c r="A12" s="14" t="s">
        <v>10</v>
      </c>
      <c r="B12">
        <v>54</v>
      </c>
      <c r="C12">
        <v>79326</v>
      </c>
      <c r="E12" s="14" t="s">
        <v>10</v>
      </c>
      <c r="F12">
        <v>54</v>
      </c>
      <c r="G12" s="11">
        <v>79326</v>
      </c>
    </row>
    <row r="13" spans="1:7" x14ac:dyDescent="0.3">
      <c r="A13" s="14" t="s">
        <v>11</v>
      </c>
      <c r="B13">
        <v>0</v>
      </c>
      <c r="C13">
        <v>0</v>
      </c>
      <c r="E13" s="14" t="s">
        <v>11</v>
      </c>
      <c r="F13">
        <v>0</v>
      </c>
      <c r="G13" s="11">
        <v>0</v>
      </c>
    </row>
    <row r="14" spans="1:7" x14ac:dyDescent="0.3">
      <c r="A14" s="14" t="s">
        <v>12</v>
      </c>
      <c r="B14">
        <v>0</v>
      </c>
      <c r="C14">
        <v>0</v>
      </c>
      <c r="E14" s="14" t="s">
        <v>12</v>
      </c>
      <c r="F14">
        <v>0</v>
      </c>
      <c r="G14" s="11">
        <v>0</v>
      </c>
    </row>
    <row r="15" spans="1:7" x14ac:dyDescent="0.3">
      <c r="A15" s="14" t="s">
        <v>8</v>
      </c>
      <c r="B15">
        <v>0</v>
      </c>
      <c r="C15">
        <v>0</v>
      </c>
      <c r="E15" s="14" t="s">
        <v>8</v>
      </c>
      <c r="F15">
        <v>0</v>
      </c>
      <c r="G15" s="11">
        <v>0</v>
      </c>
    </row>
    <row r="16" spans="1:7" x14ac:dyDescent="0.3">
      <c r="A16" s="14" t="s">
        <v>9</v>
      </c>
      <c r="B16">
        <v>0</v>
      </c>
      <c r="C16">
        <v>0</v>
      </c>
      <c r="E16" s="14" t="s">
        <v>9</v>
      </c>
      <c r="F16">
        <v>0</v>
      </c>
      <c r="G16" s="11">
        <v>0</v>
      </c>
    </row>
    <row r="17" spans="1:7" x14ac:dyDescent="0.3">
      <c r="A17" s="14" t="s">
        <v>0</v>
      </c>
      <c r="B17">
        <v>4</v>
      </c>
      <c r="C17">
        <v>2196</v>
      </c>
      <c r="E17" s="14" t="s">
        <v>0</v>
      </c>
      <c r="F17">
        <v>4</v>
      </c>
      <c r="G17" s="11">
        <v>2196</v>
      </c>
    </row>
    <row r="18" spans="1:7" x14ac:dyDescent="0.3">
      <c r="A18" s="14" t="s">
        <v>1</v>
      </c>
      <c r="B18">
        <v>35</v>
      </c>
      <c r="C18">
        <v>24465</v>
      </c>
      <c r="E18" s="14" t="s">
        <v>1</v>
      </c>
      <c r="F18">
        <v>35</v>
      </c>
      <c r="G18" s="11">
        <v>24465</v>
      </c>
    </row>
    <row r="19" spans="1:7" x14ac:dyDescent="0.3">
      <c r="A19" s="14" t="s">
        <v>2</v>
      </c>
      <c r="B19">
        <v>41</v>
      </c>
      <c r="C19">
        <v>30299</v>
      </c>
      <c r="E19" s="14" t="s">
        <v>2</v>
      </c>
      <c r="F19">
        <v>41</v>
      </c>
      <c r="G19" s="11">
        <v>30299</v>
      </c>
    </row>
    <row r="20" spans="1:7" x14ac:dyDescent="0.3">
      <c r="A20" s="14" t="s">
        <v>3</v>
      </c>
      <c r="B20">
        <v>16</v>
      </c>
      <c r="C20">
        <v>14384</v>
      </c>
      <c r="E20" s="14" t="s">
        <v>3</v>
      </c>
      <c r="F20">
        <v>16</v>
      </c>
      <c r="G20" s="11">
        <v>14384</v>
      </c>
    </row>
    <row r="21" spans="1:7" x14ac:dyDescent="0.3">
      <c r="A21" s="14" t="s">
        <v>4</v>
      </c>
      <c r="B21">
        <v>10</v>
      </c>
      <c r="C21">
        <v>13790</v>
      </c>
      <c r="E21" s="14" t="s">
        <v>4</v>
      </c>
      <c r="F21">
        <v>10</v>
      </c>
      <c r="G21" s="11">
        <v>13790</v>
      </c>
    </row>
    <row r="22" spans="1:7" x14ac:dyDescent="0.3">
      <c r="A22" s="14" t="s">
        <v>60</v>
      </c>
      <c r="B22">
        <v>262</v>
      </c>
      <c r="C22">
        <v>250062</v>
      </c>
    </row>
  </sheetData>
  <pageMargins left="0.7" right="0.7" top="0.75" bottom="0.75" header="0.3" footer="0.3"/>
  <pageSetup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5954-EFB3-40CE-9CA6-2186B6E95739}">
  <dimension ref="A3:E22"/>
  <sheetViews>
    <sheetView topLeftCell="D1" workbookViewId="0">
      <selection activeCell="Q10" sqref="Q10"/>
    </sheetView>
  </sheetViews>
  <sheetFormatPr defaultRowHeight="14.4" x14ac:dyDescent="0.3"/>
  <cols>
    <col min="1" max="1" width="12.5546875" bestFit="1" customWidth="1"/>
    <col min="2" max="3" width="13.5546875" bestFit="1" customWidth="1"/>
    <col min="5" max="5" width="10.44140625" bestFit="1" customWidth="1"/>
  </cols>
  <sheetData>
    <row r="3" spans="1:5" x14ac:dyDescent="0.3">
      <c r="A3" s="13" t="s">
        <v>53</v>
      </c>
      <c r="B3" t="s">
        <v>86</v>
      </c>
      <c r="D3" s="2" t="s">
        <v>84</v>
      </c>
      <c r="E3" s="2" t="s">
        <v>87</v>
      </c>
    </row>
    <row r="4" spans="1:5" x14ac:dyDescent="0.3">
      <c r="A4" s="14" t="s">
        <v>13</v>
      </c>
      <c r="B4">
        <v>143</v>
      </c>
      <c r="D4" s="14" t="s">
        <v>13</v>
      </c>
      <c r="E4" s="11">
        <v>143</v>
      </c>
    </row>
    <row r="5" spans="1:5" x14ac:dyDescent="0.3">
      <c r="A5" s="14" t="s">
        <v>14</v>
      </c>
      <c r="B5">
        <v>0</v>
      </c>
      <c r="D5" s="14" t="s">
        <v>5</v>
      </c>
      <c r="E5" s="11">
        <v>24882</v>
      </c>
    </row>
    <row r="6" spans="1:5" x14ac:dyDescent="0.3">
      <c r="A6" s="14" t="s">
        <v>15</v>
      </c>
      <c r="B6">
        <v>0</v>
      </c>
      <c r="D6" s="14" t="s">
        <v>6</v>
      </c>
      <c r="E6" s="11">
        <v>2320</v>
      </c>
    </row>
    <row r="7" spans="1:5" x14ac:dyDescent="0.3">
      <c r="A7" s="14" t="s">
        <v>16</v>
      </c>
      <c r="B7">
        <v>0</v>
      </c>
      <c r="D7" s="14" t="s">
        <v>7</v>
      </c>
      <c r="E7" s="11">
        <v>1430</v>
      </c>
    </row>
    <row r="8" spans="1:5" x14ac:dyDescent="0.3">
      <c r="A8" s="14" t="s">
        <v>17</v>
      </c>
      <c r="B8">
        <v>0</v>
      </c>
      <c r="D8" s="14" t="s">
        <v>10</v>
      </c>
      <c r="E8" s="11">
        <v>15390</v>
      </c>
    </row>
    <row r="9" spans="1:5" x14ac:dyDescent="0.3">
      <c r="A9" s="14" t="s">
        <v>5</v>
      </c>
      <c r="B9">
        <v>24882</v>
      </c>
      <c r="D9" s="14" t="s">
        <v>0</v>
      </c>
      <c r="E9" s="11">
        <v>736</v>
      </c>
    </row>
    <row r="10" spans="1:5" x14ac:dyDescent="0.3">
      <c r="A10" s="14" t="s">
        <v>6</v>
      </c>
      <c r="B10">
        <v>2320</v>
      </c>
      <c r="D10" s="14" t="s">
        <v>1</v>
      </c>
      <c r="E10" s="11">
        <v>5215</v>
      </c>
    </row>
    <row r="11" spans="1:5" x14ac:dyDescent="0.3">
      <c r="A11" s="14" t="s">
        <v>7</v>
      </c>
      <c r="B11">
        <v>1430</v>
      </c>
      <c r="D11" s="14" t="s">
        <v>2</v>
      </c>
      <c r="E11" s="11">
        <v>4879</v>
      </c>
    </row>
    <row r="12" spans="1:5" x14ac:dyDescent="0.3">
      <c r="A12" s="14" t="s">
        <v>10</v>
      </c>
      <c r="B12">
        <v>15390</v>
      </c>
      <c r="D12" s="14" t="s">
        <v>3</v>
      </c>
      <c r="E12" s="11">
        <v>2960</v>
      </c>
    </row>
    <row r="13" spans="1:5" x14ac:dyDescent="0.3">
      <c r="A13" s="14" t="s">
        <v>11</v>
      </c>
      <c r="B13">
        <v>0</v>
      </c>
      <c r="D13" s="14" t="s">
        <v>4</v>
      </c>
      <c r="E13" s="11">
        <v>4890</v>
      </c>
    </row>
    <row r="14" spans="1:5" x14ac:dyDescent="0.3">
      <c r="A14" s="14" t="s">
        <v>12</v>
      </c>
      <c r="B14">
        <v>0</v>
      </c>
      <c r="D14" s="14"/>
      <c r="E14" s="11"/>
    </row>
    <row r="15" spans="1:5" x14ac:dyDescent="0.3">
      <c r="A15" s="14" t="s">
        <v>8</v>
      </c>
      <c r="B15">
        <v>0</v>
      </c>
      <c r="D15" s="14"/>
      <c r="E15" s="11"/>
    </row>
    <row r="16" spans="1:5" x14ac:dyDescent="0.3">
      <c r="A16" s="14" t="s">
        <v>9</v>
      </c>
      <c r="B16">
        <v>0</v>
      </c>
      <c r="D16" s="14"/>
      <c r="E16" s="11"/>
    </row>
    <row r="17" spans="1:2" x14ac:dyDescent="0.3">
      <c r="A17" s="14" t="s">
        <v>0</v>
      </c>
      <c r="B17">
        <v>736</v>
      </c>
    </row>
    <row r="18" spans="1:2" x14ac:dyDescent="0.3">
      <c r="A18" s="14" t="s">
        <v>1</v>
      </c>
      <c r="B18">
        <v>5215</v>
      </c>
    </row>
    <row r="19" spans="1:2" x14ac:dyDescent="0.3">
      <c r="A19" s="14" t="s">
        <v>2</v>
      </c>
      <c r="B19">
        <v>4879</v>
      </c>
    </row>
    <row r="20" spans="1:2" x14ac:dyDescent="0.3">
      <c r="A20" s="14" t="s">
        <v>3</v>
      </c>
      <c r="B20">
        <v>2960</v>
      </c>
    </row>
    <row r="21" spans="1:2" x14ac:dyDescent="0.3">
      <c r="A21" s="14" t="s">
        <v>4</v>
      </c>
      <c r="B21">
        <v>4890</v>
      </c>
    </row>
    <row r="22" spans="1:2" x14ac:dyDescent="0.3">
      <c r="A22" s="14" t="s">
        <v>60</v>
      </c>
      <c r="B22">
        <v>62845</v>
      </c>
    </row>
  </sheetData>
  <sortState xmlns:xlrd2="http://schemas.microsoft.com/office/spreadsheetml/2017/richdata2" ref="D4:E13">
    <sortCondition ref="D4:D13"/>
  </sortState>
  <pageMargins left="0.7" right="0.7" top="0.75" bottom="0.75" header="0.3" footer="0.3"/>
  <pageSetup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EC0E-6B60-4DA3-8DA3-5585F91958D1}">
  <dimension ref="A2:N20"/>
  <sheetViews>
    <sheetView topLeftCell="F1" workbookViewId="0">
      <selection activeCell="G4" sqref="G4"/>
    </sheetView>
  </sheetViews>
  <sheetFormatPr defaultRowHeight="14.4" x14ac:dyDescent="0.3"/>
  <cols>
    <col min="2" max="2" width="13.6640625" bestFit="1" customWidth="1"/>
    <col min="3" max="3" width="14" bestFit="1" customWidth="1"/>
    <col min="4" max="4" width="23.5546875" bestFit="1" customWidth="1"/>
    <col min="7" max="7" width="10.44140625" customWidth="1"/>
    <col min="8" max="8" width="25.109375" customWidth="1"/>
  </cols>
  <sheetData>
    <row r="2" spans="1:14" x14ac:dyDescent="0.3">
      <c r="A2" s="2" t="s">
        <v>84</v>
      </c>
      <c r="B2" s="2" t="s">
        <v>88</v>
      </c>
      <c r="C2" s="2" t="s">
        <v>89</v>
      </c>
      <c r="D2" s="2" t="s">
        <v>90</v>
      </c>
      <c r="G2" s="2" t="s">
        <v>84</v>
      </c>
      <c r="H2" s="2" t="s">
        <v>90</v>
      </c>
    </row>
    <row r="3" spans="1:14" x14ac:dyDescent="0.3">
      <c r="A3" s="2" t="s">
        <v>0</v>
      </c>
      <c r="B3" s="20">
        <f>AVERAGEIF('Stock Inventory'!$C$2:$N$2,"Opening Stock",'Stock Inventory'!$C3:$N3)</f>
        <v>23</v>
      </c>
      <c r="C3">
        <v>1.33</v>
      </c>
      <c r="D3" s="21">
        <f>IF(C3=0,"Max ",B3/C3)</f>
        <v>17.293233082706767</v>
      </c>
      <c r="G3" s="2" t="s">
        <v>13</v>
      </c>
      <c r="H3" s="21">
        <v>20.2</v>
      </c>
      <c r="J3" s="14"/>
      <c r="N3" s="19"/>
    </row>
    <row r="4" spans="1:14" x14ac:dyDescent="0.3">
      <c r="A4" s="2" t="s">
        <v>1</v>
      </c>
      <c r="B4" s="20">
        <f>AVERAGEIF('Stock Inventory'!$C$2:$N$2,"Opening Stock",'Stock Inventory'!$C4:$N4)</f>
        <v>46.666666666666664</v>
      </c>
      <c r="C4">
        <v>11.67</v>
      </c>
      <c r="D4" s="21">
        <f t="shared" ref="D4:D20" si="0">IF(C4=0,"Max ",B4/C4)</f>
        <v>3.9988574692944869</v>
      </c>
      <c r="G4" s="2" t="s">
        <v>14</v>
      </c>
      <c r="H4" s="24" t="s">
        <v>91</v>
      </c>
      <c r="J4" s="14"/>
      <c r="N4" s="19"/>
    </row>
    <row r="5" spans="1:14" x14ac:dyDescent="0.3">
      <c r="A5" s="2" t="s">
        <v>2</v>
      </c>
      <c r="B5" s="20">
        <f>AVERAGEIF('Stock Inventory'!$C$2:$N$2,"Opening Stock",'Stock Inventory'!$C5:$N5)</f>
        <v>57.333333333333336</v>
      </c>
      <c r="C5">
        <v>13.67</v>
      </c>
      <c r="D5" s="21">
        <f t="shared" si="0"/>
        <v>4.1940990002438427</v>
      </c>
      <c r="G5" s="2" t="s">
        <v>15</v>
      </c>
      <c r="H5" s="24" t="s">
        <v>91</v>
      </c>
      <c r="J5" s="14"/>
      <c r="N5" s="19"/>
    </row>
    <row r="6" spans="1:14" x14ac:dyDescent="0.3">
      <c r="A6" s="2" t="s">
        <v>3</v>
      </c>
      <c r="B6" s="20">
        <f>AVERAGEIF('Stock Inventory'!$C$2:$N$2,"Opening Stock",'Stock Inventory'!$C6:$N6)</f>
        <v>23</v>
      </c>
      <c r="C6">
        <v>5.33</v>
      </c>
      <c r="D6" s="21">
        <f t="shared" si="0"/>
        <v>4.3151969981238274</v>
      </c>
      <c r="G6" s="2" t="s">
        <v>16</v>
      </c>
      <c r="H6" s="24" t="s">
        <v>91</v>
      </c>
      <c r="J6" s="14"/>
      <c r="N6" s="19"/>
    </row>
    <row r="7" spans="1:14" x14ac:dyDescent="0.3">
      <c r="A7" s="2" t="s">
        <v>4</v>
      </c>
      <c r="B7" s="20">
        <f>AVERAGEIF('Stock Inventory'!$C$2:$N$2,"Opening Stock",'Stock Inventory'!$C7:$N7)</f>
        <v>16.333333333333332</v>
      </c>
      <c r="C7">
        <v>3.33</v>
      </c>
      <c r="D7" s="21">
        <f t="shared" si="0"/>
        <v>4.9049049049049041</v>
      </c>
      <c r="G7" s="2" t="s">
        <v>17</v>
      </c>
      <c r="H7" s="24" t="s">
        <v>91</v>
      </c>
      <c r="J7" s="14"/>
      <c r="N7" s="19"/>
    </row>
    <row r="8" spans="1:14" x14ac:dyDescent="0.3">
      <c r="A8" s="2" t="s">
        <v>5</v>
      </c>
      <c r="B8" s="20">
        <f>AVERAGEIF('Stock Inventory'!$C$2:$N$2,"Opening Stock",'Stock Inventory'!$C8:$N8)</f>
        <v>130</v>
      </c>
      <c r="C8">
        <v>26</v>
      </c>
      <c r="D8" s="21">
        <f t="shared" si="0"/>
        <v>5</v>
      </c>
      <c r="G8" s="2" t="s">
        <v>5</v>
      </c>
      <c r="H8" s="21">
        <v>5</v>
      </c>
      <c r="J8" s="14"/>
      <c r="N8" s="19"/>
    </row>
    <row r="9" spans="1:14" x14ac:dyDescent="0.3">
      <c r="A9" s="2" t="s">
        <v>6</v>
      </c>
      <c r="B9" s="20">
        <f>AVERAGEIF('Stock Inventory'!$C$2:$N$2,"Opening Stock",'Stock Inventory'!$C9:$N9)</f>
        <v>43</v>
      </c>
      <c r="C9">
        <v>3.33</v>
      </c>
      <c r="D9" s="21">
        <f t="shared" si="0"/>
        <v>12.912912912912912</v>
      </c>
      <c r="G9" s="2" t="s">
        <v>6</v>
      </c>
      <c r="H9" s="21">
        <v>12.912912912912912</v>
      </c>
      <c r="J9" s="14"/>
      <c r="N9" s="19"/>
    </row>
    <row r="10" spans="1:14" x14ac:dyDescent="0.3">
      <c r="A10" s="2" t="s">
        <v>7</v>
      </c>
      <c r="B10" s="20">
        <f>AVERAGEIF('Stock Inventory'!$C$2:$N$2,"Opening Stock",'Stock Inventory'!$C10:$N10)</f>
        <v>27.666666666666668</v>
      </c>
      <c r="C10">
        <v>4.33</v>
      </c>
      <c r="D10" s="21">
        <f t="shared" si="0"/>
        <v>6.3895304080061583</v>
      </c>
      <c r="G10" s="2" t="s">
        <v>7</v>
      </c>
      <c r="H10" s="21">
        <v>6.3895304080061583</v>
      </c>
      <c r="J10" s="14"/>
      <c r="N10" s="19"/>
    </row>
    <row r="11" spans="1:14" x14ac:dyDescent="0.3">
      <c r="A11" s="2" t="s">
        <v>8</v>
      </c>
      <c r="B11" s="20">
        <f>AVERAGEIF('Stock Inventory'!$C$2:$N$2,"Opening Stock",'Stock Inventory'!$C11:$N11)</f>
        <v>15</v>
      </c>
      <c r="C11">
        <v>0</v>
      </c>
      <c r="D11" s="22" t="str">
        <f t="shared" si="0"/>
        <v xml:space="preserve">Max </v>
      </c>
      <c r="G11" s="2" t="s">
        <v>10</v>
      </c>
      <c r="H11" s="21">
        <v>3.69</v>
      </c>
      <c r="J11" s="14"/>
      <c r="N11" s="19"/>
    </row>
    <row r="12" spans="1:14" x14ac:dyDescent="0.3">
      <c r="A12" s="2" t="s">
        <v>9</v>
      </c>
      <c r="B12" s="20">
        <f>AVERAGEIF('Stock Inventory'!$C$2:$N$2,"Opening Stock",'Stock Inventory'!$C12:$N12)</f>
        <v>10</v>
      </c>
      <c r="C12">
        <v>0</v>
      </c>
      <c r="D12" s="22" t="str">
        <f t="shared" si="0"/>
        <v xml:space="preserve">Max </v>
      </c>
      <c r="G12" s="2" t="s">
        <v>11</v>
      </c>
      <c r="H12" s="24" t="s">
        <v>91</v>
      </c>
      <c r="J12" s="14"/>
      <c r="N12" s="19"/>
    </row>
    <row r="13" spans="1:14" x14ac:dyDescent="0.3">
      <c r="A13" s="2" t="s">
        <v>10</v>
      </c>
      <c r="B13" s="20">
        <f>AVERAGEIF('Stock Inventory'!$C$2:$N$2,"Opening Stock",'Stock Inventory'!$C13:$N13)</f>
        <v>66.333333333333329</v>
      </c>
      <c r="C13">
        <v>18</v>
      </c>
      <c r="D13" s="23">
        <f t="shared" si="0"/>
        <v>3.6851851851851851</v>
      </c>
      <c r="G13" s="2" t="s">
        <v>12</v>
      </c>
      <c r="H13" s="24" t="s">
        <v>91</v>
      </c>
      <c r="J13" s="14"/>
      <c r="N13" s="19"/>
    </row>
    <row r="14" spans="1:14" x14ac:dyDescent="0.3">
      <c r="A14" s="2" t="s">
        <v>11</v>
      </c>
      <c r="B14" s="20">
        <f>AVERAGEIF('Stock Inventory'!$C$2:$N$2,"Opening Stock",'Stock Inventory'!$C14:$N14)</f>
        <v>16</v>
      </c>
      <c r="C14">
        <v>0</v>
      </c>
      <c r="D14" s="22" t="str">
        <f t="shared" si="0"/>
        <v xml:space="preserve">Max </v>
      </c>
      <c r="G14" s="2" t="s">
        <v>8</v>
      </c>
      <c r="H14" s="24" t="s">
        <v>91</v>
      </c>
      <c r="J14" s="14"/>
      <c r="N14" s="19"/>
    </row>
    <row r="15" spans="1:14" x14ac:dyDescent="0.3">
      <c r="A15" s="2" t="s">
        <v>12</v>
      </c>
      <c r="B15" s="20">
        <f>AVERAGEIF('Stock Inventory'!$C$2:$N$2,"Opening Stock",'Stock Inventory'!$C15:$N15)</f>
        <v>16.333333333333332</v>
      </c>
      <c r="C15">
        <v>0</v>
      </c>
      <c r="D15" s="22" t="str">
        <f t="shared" si="0"/>
        <v xml:space="preserve">Max </v>
      </c>
      <c r="G15" s="2" t="s">
        <v>9</v>
      </c>
      <c r="H15" s="24" t="s">
        <v>91</v>
      </c>
      <c r="J15" s="14"/>
      <c r="N15" s="19"/>
    </row>
    <row r="16" spans="1:14" x14ac:dyDescent="0.3">
      <c r="A16" s="2" t="s">
        <v>13</v>
      </c>
      <c r="B16" s="20">
        <f>AVERAGEIF('Stock Inventory'!$C$2:$N$2,"Opening Stock",'Stock Inventory'!$C16:$N16)</f>
        <v>6.666666666666667</v>
      </c>
      <c r="C16">
        <v>0.33</v>
      </c>
      <c r="D16" s="23">
        <f t="shared" si="0"/>
        <v>20.202020202020201</v>
      </c>
      <c r="G16" s="2" t="s">
        <v>0</v>
      </c>
      <c r="H16" s="21">
        <v>17.293233082706767</v>
      </c>
      <c r="J16" s="14"/>
      <c r="N16" s="19"/>
    </row>
    <row r="17" spans="1:14" x14ac:dyDescent="0.3">
      <c r="A17" s="2" t="s">
        <v>14</v>
      </c>
      <c r="B17" s="20">
        <f>AVERAGEIF('Stock Inventory'!$C$2:$N$2,"Opening Stock",'Stock Inventory'!$C17:$N17)</f>
        <v>7</v>
      </c>
      <c r="C17">
        <v>0</v>
      </c>
      <c r="D17" s="22" t="str">
        <f t="shared" si="0"/>
        <v xml:space="preserve">Max </v>
      </c>
      <c r="G17" s="2" t="s">
        <v>1</v>
      </c>
      <c r="H17" s="21">
        <v>3.9988574692944869</v>
      </c>
      <c r="J17" s="14"/>
      <c r="N17" s="19"/>
    </row>
    <row r="18" spans="1:14" x14ac:dyDescent="0.3">
      <c r="A18" s="2" t="s">
        <v>15</v>
      </c>
      <c r="B18" s="20">
        <f>AVERAGEIF('Stock Inventory'!$C$2:$N$2,"Opening Stock",'Stock Inventory'!$C18:$N18)</f>
        <v>10</v>
      </c>
      <c r="C18">
        <v>0</v>
      </c>
      <c r="D18" s="22" t="str">
        <f t="shared" si="0"/>
        <v xml:space="preserve">Max </v>
      </c>
      <c r="G18" s="2" t="s">
        <v>2</v>
      </c>
      <c r="H18" s="21">
        <v>4.1940990002438427</v>
      </c>
      <c r="J18" s="14"/>
      <c r="N18" s="19"/>
    </row>
    <row r="19" spans="1:14" x14ac:dyDescent="0.3">
      <c r="A19" s="2" t="s">
        <v>16</v>
      </c>
      <c r="B19" s="20">
        <f>AVERAGEIF('Stock Inventory'!$C$2:$N$2,"Opening Stock",'Stock Inventory'!$C19:$N19)</f>
        <v>9</v>
      </c>
      <c r="C19">
        <v>0</v>
      </c>
      <c r="D19" s="22" t="str">
        <f t="shared" si="0"/>
        <v xml:space="preserve">Max </v>
      </c>
      <c r="G19" s="2" t="s">
        <v>3</v>
      </c>
      <c r="H19" s="21">
        <v>4.3151969981238274</v>
      </c>
      <c r="J19" s="14"/>
      <c r="N19" s="19"/>
    </row>
    <row r="20" spans="1:14" x14ac:dyDescent="0.3">
      <c r="A20" s="2" t="s">
        <v>17</v>
      </c>
      <c r="B20" s="20">
        <f>AVERAGEIF('Stock Inventory'!$C$2:$N$2,"Opening Stock",'Stock Inventory'!$C20:$N20)</f>
        <v>11</v>
      </c>
      <c r="C20">
        <v>0</v>
      </c>
      <c r="D20" s="22" t="str">
        <f t="shared" si="0"/>
        <v xml:space="preserve">Max </v>
      </c>
      <c r="G20" s="2" t="s">
        <v>4</v>
      </c>
      <c r="H20" s="21">
        <v>4.9049049049049041</v>
      </c>
      <c r="J20" s="14"/>
      <c r="N20" s="19"/>
    </row>
  </sheetData>
  <sortState xmlns:xlrd2="http://schemas.microsoft.com/office/spreadsheetml/2017/richdata2" ref="G3:G20">
    <sortCondition ref="G3:G20"/>
  </sortState>
  <phoneticPr fontId="2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CFA0F-F007-40ED-B14E-65EBE6A54C59}">
  <dimension ref="A1:J1657"/>
  <sheetViews>
    <sheetView workbookViewId="0">
      <selection activeCell="M21" sqref="M21"/>
    </sheetView>
  </sheetViews>
  <sheetFormatPr defaultRowHeight="14.4" x14ac:dyDescent="0.3"/>
  <cols>
    <col min="1" max="1" width="10.5546875" style="1" bestFit="1" customWidth="1"/>
    <col min="2" max="2" width="10.5546875" bestFit="1" customWidth="1"/>
    <col min="4" max="4" width="10.44140625" bestFit="1" customWidth="1"/>
    <col min="5" max="5" width="10.5546875" bestFit="1" customWidth="1"/>
    <col min="6" max="7" width="9.44140625" style="11" bestFit="1" customWidth="1"/>
    <col min="8" max="8" width="10.44140625" style="11" bestFit="1" customWidth="1"/>
    <col min="9" max="9" width="9.44140625" style="11" bestFit="1" customWidth="1"/>
    <col min="10" max="10" width="9.44140625" bestFit="1" customWidth="1"/>
  </cols>
  <sheetData>
    <row r="1" spans="1:10" x14ac:dyDescent="0.3">
      <c r="A1" s="9" t="s">
        <v>92</v>
      </c>
      <c r="B1" s="9" t="s">
        <v>19</v>
      </c>
      <c r="C1" s="6" t="s">
        <v>79</v>
      </c>
      <c r="D1" s="2" t="s">
        <v>93</v>
      </c>
      <c r="E1" s="2" t="s">
        <v>94</v>
      </c>
      <c r="F1" s="10" t="s">
        <v>46</v>
      </c>
      <c r="G1" s="10" t="s">
        <v>95</v>
      </c>
      <c r="H1" s="10" t="s">
        <v>85</v>
      </c>
      <c r="I1" s="10" t="s">
        <v>96</v>
      </c>
      <c r="J1" s="10" t="s">
        <v>97</v>
      </c>
    </row>
    <row r="2" spans="1:10" x14ac:dyDescent="0.3">
      <c r="A2" s="7" cm="1">
        <f t="array" ref="A2:A1657">_xlfn.SEQUENCE((DATE(2022,12,31)-DATE(2022,10,1)+1)*18,,DATE(2022,10,1),1/18)</f>
        <v>44835</v>
      </c>
      <c r="B2" s="8" t="s">
        <v>0</v>
      </c>
      <c r="C2" s="8">
        <v>0</v>
      </c>
      <c r="D2" t="str">
        <f>TEXT(A2,"dddd")</f>
        <v>Saturday</v>
      </c>
      <c r="E2">
        <v>40</v>
      </c>
      <c r="F2" s="11">
        <f>VLOOKUP(B2,'ITEMS LIST'!$B$2:$F$19,4,FALSE)</f>
        <v>549</v>
      </c>
      <c r="G2" s="11">
        <f>VLOOKUP(B2,'ITEMS LIST'!$B$2:$F$19,5,FALSE)</f>
        <v>365</v>
      </c>
      <c r="H2" s="11">
        <f t="shared" ref="H2:H65" si="0">C2*F2</f>
        <v>0</v>
      </c>
      <c r="I2" s="11">
        <f t="shared" ref="I2:I65" si="1">C2*G2</f>
        <v>0</v>
      </c>
      <c r="J2" s="11">
        <f>H2-I2</f>
        <v>0</v>
      </c>
    </row>
    <row r="3" spans="1:10" x14ac:dyDescent="0.3">
      <c r="A3" s="7">
        <v>44835.055555555555</v>
      </c>
      <c r="B3" s="8" t="s">
        <v>1</v>
      </c>
      <c r="C3" s="8">
        <v>0</v>
      </c>
      <c r="D3" t="str">
        <f t="shared" ref="D3:D66" si="2">TEXT(A3,"dddd")</f>
        <v>Saturday</v>
      </c>
      <c r="E3">
        <v>40</v>
      </c>
      <c r="F3" s="11">
        <f>VLOOKUP(B3,'ITEMS LIST'!$B$2:$F$19,4,FALSE)</f>
        <v>699</v>
      </c>
      <c r="G3" s="11">
        <f>VLOOKUP(B3,'ITEMS LIST'!$B$2:$F$19,5,FALSE)</f>
        <v>550</v>
      </c>
      <c r="H3" s="11">
        <f t="shared" si="0"/>
        <v>0</v>
      </c>
      <c r="I3" s="11">
        <f t="shared" si="1"/>
        <v>0</v>
      </c>
      <c r="J3" s="11">
        <f t="shared" ref="J3:J66" si="3">H3-I3</f>
        <v>0</v>
      </c>
    </row>
    <row r="4" spans="1:10" x14ac:dyDescent="0.3">
      <c r="A4" s="7">
        <v>44835.111111111109</v>
      </c>
      <c r="B4" s="8" t="s">
        <v>2</v>
      </c>
      <c r="C4" s="8">
        <v>1</v>
      </c>
      <c r="D4" t="str">
        <f t="shared" si="2"/>
        <v>Saturday</v>
      </c>
      <c r="E4">
        <v>40</v>
      </c>
      <c r="F4" s="11">
        <f>VLOOKUP(B4,'ITEMS LIST'!$B$2:$F$19,4,FALSE)</f>
        <v>739</v>
      </c>
      <c r="G4" s="11">
        <f>VLOOKUP(B4,'ITEMS LIST'!$B$2:$F$19,5,FALSE)</f>
        <v>620</v>
      </c>
      <c r="H4" s="11">
        <f t="shared" si="0"/>
        <v>739</v>
      </c>
      <c r="I4" s="11">
        <f t="shared" si="1"/>
        <v>620</v>
      </c>
      <c r="J4" s="11">
        <f t="shared" si="3"/>
        <v>119</v>
      </c>
    </row>
    <row r="5" spans="1:10" x14ac:dyDescent="0.3">
      <c r="A5" s="7">
        <v>44835.166666666664</v>
      </c>
      <c r="B5" s="8" t="s">
        <v>3</v>
      </c>
      <c r="C5" s="8">
        <v>0</v>
      </c>
      <c r="D5" t="str">
        <f t="shared" si="2"/>
        <v>Saturday</v>
      </c>
      <c r="E5">
        <v>40</v>
      </c>
      <c r="F5" s="11">
        <f>VLOOKUP(B5,'ITEMS LIST'!$B$2:$F$19,4,FALSE)</f>
        <v>899</v>
      </c>
      <c r="G5" s="11">
        <f>VLOOKUP(B5,'ITEMS LIST'!$B$2:$F$19,5,FALSE)</f>
        <v>714</v>
      </c>
      <c r="H5" s="11">
        <f t="shared" si="0"/>
        <v>0</v>
      </c>
      <c r="I5" s="11">
        <f t="shared" si="1"/>
        <v>0</v>
      </c>
      <c r="J5" s="11">
        <f t="shared" si="3"/>
        <v>0</v>
      </c>
    </row>
    <row r="6" spans="1:10" x14ac:dyDescent="0.3">
      <c r="A6" s="7">
        <v>44835.222222222219</v>
      </c>
      <c r="B6" s="8" t="s">
        <v>4</v>
      </c>
      <c r="C6" s="8">
        <v>0</v>
      </c>
      <c r="D6" t="str">
        <f t="shared" si="2"/>
        <v>Saturday</v>
      </c>
      <c r="E6">
        <v>40</v>
      </c>
      <c r="F6" s="11">
        <f>VLOOKUP(B6,'ITEMS LIST'!$B$2:$F$19,4,FALSE)</f>
        <v>1379</v>
      </c>
      <c r="G6" s="11">
        <f>VLOOKUP(B6,'ITEMS LIST'!$B$2:$F$19,5,FALSE)</f>
        <v>890</v>
      </c>
      <c r="H6" s="11">
        <f t="shared" si="0"/>
        <v>0</v>
      </c>
      <c r="I6" s="11">
        <f t="shared" si="1"/>
        <v>0</v>
      </c>
      <c r="J6" s="11">
        <f t="shared" si="3"/>
        <v>0</v>
      </c>
    </row>
    <row r="7" spans="1:10" x14ac:dyDescent="0.3">
      <c r="A7" s="7">
        <v>44835.277777777774</v>
      </c>
      <c r="B7" s="8" t="s">
        <v>5</v>
      </c>
      <c r="C7" s="8">
        <v>8</v>
      </c>
      <c r="D7" t="str">
        <f t="shared" si="2"/>
        <v>Saturday</v>
      </c>
      <c r="E7">
        <v>40</v>
      </c>
      <c r="F7" s="11">
        <f>VLOOKUP(B7,'ITEMS LIST'!$B$2:$F$19,4,FALSE)</f>
        <v>849</v>
      </c>
      <c r="G7" s="11">
        <f>VLOOKUP(B7,'ITEMS LIST'!$B$2:$F$19,5,FALSE)</f>
        <v>530</v>
      </c>
      <c r="H7" s="11">
        <f t="shared" si="0"/>
        <v>6792</v>
      </c>
      <c r="I7" s="11">
        <f t="shared" si="1"/>
        <v>4240</v>
      </c>
      <c r="J7" s="11">
        <f t="shared" si="3"/>
        <v>2552</v>
      </c>
    </row>
    <row r="8" spans="1:10" x14ac:dyDescent="0.3">
      <c r="A8" s="7">
        <v>44835.333333333328</v>
      </c>
      <c r="B8" s="8" t="s">
        <v>6</v>
      </c>
      <c r="C8" s="8">
        <v>0</v>
      </c>
      <c r="D8" t="str">
        <f t="shared" si="2"/>
        <v>Saturday</v>
      </c>
      <c r="E8">
        <v>40</v>
      </c>
      <c r="F8" s="11">
        <f>VLOOKUP(B8,'ITEMS LIST'!$B$2:$F$19,4,FALSE)</f>
        <v>1000</v>
      </c>
      <c r="G8" s="11">
        <f>VLOOKUP(B8,'ITEMS LIST'!$B$2:$F$19,5,FALSE)</f>
        <v>768</v>
      </c>
      <c r="H8" s="11">
        <f t="shared" si="0"/>
        <v>0</v>
      </c>
      <c r="I8" s="11">
        <f t="shared" si="1"/>
        <v>0</v>
      </c>
      <c r="J8" s="11">
        <f t="shared" si="3"/>
        <v>0</v>
      </c>
    </row>
    <row r="9" spans="1:10" x14ac:dyDescent="0.3">
      <c r="A9" s="7">
        <v>44835.388888888883</v>
      </c>
      <c r="B9" s="8" t="s">
        <v>7</v>
      </c>
      <c r="C9" s="8">
        <v>1</v>
      </c>
      <c r="D9" t="str">
        <f t="shared" si="2"/>
        <v>Saturday</v>
      </c>
      <c r="E9">
        <v>40</v>
      </c>
      <c r="F9" s="11">
        <f>VLOOKUP(B9,'ITEMS LIST'!$B$2:$F$19,4,FALSE)</f>
        <v>680</v>
      </c>
      <c r="G9" s="11">
        <f>VLOOKUP(B9,'ITEMS LIST'!$B$2:$F$19,5,FALSE)</f>
        <v>570</v>
      </c>
      <c r="H9" s="11">
        <f t="shared" si="0"/>
        <v>680</v>
      </c>
      <c r="I9" s="11">
        <f t="shared" si="1"/>
        <v>570</v>
      </c>
      <c r="J9" s="11">
        <f t="shared" si="3"/>
        <v>110</v>
      </c>
    </row>
    <row r="10" spans="1:10" x14ac:dyDescent="0.3">
      <c r="A10" s="7">
        <v>44835.444444444438</v>
      </c>
      <c r="B10" s="8" t="s">
        <v>8</v>
      </c>
      <c r="C10" s="8">
        <v>0</v>
      </c>
      <c r="D10" t="str">
        <f t="shared" si="2"/>
        <v>Saturday</v>
      </c>
      <c r="E10">
        <v>40</v>
      </c>
      <c r="F10" s="11">
        <f>VLOOKUP(B10,'ITEMS LIST'!$B$2:$F$19,4,FALSE)</f>
        <v>199</v>
      </c>
      <c r="G10" s="11">
        <f>VLOOKUP(B10,'ITEMS LIST'!$B$2:$F$19,5,FALSE)</f>
        <v>140</v>
      </c>
      <c r="H10" s="11">
        <f t="shared" si="0"/>
        <v>0</v>
      </c>
      <c r="I10" s="11">
        <f t="shared" si="1"/>
        <v>0</v>
      </c>
      <c r="J10" s="11">
        <f t="shared" si="3"/>
        <v>0</v>
      </c>
    </row>
    <row r="11" spans="1:10" x14ac:dyDescent="0.3">
      <c r="A11" s="7">
        <v>44835.499999999993</v>
      </c>
      <c r="B11" s="8" t="s">
        <v>9</v>
      </c>
      <c r="C11" s="8">
        <v>0</v>
      </c>
      <c r="D11" t="str">
        <f t="shared" si="2"/>
        <v>Saturday</v>
      </c>
      <c r="E11">
        <v>40</v>
      </c>
      <c r="F11" s="11">
        <f>VLOOKUP(B11,'ITEMS LIST'!$B$2:$F$19,4,FALSE)</f>
        <v>219</v>
      </c>
      <c r="G11" s="11">
        <f>VLOOKUP(B11,'ITEMS LIST'!$B$2:$F$19,5,FALSE)</f>
        <v>132</v>
      </c>
      <c r="H11" s="11">
        <f t="shared" si="0"/>
        <v>0</v>
      </c>
      <c r="I11" s="11">
        <f t="shared" si="1"/>
        <v>0</v>
      </c>
      <c r="J11" s="11">
        <f t="shared" si="3"/>
        <v>0</v>
      </c>
    </row>
    <row r="12" spans="1:10" x14ac:dyDescent="0.3">
      <c r="A12" s="7">
        <v>44835.555555555547</v>
      </c>
      <c r="B12" s="8" t="s">
        <v>10</v>
      </c>
      <c r="C12" s="8">
        <v>0</v>
      </c>
      <c r="D12" t="str">
        <f t="shared" si="2"/>
        <v>Saturday</v>
      </c>
      <c r="E12">
        <v>40</v>
      </c>
      <c r="F12" s="11">
        <f>VLOOKUP(B12,'ITEMS LIST'!$B$2:$F$19,4,FALSE)</f>
        <v>1469</v>
      </c>
      <c r="G12" s="11">
        <f>VLOOKUP(B12,'ITEMS LIST'!$B$2:$F$19,5,FALSE)</f>
        <v>1184</v>
      </c>
      <c r="H12" s="11">
        <f t="shared" si="0"/>
        <v>0</v>
      </c>
      <c r="I12" s="11">
        <f t="shared" si="1"/>
        <v>0</v>
      </c>
      <c r="J12" s="11">
        <f t="shared" si="3"/>
        <v>0</v>
      </c>
    </row>
    <row r="13" spans="1:10" x14ac:dyDescent="0.3">
      <c r="A13" s="7">
        <v>44835.611111111102</v>
      </c>
      <c r="B13" s="8" t="s">
        <v>11</v>
      </c>
      <c r="C13" s="8">
        <v>0</v>
      </c>
      <c r="D13" t="str">
        <f t="shared" si="2"/>
        <v>Saturday</v>
      </c>
      <c r="E13">
        <v>40</v>
      </c>
      <c r="F13" s="11">
        <f>VLOOKUP(B13,'ITEMS LIST'!$B$2:$F$19,4,FALSE)</f>
        <v>89</v>
      </c>
      <c r="G13" s="11">
        <f>VLOOKUP(B13,'ITEMS LIST'!$B$2:$F$19,5,FALSE)</f>
        <v>59</v>
      </c>
      <c r="H13" s="11">
        <f t="shared" si="0"/>
        <v>0</v>
      </c>
      <c r="I13" s="11">
        <f t="shared" si="1"/>
        <v>0</v>
      </c>
      <c r="J13" s="11">
        <f t="shared" si="3"/>
        <v>0</v>
      </c>
    </row>
    <row r="14" spans="1:10" x14ac:dyDescent="0.3">
      <c r="A14" s="7">
        <v>44835.666666666657</v>
      </c>
      <c r="B14" s="8" t="s">
        <v>12</v>
      </c>
      <c r="C14" s="8">
        <v>0</v>
      </c>
      <c r="D14" t="str">
        <f t="shared" si="2"/>
        <v>Saturday</v>
      </c>
      <c r="E14">
        <v>40</v>
      </c>
      <c r="F14" s="11">
        <f>VLOOKUP(B14,'ITEMS LIST'!$B$2:$F$19,4,FALSE)</f>
        <v>310</v>
      </c>
      <c r="G14" s="11">
        <f>VLOOKUP(B14,'ITEMS LIST'!$B$2:$F$19,5,FALSE)</f>
        <v>206</v>
      </c>
      <c r="H14" s="11">
        <f t="shared" si="0"/>
        <v>0</v>
      </c>
      <c r="I14" s="11">
        <f t="shared" si="1"/>
        <v>0</v>
      </c>
      <c r="J14" s="11">
        <f t="shared" si="3"/>
        <v>0</v>
      </c>
    </row>
    <row r="15" spans="1:10" x14ac:dyDescent="0.3">
      <c r="A15" s="7">
        <v>44835.722222222212</v>
      </c>
      <c r="B15" s="8" t="s">
        <v>13</v>
      </c>
      <c r="C15" s="8">
        <v>0</v>
      </c>
      <c r="D15" t="str">
        <f t="shared" si="2"/>
        <v>Saturday</v>
      </c>
      <c r="E15">
        <v>40</v>
      </c>
      <c r="F15" s="11">
        <f>VLOOKUP(B15,'ITEMS LIST'!$B$2:$F$19,4,FALSE)</f>
        <v>540</v>
      </c>
      <c r="G15" s="11">
        <f>VLOOKUP(B15,'ITEMS LIST'!$B$2:$F$19,5,FALSE)</f>
        <v>397</v>
      </c>
      <c r="H15" s="11">
        <f t="shared" si="0"/>
        <v>0</v>
      </c>
      <c r="I15" s="11">
        <f t="shared" si="1"/>
        <v>0</v>
      </c>
      <c r="J15" s="11">
        <f t="shared" si="3"/>
        <v>0</v>
      </c>
    </row>
    <row r="16" spans="1:10" x14ac:dyDescent="0.3">
      <c r="A16" s="7">
        <v>44835.777777777766</v>
      </c>
      <c r="B16" s="8" t="s">
        <v>14</v>
      </c>
      <c r="C16" s="8">
        <v>0</v>
      </c>
      <c r="D16" t="str">
        <f t="shared" si="2"/>
        <v>Saturday</v>
      </c>
      <c r="E16">
        <v>40</v>
      </c>
      <c r="F16" s="11">
        <f>VLOOKUP(B16,'ITEMS LIST'!$B$2:$F$19,4,FALSE)</f>
        <v>360</v>
      </c>
      <c r="G16" s="11">
        <f>VLOOKUP(B16,'ITEMS LIST'!$B$2:$F$19,5,FALSE)</f>
        <v>248</v>
      </c>
      <c r="H16" s="11">
        <f t="shared" si="0"/>
        <v>0</v>
      </c>
      <c r="I16" s="11">
        <f t="shared" si="1"/>
        <v>0</v>
      </c>
      <c r="J16" s="11">
        <f t="shared" si="3"/>
        <v>0</v>
      </c>
    </row>
    <row r="17" spans="1:10" x14ac:dyDescent="0.3">
      <c r="A17" s="7">
        <v>44835.833333333321</v>
      </c>
      <c r="B17" s="8" t="s">
        <v>15</v>
      </c>
      <c r="C17" s="8">
        <v>0</v>
      </c>
      <c r="D17" t="str">
        <f t="shared" si="2"/>
        <v>Saturday</v>
      </c>
      <c r="E17">
        <v>40</v>
      </c>
      <c r="F17" s="11">
        <f>VLOOKUP(B17,'ITEMS LIST'!$B$2:$F$19,4,FALSE)</f>
        <v>250</v>
      </c>
      <c r="G17" s="11">
        <f>VLOOKUP(B17,'ITEMS LIST'!$B$2:$F$19,5,FALSE)</f>
        <v>190</v>
      </c>
      <c r="H17" s="11">
        <f t="shared" si="0"/>
        <v>0</v>
      </c>
      <c r="I17" s="11">
        <f t="shared" si="1"/>
        <v>0</v>
      </c>
      <c r="J17" s="11">
        <f t="shared" si="3"/>
        <v>0</v>
      </c>
    </row>
    <row r="18" spans="1:10" x14ac:dyDescent="0.3">
      <c r="A18" s="7">
        <v>44835.888888888876</v>
      </c>
      <c r="B18" s="8" t="s">
        <v>16</v>
      </c>
      <c r="C18" s="8">
        <v>0</v>
      </c>
      <c r="D18" t="str">
        <f t="shared" si="2"/>
        <v>Saturday</v>
      </c>
      <c r="E18">
        <v>40</v>
      </c>
      <c r="F18" s="11">
        <f>VLOOKUP(B18,'ITEMS LIST'!$B$2:$F$19,4,FALSE)</f>
        <v>120</v>
      </c>
      <c r="G18" s="11">
        <f>VLOOKUP(B18,'ITEMS LIST'!$B$2:$F$19,5,FALSE)</f>
        <v>85</v>
      </c>
      <c r="H18" s="11">
        <f t="shared" si="0"/>
        <v>0</v>
      </c>
      <c r="I18" s="11">
        <f t="shared" si="1"/>
        <v>0</v>
      </c>
      <c r="J18" s="11">
        <f t="shared" si="3"/>
        <v>0</v>
      </c>
    </row>
    <row r="19" spans="1:10" x14ac:dyDescent="0.3">
      <c r="A19" s="7">
        <v>44835.944444444431</v>
      </c>
      <c r="B19" s="8" t="s">
        <v>17</v>
      </c>
      <c r="C19" s="8">
        <v>0</v>
      </c>
      <c r="D19" t="str">
        <f t="shared" si="2"/>
        <v>Saturday</v>
      </c>
      <c r="E19">
        <v>40</v>
      </c>
      <c r="F19" s="11">
        <f>VLOOKUP(B19,'ITEMS LIST'!$B$2:$F$19,4,FALSE)</f>
        <v>80</v>
      </c>
      <c r="G19" s="11">
        <f>VLOOKUP(B19,'ITEMS LIST'!$B$2:$F$19,5,FALSE)</f>
        <v>55</v>
      </c>
      <c r="H19" s="11">
        <f t="shared" si="0"/>
        <v>0</v>
      </c>
      <c r="I19" s="11">
        <f t="shared" si="1"/>
        <v>0</v>
      </c>
      <c r="J19" s="11">
        <f t="shared" si="3"/>
        <v>0</v>
      </c>
    </row>
    <row r="20" spans="1:10" x14ac:dyDescent="0.3">
      <c r="A20" s="7">
        <v>44835.999999999985</v>
      </c>
      <c r="B20" s="8" t="s">
        <v>0</v>
      </c>
      <c r="C20" s="8">
        <v>1</v>
      </c>
      <c r="D20" t="str">
        <f t="shared" si="2"/>
        <v>Sunday</v>
      </c>
      <c r="E20">
        <v>41</v>
      </c>
      <c r="F20" s="11">
        <f>VLOOKUP(B20,'ITEMS LIST'!$B$2:$F$19,4,FALSE)</f>
        <v>549</v>
      </c>
      <c r="G20" s="11">
        <f>VLOOKUP(B20,'ITEMS LIST'!$B$2:$F$19,5,FALSE)</f>
        <v>365</v>
      </c>
      <c r="H20" s="11">
        <f t="shared" si="0"/>
        <v>549</v>
      </c>
      <c r="I20" s="11">
        <f t="shared" si="1"/>
        <v>365</v>
      </c>
      <c r="J20" s="11">
        <f t="shared" si="3"/>
        <v>184</v>
      </c>
    </row>
    <row r="21" spans="1:10" x14ac:dyDescent="0.3">
      <c r="A21" s="7">
        <v>44836.05555555554</v>
      </c>
      <c r="B21" s="8" t="s">
        <v>1</v>
      </c>
      <c r="C21" s="8">
        <v>6</v>
      </c>
      <c r="D21" t="str">
        <f t="shared" si="2"/>
        <v>Sunday</v>
      </c>
      <c r="E21">
        <v>41</v>
      </c>
      <c r="F21" s="11">
        <f>VLOOKUP(B21,'ITEMS LIST'!$B$2:$F$19,4,FALSE)</f>
        <v>699</v>
      </c>
      <c r="G21" s="11">
        <f>VLOOKUP(B21,'ITEMS LIST'!$B$2:$F$19,5,FALSE)</f>
        <v>550</v>
      </c>
      <c r="H21" s="11">
        <f t="shared" si="0"/>
        <v>4194</v>
      </c>
      <c r="I21" s="11">
        <f t="shared" si="1"/>
        <v>3300</v>
      </c>
      <c r="J21" s="11">
        <f t="shared" si="3"/>
        <v>894</v>
      </c>
    </row>
    <row r="22" spans="1:10" x14ac:dyDescent="0.3">
      <c r="A22" s="7">
        <v>44836.111111111095</v>
      </c>
      <c r="B22" s="8" t="s">
        <v>2</v>
      </c>
      <c r="C22" s="8">
        <v>4</v>
      </c>
      <c r="D22" t="str">
        <f t="shared" si="2"/>
        <v>Sunday</v>
      </c>
      <c r="E22">
        <v>41</v>
      </c>
      <c r="F22" s="11">
        <f>VLOOKUP(B22,'ITEMS LIST'!$B$2:$F$19,4,FALSE)</f>
        <v>739</v>
      </c>
      <c r="G22" s="11">
        <f>VLOOKUP(B22,'ITEMS LIST'!$B$2:$F$19,5,FALSE)</f>
        <v>620</v>
      </c>
      <c r="H22" s="11">
        <f t="shared" si="0"/>
        <v>2956</v>
      </c>
      <c r="I22" s="11">
        <f t="shared" si="1"/>
        <v>2480</v>
      </c>
      <c r="J22" s="11">
        <f t="shared" si="3"/>
        <v>476</v>
      </c>
    </row>
    <row r="23" spans="1:10" x14ac:dyDescent="0.3">
      <c r="A23" s="7">
        <v>44836.16666666665</v>
      </c>
      <c r="B23" s="8" t="s">
        <v>3</v>
      </c>
      <c r="C23" s="8">
        <v>0</v>
      </c>
      <c r="D23" t="str">
        <f t="shared" si="2"/>
        <v>Sunday</v>
      </c>
      <c r="E23">
        <v>41</v>
      </c>
      <c r="F23" s="11">
        <f>VLOOKUP(B23,'ITEMS LIST'!$B$2:$F$19,4,FALSE)</f>
        <v>899</v>
      </c>
      <c r="G23" s="11">
        <f>VLOOKUP(B23,'ITEMS LIST'!$B$2:$F$19,5,FALSE)</f>
        <v>714</v>
      </c>
      <c r="H23" s="11">
        <f t="shared" si="0"/>
        <v>0</v>
      </c>
      <c r="I23" s="11">
        <f t="shared" si="1"/>
        <v>0</v>
      </c>
      <c r="J23" s="11">
        <f t="shared" si="3"/>
        <v>0</v>
      </c>
    </row>
    <row r="24" spans="1:10" x14ac:dyDescent="0.3">
      <c r="A24" s="7">
        <v>44836.222222222204</v>
      </c>
      <c r="B24" s="8" t="s">
        <v>4</v>
      </c>
      <c r="C24" s="8">
        <v>0</v>
      </c>
      <c r="D24" t="str">
        <f t="shared" si="2"/>
        <v>Sunday</v>
      </c>
      <c r="E24">
        <v>41</v>
      </c>
      <c r="F24" s="11">
        <f>VLOOKUP(B24,'ITEMS LIST'!$B$2:$F$19,4,FALSE)</f>
        <v>1379</v>
      </c>
      <c r="G24" s="11">
        <f>VLOOKUP(B24,'ITEMS LIST'!$B$2:$F$19,5,FALSE)</f>
        <v>890</v>
      </c>
      <c r="H24" s="11">
        <f t="shared" si="0"/>
        <v>0</v>
      </c>
      <c r="I24" s="11">
        <f t="shared" si="1"/>
        <v>0</v>
      </c>
      <c r="J24" s="11">
        <f t="shared" si="3"/>
        <v>0</v>
      </c>
    </row>
    <row r="25" spans="1:10" x14ac:dyDescent="0.3">
      <c r="A25" s="7">
        <v>44836.277777777759</v>
      </c>
      <c r="B25" s="8" t="s">
        <v>5</v>
      </c>
      <c r="C25" s="8">
        <v>12</v>
      </c>
      <c r="D25" t="str">
        <f t="shared" si="2"/>
        <v>Sunday</v>
      </c>
      <c r="E25">
        <v>41</v>
      </c>
      <c r="F25" s="11">
        <f>VLOOKUP(B25,'ITEMS LIST'!$B$2:$F$19,4,FALSE)</f>
        <v>849</v>
      </c>
      <c r="G25" s="11">
        <f>VLOOKUP(B25,'ITEMS LIST'!$B$2:$F$19,5,FALSE)</f>
        <v>530</v>
      </c>
      <c r="H25" s="11">
        <f t="shared" si="0"/>
        <v>10188</v>
      </c>
      <c r="I25" s="11">
        <f t="shared" si="1"/>
        <v>6360</v>
      </c>
      <c r="J25" s="11">
        <f t="shared" si="3"/>
        <v>3828</v>
      </c>
    </row>
    <row r="26" spans="1:10" x14ac:dyDescent="0.3">
      <c r="A26" s="7">
        <v>44836.333333333314</v>
      </c>
      <c r="B26" s="8" t="s">
        <v>6</v>
      </c>
      <c r="C26" s="8">
        <v>2</v>
      </c>
      <c r="D26" t="str">
        <f t="shared" si="2"/>
        <v>Sunday</v>
      </c>
      <c r="E26">
        <v>41</v>
      </c>
      <c r="F26" s="11">
        <f>VLOOKUP(B26,'ITEMS LIST'!$B$2:$F$19,4,FALSE)</f>
        <v>1000</v>
      </c>
      <c r="G26" s="11">
        <f>VLOOKUP(B26,'ITEMS LIST'!$B$2:$F$19,5,FALSE)</f>
        <v>768</v>
      </c>
      <c r="H26" s="11">
        <f t="shared" si="0"/>
        <v>2000</v>
      </c>
      <c r="I26" s="11">
        <f t="shared" si="1"/>
        <v>1536</v>
      </c>
      <c r="J26" s="11">
        <f t="shared" si="3"/>
        <v>464</v>
      </c>
    </row>
    <row r="27" spans="1:10" x14ac:dyDescent="0.3">
      <c r="A27" s="7">
        <v>44836.388888888869</v>
      </c>
      <c r="B27" s="8" t="s">
        <v>7</v>
      </c>
      <c r="C27" s="8">
        <v>1</v>
      </c>
      <c r="D27" t="str">
        <f t="shared" si="2"/>
        <v>Sunday</v>
      </c>
      <c r="E27">
        <v>41</v>
      </c>
      <c r="F27" s="11">
        <f>VLOOKUP(B27,'ITEMS LIST'!$B$2:$F$19,4,FALSE)</f>
        <v>680</v>
      </c>
      <c r="G27" s="11">
        <f>VLOOKUP(B27,'ITEMS LIST'!$B$2:$F$19,5,FALSE)</f>
        <v>570</v>
      </c>
      <c r="H27" s="11">
        <f t="shared" si="0"/>
        <v>680</v>
      </c>
      <c r="I27" s="11">
        <f t="shared" si="1"/>
        <v>570</v>
      </c>
      <c r="J27" s="11">
        <f t="shared" si="3"/>
        <v>110</v>
      </c>
    </row>
    <row r="28" spans="1:10" x14ac:dyDescent="0.3">
      <c r="A28" s="7">
        <v>44836.444444444423</v>
      </c>
      <c r="B28" s="8" t="s">
        <v>8</v>
      </c>
      <c r="C28" s="8">
        <v>0</v>
      </c>
      <c r="D28" t="str">
        <f t="shared" si="2"/>
        <v>Sunday</v>
      </c>
      <c r="E28">
        <v>41</v>
      </c>
      <c r="F28" s="11">
        <f>VLOOKUP(B28,'ITEMS LIST'!$B$2:$F$19,4,FALSE)</f>
        <v>199</v>
      </c>
      <c r="G28" s="11">
        <f>VLOOKUP(B28,'ITEMS LIST'!$B$2:$F$19,5,FALSE)</f>
        <v>140</v>
      </c>
      <c r="H28" s="11">
        <f t="shared" si="0"/>
        <v>0</v>
      </c>
      <c r="I28" s="11">
        <f t="shared" si="1"/>
        <v>0</v>
      </c>
      <c r="J28" s="11">
        <f t="shared" si="3"/>
        <v>0</v>
      </c>
    </row>
    <row r="29" spans="1:10" x14ac:dyDescent="0.3">
      <c r="A29" s="7">
        <v>44836.499999999978</v>
      </c>
      <c r="B29" s="8" t="s">
        <v>9</v>
      </c>
      <c r="C29" s="8">
        <v>0</v>
      </c>
      <c r="D29" t="str">
        <f t="shared" si="2"/>
        <v>Sunday</v>
      </c>
      <c r="E29">
        <v>41</v>
      </c>
      <c r="F29" s="11">
        <f>VLOOKUP(B29,'ITEMS LIST'!$B$2:$F$19,4,FALSE)</f>
        <v>219</v>
      </c>
      <c r="G29" s="11">
        <f>VLOOKUP(B29,'ITEMS LIST'!$B$2:$F$19,5,FALSE)</f>
        <v>132</v>
      </c>
      <c r="H29" s="11">
        <f t="shared" si="0"/>
        <v>0</v>
      </c>
      <c r="I29" s="11">
        <f t="shared" si="1"/>
        <v>0</v>
      </c>
      <c r="J29" s="11">
        <f t="shared" si="3"/>
        <v>0</v>
      </c>
    </row>
    <row r="30" spans="1:10" x14ac:dyDescent="0.3">
      <c r="A30" s="7">
        <v>44836.555555555533</v>
      </c>
      <c r="B30" s="8" t="s">
        <v>10</v>
      </c>
      <c r="C30" s="8">
        <v>1</v>
      </c>
      <c r="D30" t="str">
        <f t="shared" si="2"/>
        <v>Sunday</v>
      </c>
      <c r="E30">
        <v>41</v>
      </c>
      <c r="F30" s="11">
        <f>VLOOKUP(B30,'ITEMS LIST'!$B$2:$F$19,4,FALSE)</f>
        <v>1469</v>
      </c>
      <c r="G30" s="11">
        <f>VLOOKUP(B30,'ITEMS LIST'!$B$2:$F$19,5,FALSE)</f>
        <v>1184</v>
      </c>
      <c r="H30" s="11">
        <f t="shared" si="0"/>
        <v>1469</v>
      </c>
      <c r="I30" s="11">
        <f t="shared" si="1"/>
        <v>1184</v>
      </c>
      <c r="J30" s="11">
        <f t="shared" si="3"/>
        <v>285</v>
      </c>
    </row>
    <row r="31" spans="1:10" x14ac:dyDescent="0.3">
      <c r="A31" s="7">
        <v>44836.611111111088</v>
      </c>
      <c r="B31" s="8" t="s">
        <v>11</v>
      </c>
      <c r="C31" s="8">
        <v>0</v>
      </c>
      <c r="D31" t="str">
        <f t="shared" si="2"/>
        <v>Sunday</v>
      </c>
      <c r="E31">
        <v>41</v>
      </c>
      <c r="F31" s="11">
        <f>VLOOKUP(B31,'ITEMS LIST'!$B$2:$F$19,4,FALSE)</f>
        <v>89</v>
      </c>
      <c r="G31" s="11">
        <f>VLOOKUP(B31,'ITEMS LIST'!$B$2:$F$19,5,FALSE)</f>
        <v>59</v>
      </c>
      <c r="H31" s="11">
        <f t="shared" si="0"/>
        <v>0</v>
      </c>
      <c r="I31" s="11">
        <f t="shared" si="1"/>
        <v>0</v>
      </c>
      <c r="J31" s="11">
        <f t="shared" si="3"/>
        <v>0</v>
      </c>
    </row>
    <row r="32" spans="1:10" x14ac:dyDescent="0.3">
      <c r="A32" s="7">
        <v>44836.666666666642</v>
      </c>
      <c r="B32" s="8" t="s">
        <v>12</v>
      </c>
      <c r="C32" s="8">
        <v>0</v>
      </c>
      <c r="D32" t="str">
        <f t="shared" si="2"/>
        <v>Sunday</v>
      </c>
      <c r="E32">
        <v>41</v>
      </c>
      <c r="F32" s="11">
        <f>VLOOKUP(B32,'ITEMS LIST'!$B$2:$F$19,4,FALSE)</f>
        <v>310</v>
      </c>
      <c r="G32" s="11">
        <f>VLOOKUP(B32,'ITEMS LIST'!$B$2:$F$19,5,FALSE)</f>
        <v>206</v>
      </c>
      <c r="H32" s="11">
        <f t="shared" si="0"/>
        <v>0</v>
      </c>
      <c r="I32" s="11">
        <f t="shared" si="1"/>
        <v>0</v>
      </c>
      <c r="J32" s="11">
        <f t="shared" si="3"/>
        <v>0</v>
      </c>
    </row>
    <row r="33" spans="1:10" x14ac:dyDescent="0.3">
      <c r="A33" s="7">
        <v>44836.722222222197</v>
      </c>
      <c r="B33" s="8" t="s">
        <v>13</v>
      </c>
      <c r="C33" s="8">
        <v>0</v>
      </c>
      <c r="D33" t="str">
        <f t="shared" si="2"/>
        <v>Sunday</v>
      </c>
      <c r="E33">
        <v>41</v>
      </c>
      <c r="F33" s="11">
        <f>VLOOKUP(B33,'ITEMS LIST'!$B$2:$F$19,4,FALSE)</f>
        <v>540</v>
      </c>
      <c r="G33" s="11">
        <f>VLOOKUP(B33,'ITEMS LIST'!$B$2:$F$19,5,FALSE)</f>
        <v>397</v>
      </c>
      <c r="H33" s="11">
        <f t="shared" si="0"/>
        <v>0</v>
      </c>
      <c r="I33" s="11">
        <f t="shared" si="1"/>
        <v>0</v>
      </c>
      <c r="J33" s="11">
        <f t="shared" si="3"/>
        <v>0</v>
      </c>
    </row>
    <row r="34" spans="1:10" x14ac:dyDescent="0.3">
      <c r="A34" s="7">
        <v>44836.777777777752</v>
      </c>
      <c r="B34" s="8" t="s">
        <v>14</v>
      </c>
      <c r="C34" s="8">
        <v>0</v>
      </c>
      <c r="D34" t="str">
        <f t="shared" si="2"/>
        <v>Sunday</v>
      </c>
      <c r="E34">
        <v>41</v>
      </c>
      <c r="F34" s="11">
        <f>VLOOKUP(B34,'ITEMS LIST'!$B$2:$F$19,4,FALSE)</f>
        <v>360</v>
      </c>
      <c r="G34" s="11">
        <f>VLOOKUP(B34,'ITEMS LIST'!$B$2:$F$19,5,FALSE)</f>
        <v>248</v>
      </c>
      <c r="H34" s="11">
        <f t="shared" si="0"/>
        <v>0</v>
      </c>
      <c r="I34" s="11">
        <f t="shared" si="1"/>
        <v>0</v>
      </c>
      <c r="J34" s="11">
        <f t="shared" si="3"/>
        <v>0</v>
      </c>
    </row>
    <row r="35" spans="1:10" x14ac:dyDescent="0.3">
      <c r="A35" s="7">
        <v>44836.833333333307</v>
      </c>
      <c r="B35" s="8" t="s">
        <v>15</v>
      </c>
      <c r="C35" s="8">
        <v>0</v>
      </c>
      <c r="D35" t="str">
        <f t="shared" si="2"/>
        <v>Sunday</v>
      </c>
      <c r="E35">
        <v>41</v>
      </c>
      <c r="F35" s="11">
        <f>VLOOKUP(B35,'ITEMS LIST'!$B$2:$F$19,4,FALSE)</f>
        <v>250</v>
      </c>
      <c r="G35" s="11">
        <f>VLOOKUP(B35,'ITEMS LIST'!$B$2:$F$19,5,FALSE)</f>
        <v>190</v>
      </c>
      <c r="H35" s="11">
        <f t="shared" si="0"/>
        <v>0</v>
      </c>
      <c r="I35" s="11">
        <f t="shared" si="1"/>
        <v>0</v>
      </c>
      <c r="J35" s="11">
        <f t="shared" si="3"/>
        <v>0</v>
      </c>
    </row>
    <row r="36" spans="1:10" x14ac:dyDescent="0.3">
      <c r="A36" s="7">
        <v>44836.888888888861</v>
      </c>
      <c r="B36" s="8" t="s">
        <v>16</v>
      </c>
      <c r="C36" s="8">
        <v>0</v>
      </c>
      <c r="D36" t="str">
        <f t="shared" si="2"/>
        <v>Sunday</v>
      </c>
      <c r="E36">
        <v>41</v>
      </c>
      <c r="F36" s="11">
        <f>VLOOKUP(B36,'ITEMS LIST'!$B$2:$F$19,4,FALSE)</f>
        <v>120</v>
      </c>
      <c r="G36" s="11">
        <f>VLOOKUP(B36,'ITEMS LIST'!$B$2:$F$19,5,FALSE)</f>
        <v>85</v>
      </c>
      <c r="H36" s="11">
        <f t="shared" si="0"/>
        <v>0</v>
      </c>
      <c r="I36" s="11">
        <f t="shared" si="1"/>
        <v>0</v>
      </c>
      <c r="J36" s="11">
        <f t="shared" si="3"/>
        <v>0</v>
      </c>
    </row>
    <row r="37" spans="1:10" x14ac:dyDescent="0.3">
      <c r="A37" s="7">
        <v>44836.944444444416</v>
      </c>
      <c r="B37" s="8" t="s">
        <v>17</v>
      </c>
      <c r="C37" s="8">
        <v>0</v>
      </c>
      <c r="D37" t="str">
        <f t="shared" si="2"/>
        <v>Sunday</v>
      </c>
      <c r="E37">
        <v>41</v>
      </c>
      <c r="F37" s="11">
        <f>VLOOKUP(B37,'ITEMS LIST'!$B$2:$F$19,4,FALSE)</f>
        <v>80</v>
      </c>
      <c r="G37" s="11">
        <f>VLOOKUP(B37,'ITEMS LIST'!$B$2:$F$19,5,FALSE)</f>
        <v>55</v>
      </c>
      <c r="H37" s="11">
        <f t="shared" si="0"/>
        <v>0</v>
      </c>
      <c r="I37" s="11">
        <f t="shared" si="1"/>
        <v>0</v>
      </c>
      <c r="J37" s="11">
        <f t="shared" si="3"/>
        <v>0</v>
      </c>
    </row>
    <row r="38" spans="1:10" x14ac:dyDescent="0.3">
      <c r="A38" s="7">
        <v>44836.999999999971</v>
      </c>
      <c r="B38" s="8" t="s">
        <v>0</v>
      </c>
      <c r="C38" s="8">
        <v>0</v>
      </c>
      <c r="D38" t="str">
        <f t="shared" si="2"/>
        <v>Monday</v>
      </c>
      <c r="E38">
        <v>41</v>
      </c>
      <c r="F38" s="11">
        <f>VLOOKUP(B38,'ITEMS LIST'!$B$2:$F$19,4,FALSE)</f>
        <v>549</v>
      </c>
      <c r="G38" s="11">
        <f>VLOOKUP(B38,'ITEMS LIST'!$B$2:$F$19,5,FALSE)</f>
        <v>365</v>
      </c>
      <c r="H38" s="11">
        <f t="shared" si="0"/>
        <v>0</v>
      </c>
      <c r="I38" s="11">
        <f t="shared" si="1"/>
        <v>0</v>
      </c>
      <c r="J38" s="11">
        <f t="shared" si="3"/>
        <v>0</v>
      </c>
    </row>
    <row r="39" spans="1:10" x14ac:dyDescent="0.3">
      <c r="A39" s="7">
        <v>44837.055555555526</v>
      </c>
      <c r="B39" s="8" t="s">
        <v>1</v>
      </c>
      <c r="C39" s="8">
        <v>1</v>
      </c>
      <c r="D39" t="str">
        <f t="shared" si="2"/>
        <v>Monday</v>
      </c>
      <c r="E39">
        <v>41</v>
      </c>
      <c r="F39" s="11">
        <f>VLOOKUP(B39,'ITEMS LIST'!$B$2:$F$19,4,FALSE)</f>
        <v>699</v>
      </c>
      <c r="G39" s="11">
        <f>VLOOKUP(B39,'ITEMS LIST'!$B$2:$F$19,5,FALSE)</f>
        <v>550</v>
      </c>
      <c r="H39" s="11">
        <f t="shared" si="0"/>
        <v>699</v>
      </c>
      <c r="I39" s="11">
        <f t="shared" si="1"/>
        <v>550</v>
      </c>
      <c r="J39" s="11">
        <f t="shared" si="3"/>
        <v>149</v>
      </c>
    </row>
    <row r="40" spans="1:10" x14ac:dyDescent="0.3">
      <c r="A40" s="7">
        <v>44837.11111111108</v>
      </c>
      <c r="B40" s="8" t="s">
        <v>2</v>
      </c>
      <c r="C40" s="8">
        <v>1</v>
      </c>
      <c r="D40" t="str">
        <f t="shared" si="2"/>
        <v>Monday</v>
      </c>
      <c r="E40">
        <v>41</v>
      </c>
      <c r="F40" s="11">
        <f>VLOOKUP(B40,'ITEMS LIST'!$B$2:$F$19,4,FALSE)</f>
        <v>739</v>
      </c>
      <c r="G40" s="11">
        <f>VLOOKUP(B40,'ITEMS LIST'!$B$2:$F$19,5,FALSE)</f>
        <v>620</v>
      </c>
      <c r="H40" s="11">
        <f t="shared" si="0"/>
        <v>739</v>
      </c>
      <c r="I40" s="11">
        <f t="shared" si="1"/>
        <v>620</v>
      </c>
      <c r="J40" s="11">
        <f t="shared" si="3"/>
        <v>119</v>
      </c>
    </row>
    <row r="41" spans="1:10" x14ac:dyDescent="0.3">
      <c r="A41" s="7">
        <v>44837.166666666635</v>
      </c>
      <c r="B41" s="8" t="s">
        <v>3</v>
      </c>
      <c r="C41" s="8">
        <v>0</v>
      </c>
      <c r="D41" t="str">
        <f t="shared" si="2"/>
        <v>Monday</v>
      </c>
      <c r="E41">
        <v>41</v>
      </c>
      <c r="F41" s="11">
        <f>VLOOKUP(B41,'ITEMS LIST'!$B$2:$F$19,4,FALSE)</f>
        <v>899</v>
      </c>
      <c r="G41" s="11">
        <f>VLOOKUP(B41,'ITEMS LIST'!$B$2:$F$19,5,FALSE)</f>
        <v>714</v>
      </c>
      <c r="H41" s="11">
        <f t="shared" si="0"/>
        <v>0</v>
      </c>
      <c r="I41" s="11">
        <f t="shared" si="1"/>
        <v>0</v>
      </c>
      <c r="J41" s="11">
        <f t="shared" si="3"/>
        <v>0</v>
      </c>
    </row>
    <row r="42" spans="1:10" x14ac:dyDescent="0.3">
      <c r="A42" s="7">
        <v>44837.22222222219</v>
      </c>
      <c r="B42" s="8" t="s">
        <v>4</v>
      </c>
      <c r="C42" s="8">
        <v>0</v>
      </c>
      <c r="D42" t="str">
        <f t="shared" si="2"/>
        <v>Monday</v>
      </c>
      <c r="E42">
        <v>41</v>
      </c>
      <c r="F42" s="11">
        <f>VLOOKUP(B42,'ITEMS LIST'!$B$2:$F$19,4,FALSE)</f>
        <v>1379</v>
      </c>
      <c r="G42" s="11">
        <f>VLOOKUP(B42,'ITEMS LIST'!$B$2:$F$19,5,FALSE)</f>
        <v>890</v>
      </c>
      <c r="H42" s="11">
        <f t="shared" si="0"/>
        <v>0</v>
      </c>
      <c r="I42" s="11">
        <f t="shared" si="1"/>
        <v>0</v>
      </c>
      <c r="J42" s="11">
        <f t="shared" si="3"/>
        <v>0</v>
      </c>
    </row>
    <row r="43" spans="1:10" x14ac:dyDescent="0.3">
      <c r="A43" s="7">
        <v>44837.277777777745</v>
      </c>
      <c r="B43" s="8" t="s">
        <v>5</v>
      </c>
      <c r="C43" s="8">
        <v>4</v>
      </c>
      <c r="D43" t="str">
        <f t="shared" si="2"/>
        <v>Monday</v>
      </c>
      <c r="E43">
        <v>41</v>
      </c>
      <c r="F43" s="11">
        <f>VLOOKUP(B43,'ITEMS LIST'!$B$2:$F$19,4,FALSE)</f>
        <v>849</v>
      </c>
      <c r="G43" s="11">
        <f>VLOOKUP(B43,'ITEMS LIST'!$B$2:$F$19,5,FALSE)</f>
        <v>530</v>
      </c>
      <c r="H43" s="11">
        <f t="shared" si="0"/>
        <v>3396</v>
      </c>
      <c r="I43" s="11">
        <f t="shared" si="1"/>
        <v>2120</v>
      </c>
      <c r="J43" s="11">
        <f t="shared" si="3"/>
        <v>1276</v>
      </c>
    </row>
    <row r="44" spans="1:10" x14ac:dyDescent="0.3">
      <c r="A44" s="7">
        <v>44837.333333333299</v>
      </c>
      <c r="B44" s="8" t="s">
        <v>6</v>
      </c>
      <c r="C44" s="8">
        <v>4</v>
      </c>
      <c r="D44" t="str">
        <f t="shared" si="2"/>
        <v>Monday</v>
      </c>
      <c r="E44">
        <v>41</v>
      </c>
      <c r="F44" s="11">
        <f>VLOOKUP(B44,'ITEMS LIST'!$B$2:$F$19,4,FALSE)</f>
        <v>1000</v>
      </c>
      <c r="G44" s="11">
        <f>VLOOKUP(B44,'ITEMS LIST'!$B$2:$F$19,5,FALSE)</f>
        <v>768</v>
      </c>
      <c r="H44" s="11">
        <f t="shared" si="0"/>
        <v>4000</v>
      </c>
      <c r="I44" s="11">
        <f t="shared" si="1"/>
        <v>3072</v>
      </c>
      <c r="J44" s="11">
        <f t="shared" si="3"/>
        <v>928</v>
      </c>
    </row>
    <row r="45" spans="1:10" x14ac:dyDescent="0.3">
      <c r="A45" s="7">
        <v>44837.388888888854</v>
      </c>
      <c r="B45" s="8" t="s">
        <v>7</v>
      </c>
      <c r="C45" s="8">
        <v>3</v>
      </c>
      <c r="D45" t="str">
        <f t="shared" si="2"/>
        <v>Monday</v>
      </c>
      <c r="E45">
        <v>41</v>
      </c>
      <c r="F45" s="11">
        <f>VLOOKUP(B45,'ITEMS LIST'!$B$2:$F$19,4,FALSE)</f>
        <v>680</v>
      </c>
      <c r="G45" s="11">
        <f>VLOOKUP(B45,'ITEMS LIST'!$B$2:$F$19,5,FALSE)</f>
        <v>570</v>
      </c>
      <c r="H45" s="11">
        <f t="shared" si="0"/>
        <v>2040</v>
      </c>
      <c r="I45" s="11">
        <f t="shared" si="1"/>
        <v>1710</v>
      </c>
      <c r="J45" s="11">
        <f t="shared" si="3"/>
        <v>330</v>
      </c>
    </row>
    <row r="46" spans="1:10" x14ac:dyDescent="0.3">
      <c r="A46" s="7">
        <v>44837.444444444409</v>
      </c>
      <c r="B46" s="8" t="s">
        <v>8</v>
      </c>
      <c r="C46" s="8">
        <v>0</v>
      </c>
      <c r="D46" t="str">
        <f t="shared" si="2"/>
        <v>Monday</v>
      </c>
      <c r="E46">
        <v>41</v>
      </c>
      <c r="F46" s="11">
        <f>VLOOKUP(B46,'ITEMS LIST'!$B$2:$F$19,4,FALSE)</f>
        <v>199</v>
      </c>
      <c r="G46" s="11">
        <f>VLOOKUP(B46,'ITEMS LIST'!$B$2:$F$19,5,FALSE)</f>
        <v>140</v>
      </c>
      <c r="H46" s="11">
        <f t="shared" si="0"/>
        <v>0</v>
      </c>
      <c r="I46" s="11">
        <f t="shared" si="1"/>
        <v>0</v>
      </c>
      <c r="J46" s="11">
        <f t="shared" si="3"/>
        <v>0</v>
      </c>
    </row>
    <row r="47" spans="1:10" x14ac:dyDescent="0.3">
      <c r="A47" s="7">
        <v>44837.499999999964</v>
      </c>
      <c r="B47" s="8" t="s">
        <v>9</v>
      </c>
      <c r="C47" s="8">
        <v>0</v>
      </c>
      <c r="D47" t="str">
        <f t="shared" si="2"/>
        <v>Monday</v>
      </c>
      <c r="E47">
        <v>41</v>
      </c>
      <c r="F47" s="11">
        <f>VLOOKUP(B47,'ITEMS LIST'!$B$2:$F$19,4,FALSE)</f>
        <v>219</v>
      </c>
      <c r="G47" s="11">
        <f>VLOOKUP(B47,'ITEMS LIST'!$B$2:$F$19,5,FALSE)</f>
        <v>132</v>
      </c>
      <c r="H47" s="11">
        <f t="shared" si="0"/>
        <v>0</v>
      </c>
      <c r="I47" s="11">
        <f t="shared" si="1"/>
        <v>0</v>
      </c>
      <c r="J47" s="11">
        <f t="shared" si="3"/>
        <v>0</v>
      </c>
    </row>
    <row r="48" spans="1:10" x14ac:dyDescent="0.3">
      <c r="A48" s="7">
        <v>44837.555555555518</v>
      </c>
      <c r="B48" s="8" t="s">
        <v>10</v>
      </c>
      <c r="C48" s="8">
        <v>0</v>
      </c>
      <c r="D48" t="str">
        <f t="shared" si="2"/>
        <v>Monday</v>
      </c>
      <c r="E48">
        <v>41</v>
      </c>
      <c r="F48" s="11">
        <f>VLOOKUP(B48,'ITEMS LIST'!$B$2:$F$19,4,FALSE)</f>
        <v>1469</v>
      </c>
      <c r="G48" s="11">
        <f>VLOOKUP(B48,'ITEMS LIST'!$B$2:$F$19,5,FALSE)</f>
        <v>1184</v>
      </c>
      <c r="H48" s="11">
        <f t="shared" si="0"/>
        <v>0</v>
      </c>
      <c r="I48" s="11">
        <f t="shared" si="1"/>
        <v>0</v>
      </c>
      <c r="J48" s="11">
        <f t="shared" si="3"/>
        <v>0</v>
      </c>
    </row>
    <row r="49" spans="1:10" x14ac:dyDescent="0.3">
      <c r="A49" s="7">
        <v>44837.611111111073</v>
      </c>
      <c r="B49" s="8" t="s">
        <v>11</v>
      </c>
      <c r="C49" s="8">
        <v>0</v>
      </c>
      <c r="D49" t="str">
        <f t="shared" si="2"/>
        <v>Monday</v>
      </c>
      <c r="E49">
        <v>41</v>
      </c>
      <c r="F49" s="11">
        <f>VLOOKUP(B49,'ITEMS LIST'!$B$2:$F$19,4,FALSE)</f>
        <v>89</v>
      </c>
      <c r="G49" s="11">
        <f>VLOOKUP(B49,'ITEMS LIST'!$B$2:$F$19,5,FALSE)</f>
        <v>59</v>
      </c>
      <c r="H49" s="11">
        <f t="shared" si="0"/>
        <v>0</v>
      </c>
      <c r="I49" s="11">
        <f t="shared" si="1"/>
        <v>0</v>
      </c>
      <c r="J49" s="11">
        <f t="shared" si="3"/>
        <v>0</v>
      </c>
    </row>
    <row r="50" spans="1:10" x14ac:dyDescent="0.3">
      <c r="A50" s="7">
        <v>44837.666666666628</v>
      </c>
      <c r="B50" s="8" t="s">
        <v>12</v>
      </c>
      <c r="C50" s="8">
        <v>0</v>
      </c>
      <c r="D50" t="str">
        <f t="shared" si="2"/>
        <v>Monday</v>
      </c>
      <c r="E50">
        <v>41</v>
      </c>
      <c r="F50" s="11">
        <f>VLOOKUP(B50,'ITEMS LIST'!$B$2:$F$19,4,FALSE)</f>
        <v>310</v>
      </c>
      <c r="G50" s="11">
        <f>VLOOKUP(B50,'ITEMS LIST'!$B$2:$F$19,5,FALSE)</f>
        <v>206</v>
      </c>
      <c r="H50" s="11">
        <f t="shared" si="0"/>
        <v>0</v>
      </c>
      <c r="I50" s="11">
        <f t="shared" si="1"/>
        <v>0</v>
      </c>
      <c r="J50" s="11">
        <f t="shared" si="3"/>
        <v>0</v>
      </c>
    </row>
    <row r="51" spans="1:10" x14ac:dyDescent="0.3">
      <c r="A51" s="7">
        <v>44837.722222222183</v>
      </c>
      <c r="B51" s="8" t="s">
        <v>13</v>
      </c>
      <c r="C51" s="8">
        <v>0</v>
      </c>
      <c r="D51" t="str">
        <f t="shared" si="2"/>
        <v>Monday</v>
      </c>
      <c r="E51">
        <v>41</v>
      </c>
      <c r="F51" s="11">
        <f>VLOOKUP(B51,'ITEMS LIST'!$B$2:$F$19,4,FALSE)</f>
        <v>540</v>
      </c>
      <c r="G51" s="11">
        <f>VLOOKUP(B51,'ITEMS LIST'!$B$2:$F$19,5,FALSE)</f>
        <v>397</v>
      </c>
      <c r="H51" s="11">
        <f t="shared" si="0"/>
        <v>0</v>
      </c>
      <c r="I51" s="11">
        <f t="shared" si="1"/>
        <v>0</v>
      </c>
      <c r="J51" s="11">
        <f t="shared" si="3"/>
        <v>0</v>
      </c>
    </row>
    <row r="52" spans="1:10" x14ac:dyDescent="0.3">
      <c r="A52" s="7">
        <v>44837.777777777737</v>
      </c>
      <c r="B52" s="8" t="s">
        <v>14</v>
      </c>
      <c r="C52" s="8">
        <v>0</v>
      </c>
      <c r="D52" t="str">
        <f t="shared" si="2"/>
        <v>Monday</v>
      </c>
      <c r="E52">
        <v>41</v>
      </c>
      <c r="F52" s="11">
        <f>VLOOKUP(B52,'ITEMS LIST'!$B$2:$F$19,4,FALSE)</f>
        <v>360</v>
      </c>
      <c r="G52" s="11">
        <f>VLOOKUP(B52,'ITEMS LIST'!$B$2:$F$19,5,FALSE)</f>
        <v>248</v>
      </c>
      <c r="H52" s="11">
        <f t="shared" si="0"/>
        <v>0</v>
      </c>
      <c r="I52" s="11">
        <f t="shared" si="1"/>
        <v>0</v>
      </c>
      <c r="J52" s="11">
        <f t="shared" si="3"/>
        <v>0</v>
      </c>
    </row>
    <row r="53" spans="1:10" x14ac:dyDescent="0.3">
      <c r="A53" s="7">
        <v>44837.833333333292</v>
      </c>
      <c r="B53" s="8" t="s">
        <v>15</v>
      </c>
      <c r="C53" s="8">
        <v>0</v>
      </c>
      <c r="D53" t="str">
        <f t="shared" si="2"/>
        <v>Monday</v>
      </c>
      <c r="E53">
        <v>41</v>
      </c>
      <c r="F53" s="11">
        <f>VLOOKUP(B53,'ITEMS LIST'!$B$2:$F$19,4,FALSE)</f>
        <v>250</v>
      </c>
      <c r="G53" s="11">
        <f>VLOOKUP(B53,'ITEMS LIST'!$B$2:$F$19,5,FALSE)</f>
        <v>190</v>
      </c>
      <c r="H53" s="11">
        <f t="shared" si="0"/>
        <v>0</v>
      </c>
      <c r="I53" s="11">
        <f t="shared" si="1"/>
        <v>0</v>
      </c>
      <c r="J53" s="11">
        <f t="shared" si="3"/>
        <v>0</v>
      </c>
    </row>
    <row r="54" spans="1:10" x14ac:dyDescent="0.3">
      <c r="A54" s="7">
        <v>44837.888888888847</v>
      </c>
      <c r="B54" s="8" t="s">
        <v>16</v>
      </c>
      <c r="C54" s="8">
        <v>0</v>
      </c>
      <c r="D54" t="str">
        <f t="shared" si="2"/>
        <v>Monday</v>
      </c>
      <c r="E54">
        <v>41</v>
      </c>
      <c r="F54" s="11">
        <f>VLOOKUP(B54,'ITEMS LIST'!$B$2:$F$19,4,FALSE)</f>
        <v>120</v>
      </c>
      <c r="G54" s="11">
        <f>VLOOKUP(B54,'ITEMS LIST'!$B$2:$F$19,5,FALSE)</f>
        <v>85</v>
      </c>
      <c r="H54" s="11">
        <f t="shared" si="0"/>
        <v>0</v>
      </c>
      <c r="I54" s="11">
        <f t="shared" si="1"/>
        <v>0</v>
      </c>
      <c r="J54" s="11">
        <f t="shared" si="3"/>
        <v>0</v>
      </c>
    </row>
    <row r="55" spans="1:10" x14ac:dyDescent="0.3">
      <c r="A55" s="7">
        <v>44837.944444444402</v>
      </c>
      <c r="B55" s="8" t="s">
        <v>17</v>
      </c>
      <c r="C55" s="8">
        <v>0</v>
      </c>
      <c r="D55" t="str">
        <f t="shared" si="2"/>
        <v>Monday</v>
      </c>
      <c r="E55">
        <v>41</v>
      </c>
      <c r="F55" s="11">
        <f>VLOOKUP(B55,'ITEMS LIST'!$B$2:$F$19,4,FALSE)</f>
        <v>80</v>
      </c>
      <c r="G55" s="11">
        <f>VLOOKUP(B55,'ITEMS LIST'!$B$2:$F$19,5,FALSE)</f>
        <v>55</v>
      </c>
      <c r="H55" s="11">
        <f t="shared" si="0"/>
        <v>0</v>
      </c>
      <c r="I55" s="11">
        <f t="shared" si="1"/>
        <v>0</v>
      </c>
      <c r="J55" s="11">
        <f t="shared" si="3"/>
        <v>0</v>
      </c>
    </row>
    <row r="56" spans="1:10" x14ac:dyDescent="0.3">
      <c r="A56" s="7">
        <v>44837.999999999956</v>
      </c>
      <c r="B56" s="8" t="s">
        <v>0</v>
      </c>
      <c r="C56" s="8">
        <v>1</v>
      </c>
      <c r="D56" t="str">
        <f t="shared" si="2"/>
        <v>Tuesday</v>
      </c>
      <c r="E56">
        <v>41</v>
      </c>
      <c r="F56" s="11">
        <f>VLOOKUP(B56,'ITEMS LIST'!$B$2:$F$19,4,FALSE)</f>
        <v>549</v>
      </c>
      <c r="G56" s="11">
        <f>VLOOKUP(B56,'ITEMS LIST'!$B$2:$F$19,5,FALSE)</f>
        <v>365</v>
      </c>
      <c r="H56" s="11">
        <f t="shared" si="0"/>
        <v>549</v>
      </c>
      <c r="I56" s="11">
        <f t="shared" si="1"/>
        <v>365</v>
      </c>
      <c r="J56" s="11">
        <f t="shared" si="3"/>
        <v>184</v>
      </c>
    </row>
    <row r="57" spans="1:10" x14ac:dyDescent="0.3">
      <c r="A57" s="7">
        <v>44838.055555555511</v>
      </c>
      <c r="B57" s="8" t="s">
        <v>1</v>
      </c>
      <c r="C57" s="8">
        <v>1</v>
      </c>
      <c r="D57" t="str">
        <f t="shared" si="2"/>
        <v>Tuesday</v>
      </c>
      <c r="E57">
        <v>41</v>
      </c>
      <c r="F57" s="11">
        <f>VLOOKUP(B57,'ITEMS LIST'!$B$2:$F$19,4,FALSE)</f>
        <v>699</v>
      </c>
      <c r="G57" s="11">
        <f>VLOOKUP(B57,'ITEMS LIST'!$B$2:$F$19,5,FALSE)</f>
        <v>550</v>
      </c>
      <c r="H57" s="11">
        <f t="shared" si="0"/>
        <v>699</v>
      </c>
      <c r="I57" s="11">
        <f t="shared" si="1"/>
        <v>550</v>
      </c>
      <c r="J57" s="11">
        <f t="shared" si="3"/>
        <v>149</v>
      </c>
    </row>
    <row r="58" spans="1:10" x14ac:dyDescent="0.3">
      <c r="A58" s="7">
        <v>44838.111111111066</v>
      </c>
      <c r="B58" s="8" t="s">
        <v>2</v>
      </c>
      <c r="C58" s="8">
        <v>3</v>
      </c>
      <c r="D58" t="str">
        <f t="shared" si="2"/>
        <v>Tuesday</v>
      </c>
      <c r="E58">
        <v>41</v>
      </c>
      <c r="F58" s="11">
        <f>VLOOKUP(B58,'ITEMS LIST'!$B$2:$F$19,4,FALSE)</f>
        <v>739</v>
      </c>
      <c r="G58" s="11">
        <f>VLOOKUP(B58,'ITEMS LIST'!$B$2:$F$19,5,FALSE)</f>
        <v>620</v>
      </c>
      <c r="H58" s="11">
        <f t="shared" si="0"/>
        <v>2217</v>
      </c>
      <c r="I58" s="11">
        <f t="shared" si="1"/>
        <v>1860</v>
      </c>
      <c r="J58" s="11">
        <f t="shared" si="3"/>
        <v>357</v>
      </c>
    </row>
    <row r="59" spans="1:10" x14ac:dyDescent="0.3">
      <c r="A59" s="7">
        <v>44838.166666666621</v>
      </c>
      <c r="B59" s="8" t="s">
        <v>3</v>
      </c>
      <c r="C59" s="8">
        <v>0</v>
      </c>
      <c r="D59" t="str">
        <f t="shared" si="2"/>
        <v>Tuesday</v>
      </c>
      <c r="E59">
        <v>41</v>
      </c>
      <c r="F59" s="11">
        <f>VLOOKUP(B59,'ITEMS LIST'!$B$2:$F$19,4,FALSE)</f>
        <v>899</v>
      </c>
      <c r="G59" s="11">
        <f>VLOOKUP(B59,'ITEMS LIST'!$B$2:$F$19,5,FALSE)</f>
        <v>714</v>
      </c>
      <c r="H59" s="11">
        <f t="shared" si="0"/>
        <v>0</v>
      </c>
      <c r="I59" s="11">
        <f t="shared" si="1"/>
        <v>0</v>
      </c>
      <c r="J59" s="11">
        <f t="shared" si="3"/>
        <v>0</v>
      </c>
    </row>
    <row r="60" spans="1:10" x14ac:dyDescent="0.3">
      <c r="A60" s="7">
        <v>44838.222222222175</v>
      </c>
      <c r="B60" s="8" t="s">
        <v>4</v>
      </c>
      <c r="C60" s="8">
        <v>0</v>
      </c>
      <c r="D60" t="str">
        <f t="shared" si="2"/>
        <v>Tuesday</v>
      </c>
      <c r="E60">
        <v>41</v>
      </c>
      <c r="F60" s="11">
        <f>VLOOKUP(B60,'ITEMS LIST'!$B$2:$F$19,4,FALSE)</f>
        <v>1379</v>
      </c>
      <c r="G60" s="11">
        <f>VLOOKUP(B60,'ITEMS LIST'!$B$2:$F$19,5,FALSE)</f>
        <v>890</v>
      </c>
      <c r="H60" s="11">
        <f t="shared" si="0"/>
        <v>0</v>
      </c>
      <c r="I60" s="11">
        <f t="shared" si="1"/>
        <v>0</v>
      </c>
      <c r="J60" s="11">
        <f t="shared" si="3"/>
        <v>0</v>
      </c>
    </row>
    <row r="61" spans="1:10" x14ac:dyDescent="0.3">
      <c r="A61" s="7">
        <v>44838.27777777773</v>
      </c>
      <c r="B61" s="8" t="s">
        <v>5</v>
      </c>
      <c r="C61" s="8">
        <v>2</v>
      </c>
      <c r="D61" t="str">
        <f t="shared" si="2"/>
        <v>Tuesday</v>
      </c>
      <c r="E61">
        <v>41</v>
      </c>
      <c r="F61" s="11">
        <f>VLOOKUP(B61,'ITEMS LIST'!$B$2:$F$19,4,FALSE)</f>
        <v>849</v>
      </c>
      <c r="G61" s="11">
        <f>VLOOKUP(B61,'ITEMS LIST'!$B$2:$F$19,5,FALSE)</f>
        <v>530</v>
      </c>
      <c r="H61" s="11">
        <f t="shared" si="0"/>
        <v>1698</v>
      </c>
      <c r="I61" s="11">
        <f t="shared" si="1"/>
        <v>1060</v>
      </c>
      <c r="J61" s="11">
        <f t="shared" si="3"/>
        <v>638</v>
      </c>
    </row>
    <row r="62" spans="1:10" x14ac:dyDescent="0.3">
      <c r="A62" s="7">
        <v>44838.333333333285</v>
      </c>
      <c r="B62" s="8" t="s">
        <v>6</v>
      </c>
      <c r="C62" s="8">
        <v>1</v>
      </c>
      <c r="D62" t="str">
        <f t="shared" si="2"/>
        <v>Tuesday</v>
      </c>
      <c r="E62">
        <v>41</v>
      </c>
      <c r="F62" s="11">
        <f>VLOOKUP(B62,'ITEMS LIST'!$B$2:$F$19,4,FALSE)</f>
        <v>1000</v>
      </c>
      <c r="G62" s="11">
        <f>VLOOKUP(B62,'ITEMS LIST'!$B$2:$F$19,5,FALSE)</f>
        <v>768</v>
      </c>
      <c r="H62" s="11">
        <f t="shared" si="0"/>
        <v>1000</v>
      </c>
      <c r="I62" s="11">
        <f t="shared" si="1"/>
        <v>768</v>
      </c>
      <c r="J62" s="11">
        <f t="shared" si="3"/>
        <v>232</v>
      </c>
    </row>
    <row r="63" spans="1:10" x14ac:dyDescent="0.3">
      <c r="A63" s="7">
        <v>44838.38888888884</v>
      </c>
      <c r="B63" s="8" t="s">
        <v>7</v>
      </c>
      <c r="C63" s="8">
        <v>1</v>
      </c>
      <c r="D63" t="str">
        <f t="shared" si="2"/>
        <v>Tuesday</v>
      </c>
      <c r="E63">
        <v>41</v>
      </c>
      <c r="F63" s="11">
        <f>VLOOKUP(B63,'ITEMS LIST'!$B$2:$F$19,4,FALSE)</f>
        <v>680</v>
      </c>
      <c r="G63" s="11">
        <f>VLOOKUP(B63,'ITEMS LIST'!$B$2:$F$19,5,FALSE)</f>
        <v>570</v>
      </c>
      <c r="H63" s="11">
        <f t="shared" si="0"/>
        <v>680</v>
      </c>
      <c r="I63" s="11">
        <f t="shared" si="1"/>
        <v>570</v>
      </c>
      <c r="J63" s="11">
        <f t="shared" si="3"/>
        <v>110</v>
      </c>
    </row>
    <row r="64" spans="1:10" x14ac:dyDescent="0.3">
      <c r="A64" s="7">
        <v>44838.444444444394</v>
      </c>
      <c r="B64" s="8" t="s">
        <v>8</v>
      </c>
      <c r="C64" s="8">
        <v>0</v>
      </c>
      <c r="D64" t="str">
        <f t="shared" si="2"/>
        <v>Tuesday</v>
      </c>
      <c r="E64">
        <v>41</v>
      </c>
      <c r="F64" s="11">
        <f>VLOOKUP(B64,'ITEMS LIST'!$B$2:$F$19,4,FALSE)</f>
        <v>199</v>
      </c>
      <c r="G64" s="11">
        <f>VLOOKUP(B64,'ITEMS LIST'!$B$2:$F$19,5,FALSE)</f>
        <v>140</v>
      </c>
      <c r="H64" s="11">
        <f t="shared" si="0"/>
        <v>0</v>
      </c>
      <c r="I64" s="11">
        <f t="shared" si="1"/>
        <v>0</v>
      </c>
      <c r="J64" s="11">
        <f t="shared" si="3"/>
        <v>0</v>
      </c>
    </row>
    <row r="65" spans="1:10" x14ac:dyDescent="0.3">
      <c r="A65" s="7">
        <v>44838.499999999949</v>
      </c>
      <c r="B65" s="8" t="s">
        <v>9</v>
      </c>
      <c r="C65" s="8">
        <v>0</v>
      </c>
      <c r="D65" t="str">
        <f t="shared" si="2"/>
        <v>Tuesday</v>
      </c>
      <c r="E65">
        <v>41</v>
      </c>
      <c r="F65" s="11">
        <f>VLOOKUP(B65,'ITEMS LIST'!$B$2:$F$19,4,FALSE)</f>
        <v>219</v>
      </c>
      <c r="G65" s="11">
        <f>VLOOKUP(B65,'ITEMS LIST'!$B$2:$F$19,5,FALSE)</f>
        <v>132</v>
      </c>
      <c r="H65" s="11">
        <f t="shared" si="0"/>
        <v>0</v>
      </c>
      <c r="I65" s="11">
        <f t="shared" si="1"/>
        <v>0</v>
      </c>
      <c r="J65" s="11">
        <f t="shared" si="3"/>
        <v>0</v>
      </c>
    </row>
    <row r="66" spans="1:10" x14ac:dyDescent="0.3">
      <c r="A66" s="7">
        <v>44838.555555555504</v>
      </c>
      <c r="B66" s="8" t="s">
        <v>10</v>
      </c>
      <c r="C66" s="8">
        <v>0</v>
      </c>
      <c r="D66" t="str">
        <f t="shared" si="2"/>
        <v>Tuesday</v>
      </c>
      <c r="E66">
        <v>41</v>
      </c>
      <c r="F66" s="11">
        <f>VLOOKUP(B66,'ITEMS LIST'!$B$2:$F$19,4,FALSE)</f>
        <v>1469</v>
      </c>
      <c r="G66" s="11">
        <f>VLOOKUP(B66,'ITEMS LIST'!$B$2:$F$19,5,FALSE)</f>
        <v>1184</v>
      </c>
      <c r="H66" s="11">
        <f t="shared" ref="H66:H129" si="4">C66*F66</f>
        <v>0</v>
      </c>
      <c r="I66" s="11">
        <f t="shared" ref="I66:I129" si="5">C66*G66</f>
        <v>0</v>
      </c>
      <c r="J66" s="11">
        <f t="shared" si="3"/>
        <v>0</v>
      </c>
    </row>
    <row r="67" spans="1:10" x14ac:dyDescent="0.3">
      <c r="A67" s="7">
        <v>44838.611111111059</v>
      </c>
      <c r="B67" s="8" t="s">
        <v>11</v>
      </c>
      <c r="C67" s="8">
        <v>0</v>
      </c>
      <c r="D67" t="str">
        <f t="shared" ref="D67:D130" si="6">TEXT(A67,"dddd")</f>
        <v>Tuesday</v>
      </c>
      <c r="E67">
        <v>41</v>
      </c>
      <c r="F67" s="11">
        <f>VLOOKUP(B67,'ITEMS LIST'!$B$2:$F$19,4,FALSE)</f>
        <v>89</v>
      </c>
      <c r="G67" s="11">
        <f>VLOOKUP(B67,'ITEMS LIST'!$B$2:$F$19,5,FALSE)</f>
        <v>59</v>
      </c>
      <c r="H67" s="11">
        <f t="shared" si="4"/>
        <v>0</v>
      </c>
      <c r="I67" s="11">
        <f t="shared" si="5"/>
        <v>0</v>
      </c>
      <c r="J67" s="11">
        <f t="shared" ref="J67:J130" si="7">H67-I67</f>
        <v>0</v>
      </c>
    </row>
    <row r="68" spans="1:10" x14ac:dyDescent="0.3">
      <c r="A68" s="7">
        <v>44838.666666666613</v>
      </c>
      <c r="B68" s="8" t="s">
        <v>12</v>
      </c>
      <c r="C68" s="8">
        <v>0</v>
      </c>
      <c r="D68" t="str">
        <f t="shared" si="6"/>
        <v>Tuesday</v>
      </c>
      <c r="E68">
        <v>41</v>
      </c>
      <c r="F68" s="11">
        <f>VLOOKUP(B68,'ITEMS LIST'!$B$2:$F$19,4,FALSE)</f>
        <v>310</v>
      </c>
      <c r="G68" s="11">
        <f>VLOOKUP(B68,'ITEMS LIST'!$B$2:$F$19,5,FALSE)</f>
        <v>206</v>
      </c>
      <c r="H68" s="11">
        <f t="shared" si="4"/>
        <v>0</v>
      </c>
      <c r="I68" s="11">
        <f t="shared" si="5"/>
        <v>0</v>
      </c>
      <c r="J68" s="11">
        <f t="shared" si="7"/>
        <v>0</v>
      </c>
    </row>
    <row r="69" spans="1:10" x14ac:dyDescent="0.3">
      <c r="A69" s="7">
        <v>44838.722222222168</v>
      </c>
      <c r="B69" s="8" t="s">
        <v>13</v>
      </c>
      <c r="C69" s="8">
        <v>0</v>
      </c>
      <c r="D69" t="str">
        <f t="shared" si="6"/>
        <v>Tuesday</v>
      </c>
      <c r="E69">
        <v>41</v>
      </c>
      <c r="F69" s="11">
        <f>VLOOKUP(B69,'ITEMS LIST'!$B$2:$F$19,4,FALSE)</f>
        <v>540</v>
      </c>
      <c r="G69" s="11">
        <f>VLOOKUP(B69,'ITEMS LIST'!$B$2:$F$19,5,FALSE)</f>
        <v>397</v>
      </c>
      <c r="H69" s="11">
        <f t="shared" si="4"/>
        <v>0</v>
      </c>
      <c r="I69" s="11">
        <f t="shared" si="5"/>
        <v>0</v>
      </c>
      <c r="J69" s="11">
        <f t="shared" si="7"/>
        <v>0</v>
      </c>
    </row>
    <row r="70" spans="1:10" x14ac:dyDescent="0.3">
      <c r="A70" s="7">
        <v>44838.777777777723</v>
      </c>
      <c r="B70" s="8" t="s">
        <v>14</v>
      </c>
      <c r="C70" s="8">
        <v>0</v>
      </c>
      <c r="D70" t="str">
        <f t="shared" si="6"/>
        <v>Tuesday</v>
      </c>
      <c r="E70">
        <v>41</v>
      </c>
      <c r="F70" s="11">
        <f>VLOOKUP(B70,'ITEMS LIST'!$B$2:$F$19,4,FALSE)</f>
        <v>360</v>
      </c>
      <c r="G70" s="11">
        <f>VLOOKUP(B70,'ITEMS LIST'!$B$2:$F$19,5,FALSE)</f>
        <v>248</v>
      </c>
      <c r="H70" s="11">
        <f t="shared" si="4"/>
        <v>0</v>
      </c>
      <c r="I70" s="11">
        <f t="shared" si="5"/>
        <v>0</v>
      </c>
      <c r="J70" s="11">
        <f t="shared" si="7"/>
        <v>0</v>
      </c>
    </row>
    <row r="71" spans="1:10" x14ac:dyDescent="0.3">
      <c r="A71" s="7">
        <v>44838.833333333278</v>
      </c>
      <c r="B71" s="8" t="s">
        <v>15</v>
      </c>
      <c r="C71" s="8">
        <v>0</v>
      </c>
      <c r="D71" t="str">
        <f t="shared" si="6"/>
        <v>Tuesday</v>
      </c>
      <c r="E71">
        <v>41</v>
      </c>
      <c r="F71" s="11">
        <f>VLOOKUP(B71,'ITEMS LIST'!$B$2:$F$19,4,FALSE)</f>
        <v>250</v>
      </c>
      <c r="G71" s="11">
        <f>VLOOKUP(B71,'ITEMS LIST'!$B$2:$F$19,5,FALSE)</f>
        <v>190</v>
      </c>
      <c r="H71" s="11">
        <f t="shared" si="4"/>
        <v>0</v>
      </c>
      <c r="I71" s="11">
        <f t="shared" si="5"/>
        <v>0</v>
      </c>
      <c r="J71" s="11">
        <f t="shared" si="7"/>
        <v>0</v>
      </c>
    </row>
    <row r="72" spans="1:10" x14ac:dyDescent="0.3">
      <c r="A72" s="7">
        <v>44838.888888888832</v>
      </c>
      <c r="B72" s="8" t="s">
        <v>16</v>
      </c>
      <c r="C72" s="8">
        <v>0</v>
      </c>
      <c r="D72" t="str">
        <f t="shared" si="6"/>
        <v>Tuesday</v>
      </c>
      <c r="E72">
        <v>41</v>
      </c>
      <c r="F72" s="11">
        <f>VLOOKUP(B72,'ITEMS LIST'!$B$2:$F$19,4,FALSE)</f>
        <v>120</v>
      </c>
      <c r="G72" s="11">
        <f>VLOOKUP(B72,'ITEMS LIST'!$B$2:$F$19,5,FALSE)</f>
        <v>85</v>
      </c>
      <c r="H72" s="11">
        <f t="shared" si="4"/>
        <v>0</v>
      </c>
      <c r="I72" s="11">
        <f t="shared" si="5"/>
        <v>0</v>
      </c>
      <c r="J72" s="11">
        <f t="shared" si="7"/>
        <v>0</v>
      </c>
    </row>
    <row r="73" spans="1:10" x14ac:dyDescent="0.3">
      <c r="A73" s="7">
        <v>44838.944444444387</v>
      </c>
      <c r="B73" s="8" t="s">
        <v>17</v>
      </c>
      <c r="C73" s="8">
        <v>0</v>
      </c>
      <c r="D73" t="str">
        <f t="shared" si="6"/>
        <v>Tuesday</v>
      </c>
      <c r="E73">
        <v>41</v>
      </c>
      <c r="F73" s="11">
        <f>VLOOKUP(B73,'ITEMS LIST'!$B$2:$F$19,4,FALSE)</f>
        <v>80</v>
      </c>
      <c r="G73" s="11">
        <f>VLOOKUP(B73,'ITEMS LIST'!$B$2:$F$19,5,FALSE)</f>
        <v>55</v>
      </c>
      <c r="H73" s="11">
        <f t="shared" si="4"/>
        <v>0</v>
      </c>
      <c r="I73" s="11">
        <f t="shared" si="5"/>
        <v>0</v>
      </c>
      <c r="J73" s="11">
        <f t="shared" si="7"/>
        <v>0</v>
      </c>
    </row>
    <row r="74" spans="1:10" x14ac:dyDescent="0.3">
      <c r="A74" s="7">
        <v>44838.999999999942</v>
      </c>
      <c r="B74" s="8" t="s">
        <v>0</v>
      </c>
      <c r="C74" s="8">
        <v>0</v>
      </c>
      <c r="D74" t="str">
        <f t="shared" si="6"/>
        <v>Wednesday</v>
      </c>
      <c r="E74">
        <v>41</v>
      </c>
      <c r="F74" s="11">
        <f>VLOOKUP(B74,'ITEMS LIST'!$B$2:$F$19,4,FALSE)</f>
        <v>549</v>
      </c>
      <c r="G74" s="11">
        <f>VLOOKUP(B74,'ITEMS LIST'!$B$2:$F$19,5,FALSE)</f>
        <v>365</v>
      </c>
      <c r="H74" s="11">
        <f t="shared" si="4"/>
        <v>0</v>
      </c>
      <c r="I74" s="11">
        <f t="shared" si="5"/>
        <v>0</v>
      </c>
      <c r="J74" s="11">
        <f t="shared" si="7"/>
        <v>0</v>
      </c>
    </row>
    <row r="75" spans="1:10" x14ac:dyDescent="0.3">
      <c r="A75" s="7">
        <v>44839.055555555497</v>
      </c>
      <c r="B75" s="8" t="s">
        <v>1</v>
      </c>
      <c r="C75" s="8">
        <v>0</v>
      </c>
      <c r="D75" t="str">
        <f t="shared" si="6"/>
        <v>Wednesday</v>
      </c>
      <c r="E75">
        <v>41</v>
      </c>
      <c r="F75" s="11">
        <f>VLOOKUP(B75,'ITEMS LIST'!$B$2:$F$19,4,FALSE)</f>
        <v>699</v>
      </c>
      <c r="G75" s="11">
        <f>VLOOKUP(B75,'ITEMS LIST'!$B$2:$F$19,5,FALSE)</f>
        <v>550</v>
      </c>
      <c r="H75" s="11">
        <f t="shared" si="4"/>
        <v>0</v>
      </c>
      <c r="I75" s="11">
        <f t="shared" si="5"/>
        <v>0</v>
      </c>
      <c r="J75" s="11">
        <f t="shared" si="7"/>
        <v>0</v>
      </c>
    </row>
    <row r="76" spans="1:10" x14ac:dyDescent="0.3">
      <c r="A76" s="7">
        <v>44839.111111111051</v>
      </c>
      <c r="B76" s="8" t="s">
        <v>2</v>
      </c>
      <c r="C76" s="8">
        <v>2</v>
      </c>
      <c r="D76" t="str">
        <f t="shared" si="6"/>
        <v>Wednesday</v>
      </c>
      <c r="E76">
        <v>41</v>
      </c>
      <c r="F76" s="11">
        <f>VLOOKUP(B76,'ITEMS LIST'!$B$2:$F$19,4,FALSE)</f>
        <v>739</v>
      </c>
      <c r="G76" s="11">
        <f>VLOOKUP(B76,'ITEMS LIST'!$B$2:$F$19,5,FALSE)</f>
        <v>620</v>
      </c>
      <c r="H76" s="11">
        <f t="shared" si="4"/>
        <v>1478</v>
      </c>
      <c r="I76" s="11">
        <f t="shared" si="5"/>
        <v>1240</v>
      </c>
      <c r="J76" s="11">
        <f t="shared" si="7"/>
        <v>238</v>
      </c>
    </row>
    <row r="77" spans="1:10" x14ac:dyDescent="0.3">
      <c r="A77" s="7">
        <v>44839.166666666606</v>
      </c>
      <c r="B77" s="8" t="s">
        <v>3</v>
      </c>
      <c r="C77" s="8">
        <v>0</v>
      </c>
      <c r="D77" t="str">
        <f t="shared" si="6"/>
        <v>Wednesday</v>
      </c>
      <c r="E77">
        <v>41</v>
      </c>
      <c r="F77" s="11">
        <f>VLOOKUP(B77,'ITEMS LIST'!$B$2:$F$19,4,FALSE)</f>
        <v>899</v>
      </c>
      <c r="G77" s="11">
        <f>VLOOKUP(B77,'ITEMS LIST'!$B$2:$F$19,5,FALSE)</f>
        <v>714</v>
      </c>
      <c r="H77" s="11">
        <f t="shared" si="4"/>
        <v>0</v>
      </c>
      <c r="I77" s="11">
        <f t="shared" si="5"/>
        <v>0</v>
      </c>
      <c r="J77" s="11">
        <f t="shared" si="7"/>
        <v>0</v>
      </c>
    </row>
    <row r="78" spans="1:10" x14ac:dyDescent="0.3">
      <c r="A78" s="7">
        <v>44839.222222222161</v>
      </c>
      <c r="B78" s="8" t="s">
        <v>4</v>
      </c>
      <c r="C78" s="8">
        <v>0</v>
      </c>
      <c r="D78" t="str">
        <f t="shared" si="6"/>
        <v>Wednesday</v>
      </c>
      <c r="E78">
        <v>41</v>
      </c>
      <c r="F78" s="11">
        <f>VLOOKUP(B78,'ITEMS LIST'!$B$2:$F$19,4,FALSE)</f>
        <v>1379</v>
      </c>
      <c r="G78" s="11">
        <f>VLOOKUP(B78,'ITEMS LIST'!$B$2:$F$19,5,FALSE)</f>
        <v>890</v>
      </c>
      <c r="H78" s="11">
        <f t="shared" si="4"/>
        <v>0</v>
      </c>
      <c r="I78" s="11">
        <f t="shared" si="5"/>
        <v>0</v>
      </c>
      <c r="J78" s="11">
        <f t="shared" si="7"/>
        <v>0</v>
      </c>
    </row>
    <row r="79" spans="1:10" x14ac:dyDescent="0.3">
      <c r="A79" s="7">
        <v>44839.277777777716</v>
      </c>
      <c r="B79" s="8" t="s">
        <v>5</v>
      </c>
      <c r="C79" s="8">
        <v>0</v>
      </c>
      <c r="D79" t="str">
        <f t="shared" si="6"/>
        <v>Wednesday</v>
      </c>
      <c r="E79">
        <v>41</v>
      </c>
      <c r="F79" s="11">
        <f>VLOOKUP(B79,'ITEMS LIST'!$B$2:$F$19,4,FALSE)</f>
        <v>849</v>
      </c>
      <c r="G79" s="11">
        <f>VLOOKUP(B79,'ITEMS LIST'!$B$2:$F$19,5,FALSE)</f>
        <v>530</v>
      </c>
      <c r="H79" s="11">
        <f t="shared" si="4"/>
        <v>0</v>
      </c>
      <c r="I79" s="11">
        <f t="shared" si="5"/>
        <v>0</v>
      </c>
      <c r="J79" s="11">
        <f t="shared" si="7"/>
        <v>0</v>
      </c>
    </row>
    <row r="80" spans="1:10" x14ac:dyDescent="0.3">
      <c r="A80" s="7">
        <v>44839.33333333327</v>
      </c>
      <c r="B80" s="8" t="s">
        <v>6</v>
      </c>
      <c r="C80" s="8">
        <v>0</v>
      </c>
      <c r="D80" t="str">
        <f t="shared" si="6"/>
        <v>Wednesday</v>
      </c>
      <c r="E80">
        <v>41</v>
      </c>
      <c r="F80" s="11">
        <f>VLOOKUP(B80,'ITEMS LIST'!$B$2:$F$19,4,FALSE)</f>
        <v>1000</v>
      </c>
      <c r="G80" s="11">
        <f>VLOOKUP(B80,'ITEMS LIST'!$B$2:$F$19,5,FALSE)</f>
        <v>768</v>
      </c>
      <c r="H80" s="11">
        <f t="shared" si="4"/>
        <v>0</v>
      </c>
      <c r="I80" s="11">
        <f t="shared" si="5"/>
        <v>0</v>
      </c>
      <c r="J80" s="11">
        <f t="shared" si="7"/>
        <v>0</v>
      </c>
    </row>
    <row r="81" spans="1:10" x14ac:dyDescent="0.3">
      <c r="A81" s="7">
        <v>44839.388888888825</v>
      </c>
      <c r="B81" s="8" t="s">
        <v>7</v>
      </c>
      <c r="C81" s="8">
        <v>1</v>
      </c>
      <c r="D81" t="str">
        <f t="shared" si="6"/>
        <v>Wednesday</v>
      </c>
      <c r="E81">
        <v>41</v>
      </c>
      <c r="F81" s="11">
        <f>VLOOKUP(B81,'ITEMS LIST'!$B$2:$F$19,4,FALSE)</f>
        <v>680</v>
      </c>
      <c r="G81" s="11">
        <f>VLOOKUP(B81,'ITEMS LIST'!$B$2:$F$19,5,FALSE)</f>
        <v>570</v>
      </c>
      <c r="H81" s="11">
        <f t="shared" si="4"/>
        <v>680</v>
      </c>
      <c r="I81" s="11">
        <f t="shared" si="5"/>
        <v>570</v>
      </c>
      <c r="J81" s="11">
        <f t="shared" si="7"/>
        <v>110</v>
      </c>
    </row>
    <row r="82" spans="1:10" x14ac:dyDescent="0.3">
      <c r="A82" s="7">
        <v>44839.44444444438</v>
      </c>
      <c r="B82" s="8" t="s">
        <v>8</v>
      </c>
      <c r="C82" s="8">
        <v>0</v>
      </c>
      <c r="D82" t="str">
        <f t="shared" si="6"/>
        <v>Wednesday</v>
      </c>
      <c r="E82">
        <v>41</v>
      </c>
      <c r="F82" s="11">
        <f>VLOOKUP(B82,'ITEMS LIST'!$B$2:$F$19,4,FALSE)</f>
        <v>199</v>
      </c>
      <c r="G82" s="11">
        <f>VLOOKUP(B82,'ITEMS LIST'!$B$2:$F$19,5,FALSE)</f>
        <v>140</v>
      </c>
      <c r="H82" s="11">
        <f t="shared" si="4"/>
        <v>0</v>
      </c>
      <c r="I82" s="11">
        <f t="shared" si="5"/>
        <v>0</v>
      </c>
      <c r="J82" s="11">
        <f t="shared" si="7"/>
        <v>0</v>
      </c>
    </row>
    <row r="83" spans="1:10" x14ac:dyDescent="0.3">
      <c r="A83" s="7">
        <v>44839.499999999935</v>
      </c>
      <c r="B83" s="8" t="s">
        <v>9</v>
      </c>
      <c r="C83" s="8">
        <v>0</v>
      </c>
      <c r="D83" t="str">
        <f t="shared" si="6"/>
        <v>Wednesday</v>
      </c>
      <c r="E83">
        <v>41</v>
      </c>
      <c r="F83" s="11">
        <f>VLOOKUP(B83,'ITEMS LIST'!$B$2:$F$19,4,FALSE)</f>
        <v>219</v>
      </c>
      <c r="G83" s="11">
        <f>VLOOKUP(B83,'ITEMS LIST'!$B$2:$F$19,5,FALSE)</f>
        <v>132</v>
      </c>
      <c r="H83" s="11">
        <f t="shared" si="4"/>
        <v>0</v>
      </c>
      <c r="I83" s="11">
        <f t="shared" si="5"/>
        <v>0</v>
      </c>
      <c r="J83" s="11">
        <f t="shared" si="7"/>
        <v>0</v>
      </c>
    </row>
    <row r="84" spans="1:10" x14ac:dyDescent="0.3">
      <c r="A84" s="7">
        <v>44839.555555555489</v>
      </c>
      <c r="B84" s="8" t="s">
        <v>10</v>
      </c>
      <c r="C84" s="8">
        <v>0</v>
      </c>
      <c r="D84" t="str">
        <f t="shared" si="6"/>
        <v>Wednesday</v>
      </c>
      <c r="E84">
        <v>41</v>
      </c>
      <c r="F84" s="11">
        <f>VLOOKUP(B84,'ITEMS LIST'!$B$2:$F$19,4,FALSE)</f>
        <v>1469</v>
      </c>
      <c r="G84" s="11">
        <f>VLOOKUP(B84,'ITEMS LIST'!$B$2:$F$19,5,FALSE)</f>
        <v>1184</v>
      </c>
      <c r="H84" s="11">
        <f t="shared" si="4"/>
        <v>0</v>
      </c>
      <c r="I84" s="11">
        <f t="shared" si="5"/>
        <v>0</v>
      </c>
      <c r="J84" s="11">
        <f t="shared" si="7"/>
        <v>0</v>
      </c>
    </row>
    <row r="85" spans="1:10" x14ac:dyDescent="0.3">
      <c r="A85" s="7">
        <v>44839.611111111044</v>
      </c>
      <c r="B85" s="8" t="s">
        <v>11</v>
      </c>
      <c r="C85" s="8">
        <v>0</v>
      </c>
      <c r="D85" t="str">
        <f t="shared" si="6"/>
        <v>Wednesday</v>
      </c>
      <c r="E85">
        <v>41</v>
      </c>
      <c r="F85" s="11">
        <f>VLOOKUP(B85,'ITEMS LIST'!$B$2:$F$19,4,FALSE)</f>
        <v>89</v>
      </c>
      <c r="G85" s="11">
        <f>VLOOKUP(B85,'ITEMS LIST'!$B$2:$F$19,5,FALSE)</f>
        <v>59</v>
      </c>
      <c r="H85" s="11">
        <f t="shared" si="4"/>
        <v>0</v>
      </c>
      <c r="I85" s="11">
        <f t="shared" si="5"/>
        <v>0</v>
      </c>
      <c r="J85" s="11">
        <f t="shared" si="7"/>
        <v>0</v>
      </c>
    </row>
    <row r="86" spans="1:10" x14ac:dyDescent="0.3">
      <c r="A86" s="7">
        <v>44839.666666666599</v>
      </c>
      <c r="B86" s="8" t="s">
        <v>12</v>
      </c>
      <c r="C86" s="8">
        <v>0</v>
      </c>
      <c r="D86" t="str">
        <f t="shared" si="6"/>
        <v>Wednesday</v>
      </c>
      <c r="E86">
        <v>41</v>
      </c>
      <c r="F86" s="11">
        <f>VLOOKUP(B86,'ITEMS LIST'!$B$2:$F$19,4,FALSE)</f>
        <v>310</v>
      </c>
      <c r="G86" s="11">
        <f>VLOOKUP(B86,'ITEMS LIST'!$B$2:$F$19,5,FALSE)</f>
        <v>206</v>
      </c>
      <c r="H86" s="11">
        <f t="shared" si="4"/>
        <v>0</v>
      </c>
      <c r="I86" s="11">
        <f t="shared" si="5"/>
        <v>0</v>
      </c>
      <c r="J86" s="11">
        <f t="shared" si="7"/>
        <v>0</v>
      </c>
    </row>
    <row r="87" spans="1:10" x14ac:dyDescent="0.3">
      <c r="A87" s="7">
        <v>44839.722222222154</v>
      </c>
      <c r="B87" s="8" t="s">
        <v>13</v>
      </c>
      <c r="C87" s="8">
        <v>0</v>
      </c>
      <c r="D87" t="str">
        <f t="shared" si="6"/>
        <v>Wednesday</v>
      </c>
      <c r="E87">
        <v>41</v>
      </c>
      <c r="F87" s="11">
        <f>VLOOKUP(B87,'ITEMS LIST'!$B$2:$F$19,4,FALSE)</f>
        <v>540</v>
      </c>
      <c r="G87" s="11">
        <f>VLOOKUP(B87,'ITEMS LIST'!$B$2:$F$19,5,FALSE)</f>
        <v>397</v>
      </c>
      <c r="H87" s="11">
        <f t="shared" si="4"/>
        <v>0</v>
      </c>
      <c r="I87" s="11">
        <f t="shared" si="5"/>
        <v>0</v>
      </c>
      <c r="J87" s="11">
        <f t="shared" si="7"/>
        <v>0</v>
      </c>
    </row>
    <row r="88" spans="1:10" x14ac:dyDescent="0.3">
      <c r="A88" s="7">
        <v>44839.777777777708</v>
      </c>
      <c r="B88" s="8" t="s">
        <v>14</v>
      </c>
      <c r="C88" s="8">
        <v>0</v>
      </c>
      <c r="D88" t="str">
        <f t="shared" si="6"/>
        <v>Wednesday</v>
      </c>
      <c r="E88">
        <v>41</v>
      </c>
      <c r="F88" s="11">
        <f>VLOOKUP(B88,'ITEMS LIST'!$B$2:$F$19,4,FALSE)</f>
        <v>360</v>
      </c>
      <c r="G88" s="11">
        <f>VLOOKUP(B88,'ITEMS LIST'!$B$2:$F$19,5,FALSE)</f>
        <v>248</v>
      </c>
      <c r="H88" s="11">
        <f t="shared" si="4"/>
        <v>0</v>
      </c>
      <c r="I88" s="11">
        <f t="shared" si="5"/>
        <v>0</v>
      </c>
      <c r="J88" s="11">
        <f t="shared" si="7"/>
        <v>0</v>
      </c>
    </row>
    <row r="89" spans="1:10" x14ac:dyDescent="0.3">
      <c r="A89" s="7">
        <v>44839.833333333263</v>
      </c>
      <c r="B89" s="8" t="s">
        <v>15</v>
      </c>
      <c r="C89" s="8">
        <v>0</v>
      </c>
      <c r="D89" t="str">
        <f t="shared" si="6"/>
        <v>Wednesday</v>
      </c>
      <c r="E89">
        <v>41</v>
      </c>
      <c r="F89" s="11">
        <f>VLOOKUP(B89,'ITEMS LIST'!$B$2:$F$19,4,FALSE)</f>
        <v>250</v>
      </c>
      <c r="G89" s="11">
        <f>VLOOKUP(B89,'ITEMS LIST'!$B$2:$F$19,5,FALSE)</f>
        <v>190</v>
      </c>
      <c r="H89" s="11">
        <f t="shared" si="4"/>
        <v>0</v>
      </c>
      <c r="I89" s="11">
        <f t="shared" si="5"/>
        <v>0</v>
      </c>
      <c r="J89" s="11">
        <f t="shared" si="7"/>
        <v>0</v>
      </c>
    </row>
    <row r="90" spans="1:10" x14ac:dyDescent="0.3">
      <c r="A90" s="7">
        <v>44839.888888888818</v>
      </c>
      <c r="B90" s="8" t="s">
        <v>16</v>
      </c>
      <c r="C90" s="8">
        <v>0</v>
      </c>
      <c r="D90" t="str">
        <f t="shared" si="6"/>
        <v>Wednesday</v>
      </c>
      <c r="E90">
        <v>41</v>
      </c>
      <c r="F90" s="11">
        <f>VLOOKUP(B90,'ITEMS LIST'!$B$2:$F$19,4,FALSE)</f>
        <v>120</v>
      </c>
      <c r="G90" s="11">
        <f>VLOOKUP(B90,'ITEMS LIST'!$B$2:$F$19,5,FALSE)</f>
        <v>85</v>
      </c>
      <c r="H90" s="11">
        <f t="shared" si="4"/>
        <v>0</v>
      </c>
      <c r="I90" s="11">
        <f t="shared" si="5"/>
        <v>0</v>
      </c>
      <c r="J90" s="11">
        <f t="shared" si="7"/>
        <v>0</v>
      </c>
    </row>
    <row r="91" spans="1:10" x14ac:dyDescent="0.3">
      <c r="A91" s="7">
        <v>44839.944444444372</v>
      </c>
      <c r="B91" s="8" t="s">
        <v>17</v>
      </c>
      <c r="C91" s="8">
        <v>0</v>
      </c>
      <c r="D91" t="str">
        <f t="shared" si="6"/>
        <v>Wednesday</v>
      </c>
      <c r="E91">
        <v>41</v>
      </c>
      <c r="F91" s="11">
        <f>VLOOKUP(B91,'ITEMS LIST'!$B$2:$F$19,4,FALSE)</f>
        <v>80</v>
      </c>
      <c r="G91" s="11">
        <f>VLOOKUP(B91,'ITEMS LIST'!$B$2:$F$19,5,FALSE)</f>
        <v>55</v>
      </c>
      <c r="H91" s="11">
        <f t="shared" si="4"/>
        <v>0</v>
      </c>
      <c r="I91" s="11">
        <f t="shared" si="5"/>
        <v>0</v>
      </c>
      <c r="J91" s="11">
        <f t="shared" si="7"/>
        <v>0</v>
      </c>
    </row>
    <row r="92" spans="1:10" x14ac:dyDescent="0.3">
      <c r="A92" s="7">
        <v>44839.999999999927</v>
      </c>
      <c r="B92" s="8" t="s">
        <v>0</v>
      </c>
      <c r="C92" s="8">
        <v>0</v>
      </c>
      <c r="D92" t="str">
        <f t="shared" si="6"/>
        <v>Thursday</v>
      </c>
      <c r="E92">
        <v>41</v>
      </c>
      <c r="F92" s="11">
        <f>VLOOKUP(B92,'ITEMS LIST'!$B$2:$F$19,4,FALSE)</f>
        <v>549</v>
      </c>
      <c r="G92" s="11">
        <f>VLOOKUP(B92,'ITEMS LIST'!$B$2:$F$19,5,FALSE)</f>
        <v>365</v>
      </c>
      <c r="H92" s="11">
        <f t="shared" si="4"/>
        <v>0</v>
      </c>
      <c r="I92" s="11">
        <f t="shared" si="5"/>
        <v>0</v>
      </c>
      <c r="J92" s="11">
        <f t="shared" si="7"/>
        <v>0</v>
      </c>
    </row>
    <row r="93" spans="1:10" x14ac:dyDescent="0.3">
      <c r="A93" s="7">
        <v>44840.055555555482</v>
      </c>
      <c r="B93" s="8" t="s">
        <v>1</v>
      </c>
      <c r="C93" s="8">
        <v>0</v>
      </c>
      <c r="D93" t="str">
        <f t="shared" si="6"/>
        <v>Thursday</v>
      </c>
      <c r="E93">
        <v>41</v>
      </c>
      <c r="F93" s="11">
        <f>VLOOKUP(B93,'ITEMS LIST'!$B$2:$F$19,4,FALSE)</f>
        <v>699</v>
      </c>
      <c r="G93" s="11">
        <f>VLOOKUP(B93,'ITEMS LIST'!$B$2:$F$19,5,FALSE)</f>
        <v>550</v>
      </c>
      <c r="H93" s="11">
        <f t="shared" si="4"/>
        <v>0</v>
      </c>
      <c r="I93" s="11">
        <f t="shared" si="5"/>
        <v>0</v>
      </c>
      <c r="J93" s="11">
        <f t="shared" si="7"/>
        <v>0</v>
      </c>
    </row>
    <row r="94" spans="1:10" x14ac:dyDescent="0.3">
      <c r="A94" s="7">
        <v>44840.111111111037</v>
      </c>
      <c r="B94" s="8" t="s">
        <v>2</v>
      </c>
      <c r="C94" s="8">
        <v>0</v>
      </c>
      <c r="D94" t="str">
        <f t="shared" si="6"/>
        <v>Thursday</v>
      </c>
      <c r="E94">
        <v>41</v>
      </c>
      <c r="F94" s="11">
        <f>VLOOKUP(B94,'ITEMS LIST'!$B$2:$F$19,4,FALSE)</f>
        <v>739</v>
      </c>
      <c r="G94" s="11">
        <f>VLOOKUP(B94,'ITEMS LIST'!$B$2:$F$19,5,FALSE)</f>
        <v>620</v>
      </c>
      <c r="H94" s="11">
        <f t="shared" si="4"/>
        <v>0</v>
      </c>
      <c r="I94" s="11">
        <f t="shared" si="5"/>
        <v>0</v>
      </c>
      <c r="J94" s="11">
        <f t="shared" si="7"/>
        <v>0</v>
      </c>
    </row>
    <row r="95" spans="1:10" x14ac:dyDescent="0.3">
      <c r="A95" s="7">
        <v>44840.166666666591</v>
      </c>
      <c r="B95" s="8" t="s">
        <v>3</v>
      </c>
      <c r="C95" s="8">
        <v>0</v>
      </c>
      <c r="D95" t="str">
        <f t="shared" si="6"/>
        <v>Thursday</v>
      </c>
      <c r="E95">
        <v>41</v>
      </c>
      <c r="F95" s="11">
        <f>VLOOKUP(B95,'ITEMS LIST'!$B$2:$F$19,4,FALSE)</f>
        <v>899</v>
      </c>
      <c r="G95" s="11">
        <f>VLOOKUP(B95,'ITEMS LIST'!$B$2:$F$19,5,FALSE)</f>
        <v>714</v>
      </c>
      <c r="H95" s="11">
        <f t="shared" si="4"/>
        <v>0</v>
      </c>
      <c r="I95" s="11">
        <f t="shared" si="5"/>
        <v>0</v>
      </c>
      <c r="J95" s="11">
        <f t="shared" si="7"/>
        <v>0</v>
      </c>
    </row>
    <row r="96" spans="1:10" x14ac:dyDescent="0.3">
      <c r="A96" s="7">
        <v>44840.222222222146</v>
      </c>
      <c r="B96" s="8" t="s">
        <v>4</v>
      </c>
      <c r="C96" s="8">
        <v>0</v>
      </c>
      <c r="D96" t="str">
        <f t="shared" si="6"/>
        <v>Thursday</v>
      </c>
      <c r="E96">
        <v>41</v>
      </c>
      <c r="F96" s="11">
        <f>VLOOKUP(B96,'ITEMS LIST'!$B$2:$F$19,4,FALSE)</f>
        <v>1379</v>
      </c>
      <c r="G96" s="11">
        <f>VLOOKUP(B96,'ITEMS LIST'!$B$2:$F$19,5,FALSE)</f>
        <v>890</v>
      </c>
      <c r="H96" s="11">
        <f t="shared" si="4"/>
        <v>0</v>
      </c>
      <c r="I96" s="11">
        <f t="shared" si="5"/>
        <v>0</v>
      </c>
      <c r="J96" s="11">
        <f t="shared" si="7"/>
        <v>0</v>
      </c>
    </row>
    <row r="97" spans="1:10" x14ac:dyDescent="0.3">
      <c r="A97" s="7">
        <v>44840.277777777701</v>
      </c>
      <c r="B97" s="8" t="s">
        <v>5</v>
      </c>
      <c r="C97" s="8">
        <v>0</v>
      </c>
      <c r="D97" t="str">
        <f t="shared" si="6"/>
        <v>Thursday</v>
      </c>
      <c r="E97">
        <v>41</v>
      </c>
      <c r="F97" s="11">
        <f>VLOOKUP(B97,'ITEMS LIST'!$B$2:$F$19,4,FALSE)</f>
        <v>849</v>
      </c>
      <c r="G97" s="11">
        <f>VLOOKUP(B97,'ITEMS LIST'!$B$2:$F$19,5,FALSE)</f>
        <v>530</v>
      </c>
      <c r="H97" s="11">
        <f t="shared" si="4"/>
        <v>0</v>
      </c>
      <c r="I97" s="11">
        <f t="shared" si="5"/>
        <v>0</v>
      </c>
      <c r="J97" s="11">
        <f t="shared" si="7"/>
        <v>0</v>
      </c>
    </row>
    <row r="98" spans="1:10" x14ac:dyDescent="0.3">
      <c r="A98" s="7">
        <v>44840.333333333256</v>
      </c>
      <c r="B98" s="8" t="s">
        <v>6</v>
      </c>
      <c r="C98" s="8">
        <v>0</v>
      </c>
      <c r="D98" t="str">
        <f t="shared" si="6"/>
        <v>Thursday</v>
      </c>
      <c r="E98">
        <v>41</v>
      </c>
      <c r="F98" s="11">
        <f>VLOOKUP(B98,'ITEMS LIST'!$B$2:$F$19,4,FALSE)</f>
        <v>1000</v>
      </c>
      <c r="G98" s="11">
        <f>VLOOKUP(B98,'ITEMS LIST'!$B$2:$F$19,5,FALSE)</f>
        <v>768</v>
      </c>
      <c r="H98" s="11">
        <f t="shared" si="4"/>
        <v>0</v>
      </c>
      <c r="I98" s="11">
        <f t="shared" si="5"/>
        <v>0</v>
      </c>
      <c r="J98" s="11">
        <f t="shared" si="7"/>
        <v>0</v>
      </c>
    </row>
    <row r="99" spans="1:10" x14ac:dyDescent="0.3">
      <c r="A99" s="7">
        <v>44840.38888888881</v>
      </c>
      <c r="B99" s="8" t="s">
        <v>7</v>
      </c>
      <c r="C99" s="8">
        <v>0</v>
      </c>
      <c r="D99" t="str">
        <f t="shared" si="6"/>
        <v>Thursday</v>
      </c>
      <c r="E99">
        <v>41</v>
      </c>
      <c r="F99" s="11">
        <f>VLOOKUP(B99,'ITEMS LIST'!$B$2:$F$19,4,FALSE)</f>
        <v>680</v>
      </c>
      <c r="G99" s="11">
        <f>VLOOKUP(B99,'ITEMS LIST'!$B$2:$F$19,5,FALSE)</f>
        <v>570</v>
      </c>
      <c r="H99" s="11">
        <f t="shared" si="4"/>
        <v>0</v>
      </c>
      <c r="I99" s="11">
        <f t="shared" si="5"/>
        <v>0</v>
      </c>
      <c r="J99" s="11">
        <f t="shared" si="7"/>
        <v>0</v>
      </c>
    </row>
    <row r="100" spans="1:10" x14ac:dyDescent="0.3">
      <c r="A100" s="7">
        <v>44840.444444444365</v>
      </c>
      <c r="B100" s="8" t="s">
        <v>8</v>
      </c>
      <c r="C100" s="8">
        <v>0</v>
      </c>
      <c r="D100" t="str">
        <f t="shared" si="6"/>
        <v>Thursday</v>
      </c>
      <c r="E100">
        <v>41</v>
      </c>
      <c r="F100" s="11">
        <f>VLOOKUP(B100,'ITEMS LIST'!$B$2:$F$19,4,FALSE)</f>
        <v>199</v>
      </c>
      <c r="G100" s="11">
        <f>VLOOKUP(B100,'ITEMS LIST'!$B$2:$F$19,5,FALSE)</f>
        <v>140</v>
      </c>
      <c r="H100" s="11">
        <f t="shared" si="4"/>
        <v>0</v>
      </c>
      <c r="I100" s="11">
        <f t="shared" si="5"/>
        <v>0</v>
      </c>
      <c r="J100" s="11">
        <f t="shared" si="7"/>
        <v>0</v>
      </c>
    </row>
    <row r="101" spans="1:10" x14ac:dyDescent="0.3">
      <c r="A101" s="7">
        <v>44840.49999999992</v>
      </c>
      <c r="B101" s="8" t="s">
        <v>9</v>
      </c>
      <c r="C101" s="8">
        <v>0</v>
      </c>
      <c r="D101" t="str">
        <f t="shared" si="6"/>
        <v>Thursday</v>
      </c>
      <c r="E101">
        <v>41</v>
      </c>
      <c r="F101" s="11">
        <f>VLOOKUP(B101,'ITEMS LIST'!$B$2:$F$19,4,FALSE)</f>
        <v>219</v>
      </c>
      <c r="G101" s="11">
        <f>VLOOKUP(B101,'ITEMS LIST'!$B$2:$F$19,5,FALSE)</f>
        <v>132</v>
      </c>
      <c r="H101" s="11">
        <f t="shared" si="4"/>
        <v>0</v>
      </c>
      <c r="I101" s="11">
        <f t="shared" si="5"/>
        <v>0</v>
      </c>
      <c r="J101" s="11">
        <f t="shared" si="7"/>
        <v>0</v>
      </c>
    </row>
    <row r="102" spans="1:10" x14ac:dyDescent="0.3">
      <c r="A102" s="7">
        <v>44840.555555555475</v>
      </c>
      <c r="B102" s="8" t="s">
        <v>10</v>
      </c>
      <c r="C102" s="8">
        <v>0</v>
      </c>
      <c r="D102" t="str">
        <f t="shared" si="6"/>
        <v>Thursday</v>
      </c>
      <c r="E102">
        <v>41</v>
      </c>
      <c r="F102" s="11">
        <f>VLOOKUP(B102,'ITEMS LIST'!$B$2:$F$19,4,FALSE)</f>
        <v>1469</v>
      </c>
      <c r="G102" s="11">
        <f>VLOOKUP(B102,'ITEMS LIST'!$B$2:$F$19,5,FALSE)</f>
        <v>1184</v>
      </c>
      <c r="H102" s="11">
        <f t="shared" si="4"/>
        <v>0</v>
      </c>
      <c r="I102" s="11">
        <f t="shared" si="5"/>
        <v>0</v>
      </c>
      <c r="J102" s="11">
        <f t="shared" si="7"/>
        <v>0</v>
      </c>
    </row>
    <row r="103" spans="1:10" x14ac:dyDescent="0.3">
      <c r="A103" s="7">
        <v>44840.611111111029</v>
      </c>
      <c r="B103" s="8" t="s">
        <v>11</v>
      </c>
      <c r="C103" s="8">
        <v>0</v>
      </c>
      <c r="D103" t="str">
        <f t="shared" si="6"/>
        <v>Thursday</v>
      </c>
      <c r="E103">
        <v>41</v>
      </c>
      <c r="F103" s="11">
        <f>VLOOKUP(B103,'ITEMS LIST'!$B$2:$F$19,4,FALSE)</f>
        <v>89</v>
      </c>
      <c r="G103" s="11">
        <f>VLOOKUP(B103,'ITEMS LIST'!$B$2:$F$19,5,FALSE)</f>
        <v>59</v>
      </c>
      <c r="H103" s="11">
        <f t="shared" si="4"/>
        <v>0</v>
      </c>
      <c r="I103" s="11">
        <f t="shared" si="5"/>
        <v>0</v>
      </c>
      <c r="J103" s="11">
        <f t="shared" si="7"/>
        <v>0</v>
      </c>
    </row>
    <row r="104" spans="1:10" x14ac:dyDescent="0.3">
      <c r="A104" s="7">
        <v>44840.666666666584</v>
      </c>
      <c r="B104" s="8" t="s">
        <v>12</v>
      </c>
      <c r="C104" s="8">
        <v>0</v>
      </c>
      <c r="D104" t="str">
        <f t="shared" si="6"/>
        <v>Thursday</v>
      </c>
      <c r="E104">
        <v>41</v>
      </c>
      <c r="F104" s="11">
        <f>VLOOKUP(B104,'ITEMS LIST'!$B$2:$F$19,4,FALSE)</f>
        <v>310</v>
      </c>
      <c r="G104" s="11">
        <f>VLOOKUP(B104,'ITEMS LIST'!$B$2:$F$19,5,FALSE)</f>
        <v>206</v>
      </c>
      <c r="H104" s="11">
        <f t="shared" si="4"/>
        <v>0</v>
      </c>
      <c r="I104" s="11">
        <f t="shared" si="5"/>
        <v>0</v>
      </c>
      <c r="J104" s="11">
        <f t="shared" si="7"/>
        <v>0</v>
      </c>
    </row>
    <row r="105" spans="1:10" x14ac:dyDescent="0.3">
      <c r="A105" s="7">
        <v>44840.722222222139</v>
      </c>
      <c r="B105" s="8" t="s">
        <v>13</v>
      </c>
      <c r="C105" s="8">
        <v>0</v>
      </c>
      <c r="D105" t="str">
        <f t="shared" si="6"/>
        <v>Thursday</v>
      </c>
      <c r="E105">
        <v>41</v>
      </c>
      <c r="F105" s="11">
        <f>VLOOKUP(B105,'ITEMS LIST'!$B$2:$F$19,4,FALSE)</f>
        <v>540</v>
      </c>
      <c r="G105" s="11">
        <f>VLOOKUP(B105,'ITEMS LIST'!$B$2:$F$19,5,FALSE)</f>
        <v>397</v>
      </c>
      <c r="H105" s="11">
        <f t="shared" si="4"/>
        <v>0</v>
      </c>
      <c r="I105" s="11">
        <f t="shared" si="5"/>
        <v>0</v>
      </c>
      <c r="J105" s="11">
        <f t="shared" si="7"/>
        <v>0</v>
      </c>
    </row>
    <row r="106" spans="1:10" x14ac:dyDescent="0.3">
      <c r="A106" s="7">
        <v>44840.777777777694</v>
      </c>
      <c r="B106" s="8" t="s">
        <v>14</v>
      </c>
      <c r="C106" s="8">
        <v>0</v>
      </c>
      <c r="D106" t="str">
        <f t="shared" si="6"/>
        <v>Thursday</v>
      </c>
      <c r="E106">
        <v>41</v>
      </c>
      <c r="F106" s="11">
        <f>VLOOKUP(B106,'ITEMS LIST'!$B$2:$F$19,4,FALSE)</f>
        <v>360</v>
      </c>
      <c r="G106" s="11">
        <f>VLOOKUP(B106,'ITEMS LIST'!$B$2:$F$19,5,FALSE)</f>
        <v>248</v>
      </c>
      <c r="H106" s="11">
        <f t="shared" si="4"/>
        <v>0</v>
      </c>
      <c r="I106" s="11">
        <f t="shared" si="5"/>
        <v>0</v>
      </c>
      <c r="J106" s="11">
        <f t="shared" si="7"/>
        <v>0</v>
      </c>
    </row>
    <row r="107" spans="1:10" x14ac:dyDescent="0.3">
      <c r="A107" s="7">
        <v>44840.833333333248</v>
      </c>
      <c r="B107" s="8" t="s">
        <v>15</v>
      </c>
      <c r="C107" s="8">
        <v>0</v>
      </c>
      <c r="D107" t="str">
        <f t="shared" si="6"/>
        <v>Thursday</v>
      </c>
      <c r="E107">
        <v>41</v>
      </c>
      <c r="F107" s="11">
        <f>VLOOKUP(B107,'ITEMS LIST'!$B$2:$F$19,4,FALSE)</f>
        <v>250</v>
      </c>
      <c r="G107" s="11">
        <f>VLOOKUP(B107,'ITEMS LIST'!$B$2:$F$19,5,FALSE)</f>
        <v>190</v>
      </c>
      <c r="H107" s="11">
        <f t="shared" si="4"/>
        <v>0</v>
      </c>
      <c r="I107" s="11">
        <f t="shared" si="5"/>
        <v>0</v>
      </c>
      <c r="J107" s="11">
        <f t="shared" si="7"/>
        <v>0</v>
      </c>
    </row>
    <row r="108" spans="1:10" x14ac:dyDescent="0.3">
      <c r="A108" s="7">
        <v>44840.888888888803</v>
      </c>
      <c r="B108" s="8" t="s">
        <v>16</v>
      </c>
      <c r="C108" s="8">
        <v>0</v>
      </c>
      <c r="D108" t="str">
        <f t="shared" si="6"/>
        <v>Thursday</v>
      </c>
      <c r="E108">
        <v>41</v>
      </c>
      <c r="F108" s="11">
        <f>VLOOKUP(B108,'ITEMS LIST'!$B$2:$F$19,4,FALSE)</f>
        <v>120</v>
      </c>
      <c r="G108" s="11">
        <f>VLOOKUP(B108,'ITEMS LIST'!$B$2:$F$19,5,FALSE)</f>
        <v>85</v>
      </c>
      <c r="H108" s="11">
        <f t="shared" si="4"/>
        <v>0</v>
      </c>
      <c r="I108" s="11">
        <f t="shared" si="5"/>
        <v>0</v>
      </c>
      <c r="J108" s="11">
        <f t="shared" si="7"/>
        <v>0</v>
      </c>
    </row>
    <row r="109" spans="1:10" x14ac:dyDescent="0.3">
      <c r="A109" s="7">
        <v>44840.944444444358</v>
      </c>
      <c r="B109" s="8" t="s">
        <v>17</v>
      </c>
      <c r="C109" s="8">
        <v>0</v>
      </c>
      <c r="D109" t="str">
        <f t="shared" si="6"/>
        <v>Thursday</v>
      </c>
      <c r="E109">
        <v>41</v>
      </c>
      <c r="F109" s="11">
        <f>VLOOKUP(B109,'ITEMS LIST'!$B$2:$F$19,4,FALSE)</f>
        <v>80</v>
      </c>
      <c r="G109" s="11">
        <f>VLOOKUP(B109,'ITEMS LIST'!$B$2:$F$19,5,FALSE)</f>
        <v>55</v>
      </c>
      <c r="H109" s="11">
        <f t="shared" si="4"/>
        <v>0</v>
      </c>
      <c r="I109" s="11">
        <f t="shared" si="5"/>
        <v>0</v>
      </c>
      <c r="J109" s="11">
        <f t="shared" si="7"/>
        <v>0</v>
      </c>
    </row>
    <row r="110" spans="1:10" x14ac:dyDescent="0.3">
      <c r="A110" s="7">
        <v>44840.999999999913</v>
      </c>
      <c r="B110" s="8" t="s">
        <v>0</v>
      </c>
      <c r="C110" s="8">
        <v>0</v>
      </c>
      <c r="D110" t="str">
        <f t="shared" si="6"/>
        <v>Friday</v>
      </c>
      <c r="E110">
        <v>41</v>
      </c>
      <c r="F110" s="11">
        <f>VLOOKUP(B110,'ITEMS LIST'!$B$2:$F$19,4,FALSE)</f>
        <v>549</v>
      </c>
      <c r="G110" s="11">
        <f>VLOOKUP(B110,'ITEMS LIST'!$B$2:$F$19,5,FALSE)</f>
        <v>365</v>
      </c>
      <c r="H110" s="11">
        <f t="shared" si="4"/>
        <v>0</v>
      </c>
      <c r="I110" s="11">
        <f t="shared" si="5"/>
        <v>0</v>
      </c>
      <c r="J110" s="11">
        <f t="shared" si="7"/>
        <v>0</v>
      </c>
    </row>
    <row r="111" spans="1:10" x14ac:dyDescent="0.3">
      <c r="A111" s="7">
        <v>44841.055555555467</v>
      </c>
      <c r="B111" s="8" t="s">
        <v>1</v>
      </c>
      <c r="C111" s="8">
        <v>1</v>
      </c>
      <c r="D111" t="str">
        <f t="shared" si="6"/>
        <v>Friday</v>
      </c>
      <c r="E111">
        <v>41</v>
      </c>
      <c r="F111" s="11">
        <f>VLOOKUP(B111,'ITEMS LIST'!$B$2:$F$19,4,FALSE)</f>
        <v>699</v>
      </c>
      <c r="G111" s="11">
        <f>VLOOKUP(B111,'ITEMS LIST'!$B$2:$F$19,5,FALSE)</f>
        <v>550</v>
      </c>
      <c r="H111" s="11">
        <f t="shared" si="4"/>
        <v>699</v>
      </c>
      <c r="I111" s="11">
        <f t="shared" si="5"/>
        <v>550</v>
      </c>
      <c r="J111" s="11">
        <f t="shared" si="7"/>
        <v>149</v>
      </c>
    </row>
    <row r="112" spans="1:10" x14ac:dyDescent="0.3">
      <c r="A112" s="7">
        <v>44841.111111111022</v>
      </c>
      <c r="B112" s="8" t="s">
        <v>2</v>
      </c>
      <c r="C112" s="8">
        <v>1</v>
      </c>
      <c r="D112" t="str">
        <f t="shared" si="6"/>
        <v>Friday</v>
      </c>
      <c r="E112">
        <v>41</v>
      </c>
      <c r="F112" s="11">
        <f>VLOOKUP(B112,'ITEMS LIST'!$B$2:$F$19,4,FALSE)</f>
        <v>739</v>
      </c>
      <c r="G112" s="11">
        <f>VLOOKUP(B112,'ITEMS LIST'!$B$2:$F$19,5,FALSE)</f>
        <v>620</v>
      </c>
      <c r="H112" s="11">
        <f t="shared" si="4"/>
        <v>739</v>
      </c>
      <c r="I112" s="11">
        <f t="shared" si="5"/>
        <v>620</v>
      </c>
      <c r="J112" s="11">
        <f t="shared" si="7"/>
        <v>119</v>
      </c>
    </row>
    <row r="113" spans="1:10" x14ac:dyDescent="0.3">
      <c r="A113" s="7">
        <v>44841.166666666577</v>
      </c>
      <c r="B113" s="8" t="s">
        <v>3</v>
      </c>
      <c r="C113" s="8">
        <v>0</v>
      </c>
      <c r="D113" t="str">
        <f t="shared" si="6"/>
        <v>Friday</v>
      </c>
      <c r="E113">
        <v>41</v>
      </c>
      <c r="F113" s="11">
        <f>VLOOKUP(B113,'ITEMS LIST'!$B$2:$F$19,4,FALSE)</f>
        <v>899</v>
      </c>
      <c r="G113" s="11">
        <f>VLOOKUP(B113,'ITEMS LIST'!$B$2:$F$19,5,FALSE)</f>
        <v>714</v>
      </c>
      <c r="H113" s="11">
        <f t="shared" si="4"/>
        <v>0</v>
      </c>
      <c r="I113" s="11">
        <f t="shared" si="5"/>
        <v>0</v>
      </c>
      <c r="J113" s="11">
        <f t="shared" si="7"/>
        <v>0</v>
      </c>
    </row>
    <row r="114" spans="1:10" x14ac:dyDescent="0.3">
      <c r="A114" s="7">
        <v>44841.222222222132</v>
      </c>
      <c r="B114" s="8" t="s">
        <v>4</v>
      </c>
      <c r="C114" s="8">
        <v>0</v>
      </c>
      <c r="D114" t="str">
        <f t="shared" si="6"/>
        <v>Friday</v>
      </c>
      <c r="E114">
        <v>41</v>
      </c>
      <c r="F114" s="11">
        <f>VLOOKUP(B114,'ITEMS LIST'!$B$2:$F$19,4,FALSE)</f>
        <v>1379</v>
      </c>
      <c r="G114" s="11">
        <f>VLOOKUP(B114,'ITEMS LIST'!$B$2:$F$19,5,FALSE)</f>
        <v>890</v>
      </c>
      <c r="H114" s="11">
        <f t="shared" si="4"/>
        <v>0</v>
      </c>
      <c r="I114" s="11">
        <f t="shared" si="5"/>
        <v>0</v>
      </c>
      <c r="J114" s="11">
        <f t="shared" si="7"/>
        <v>0</v>
      </c>
    </row>
    <row r="115" spans="1:10" x14ac:dyDescent="0.3">
      <c r="A115" s="7">
        <v>44841.277777777686</v>
      </c>
      <c r="B115" s="8" t="s">
        <v>5</v>
      </c>
      <c r="C115" s="8">
        <v>0</v>
      </c>
      <c r="D115" t="str">
        <f t="shared" si="6"/>
        <v>Friday</v>
      </c>
      <c r="E115">
        <v>41</v>
      </c>
      <c r="F115" s="11">
        <f>VLOOKUP(B115,'ITEMS LIST'!$B$2:$F$19,4,FALSE)</f>
        <v>849</v>
      </c>
      <c r="G115" s="11">
        <f>VLOOKUP(B115,'ITEMS LIST'!$B$2:$F$19,5,FALSE)</f>
        <v>530</v>
      </c>
      <c r="H115" s="11">
        <f t="shared" si="4"/>
        <v>0</v>
      </c>
      <c r="I115" s="11">
        <f t="shared" si="5"/>
        <v>0</v>
      </c>
      <c r="J115" s="11">
        <f t="shared" si="7"/>
        <v>0</v>
      </c>
    </row>
    <row r="116" spans="1:10" x14ac:dyDescent="0.3">
      <c r="A116" s="7">
        <v>44841.333333333241</v>
      </c>
      <c r="B116" s="8" t="s">
        <v>6</v>
      </c>
      <c r="C116" s="8">
        <v>0</v>
      </c>
      <c r="D116" t="str">
        <f t="shared" si="6"/>
        <v>Friday</v>
      </c>
      <c r="E116">
        <v>41</v>
      </c>
      <c r="F116" s="11">
        <f>VLOOKUP(B116,'ITEMS LIST'!$B$2:$F$19,4,FALSE)</f>
        <v>1000</v>
      </c>
      <c r="G116" s="11">
        <f>VLOOKUP(B116,'ITEMS LIST'!$B$2:$F$19,5,FALSE)</f>
        <v>768</v>
      </c>
      <c r="H116" s="11">
        <f t="shared" si="4"/>
        <v>0</v>
      </c>
      <c r="I116" s="11">
        <f t="shared" si="5"/>
        <v>0</v>
      </c>
      <c r="J116" s="11">
        <f t="shared" si="7"/>
        <v>0</v>
      </c>
    </row>
    <row r="117" spans="1:10" x14ac:dyDescent="0.3">
      <c r="A117" s="7">
        <v>44841.388888888796</v>
      </c>
      <c r="B117" s="8" t="s">
        <v>7</v>
      </c>
      <c r="C117" s="8">
        <v>1</v>
      </c>
      <c r="D117" t="str">
        <f t="shared" si="6"/>
        <v>Friday</v>
      </c>
      <c r="E117">
        <v>41</v>
      </c>
      <c r="F117" s="11">
        <f>VLOOKUP(B117,'ITEMS LIST'!$B$2:$F$19,4,FALSE)</f>
        <v>680</v>
      </c>
      <c r="G117" s="11">
        <f>VLOOKUP(B117,'ITEMS LIST'!$B$2:$F$19,5,FALSE)</f>
        <v>570</v>
      </c>
      <c r="H117" s="11">
        <f t="shared" si="4"/>
        <v>680</v>
      </c>
      <c r="I117" s="11">
        <f t="shared" si="5"/>
        <v>570</v>
      </c>
      <c r="J117" s="11">
        <f t="shared" si="7"/>
        <v>110</v>
      </c>
    </row>
    <row r="118" spans="1:10" x14ac:dyDescent="0.3">
      <c r="A118" s="7">
        <v>44841.444444444351</v>
      </c>
      <c r="B118" s="8" t="s">
        <v>8</v>
      </c>
      <c r="C118" s="8">
        <v>0</v>
      </c>
      <c r="D118" t="str">
        <f t="shared" si="6"/>
        <v>Friday</v>
      </c>
      <c r="E118">
        <v>41</v>
      </c>
      <c r="F118" s="11">
        <f>VLOOKUP(B118,'ITEMS LIST'!$B$2:$F$19,4,FALSE)</f>
        <v>199</v>
      </c>
      <c r="G118" s="11">
        <f>VLOOKUP(B118,'ITEMS LIST'!$B$2:$F$19,5,FALSE)</f>
        <v>140</v>
      </c>
      <c r="H118" s="11">
        <f t="shared" si="4"/>
        <v>0</v>
      </c>
      <c r="I118" s="11">
        <f t="shared" si="5"/>
        <v>0</v>
      </c>
      <c r="J118" s="11">
        <f t="shared" si="7"/>
        <v>0</v>
      </c>
    </row>
    <row r="119" spans="1:10" x14ac:dyDescent="0.3">
      <c r="A119" s="7">
        <v>44841.499999999905</v>
      </c>
      <c r="B119" s="8" t="s">
        <v>9</v>
      </c>
      <c r="C119" s="8">
        <v>0</v>
      </c>
      <c r="D119" t="str">
        <f t="shared" si="6"/>
        <v>Friday</v>
      </c>
      <c r="E119">
        <v>41</v>
      </c>
      <c r="F119" s="11">
        <f>VLOOKUP(B119,'ITEMS LIST'!$B$2:$F$19,4,FALSE)</f>
        <v>219</v>
      </c>
      <c r="G119" s="11">
        <f>VLOOKUP(B119,'ITEMS LIST'!$B$2:$F$19,5,FALSE)</f>
        <v>132</v>
      </c>
      <c r="H119" s="11">
        <f t="shared" si="4"/>
        <v>0</v>
      </c>
      <c r="I119" s="11">
        <f t="shared" si="5"/>
        <v>0</v>
      </c>
      <c r="J119" s="11">
        <f t="shared" si="7"/>
        <v>0</v>
      </c>
    </row>
    <row r="120" spans="1:10" x14ac:dyDescent="0.3">
      <c r="A120" s="7">
        <v>44841.55555555546</v>
      </c>
      <c r="B120" s="8" t="s">
        <v>10</v>
      </c>
      <c r="C120" s="8">
        <v>2</v>
      </c>
      <c r="D120" t="str">
        <f t="shared" si="6"/>
        <v>Friday</v>
      </c>
      <c r="E120">
        <v>41</v>
      </c>
      <c r="F120" s="11">
        <f>VLOOKUP(B120,'ITEMS LIST'!$B$2:$F$19,4,FALSE)</f>
        <v>1469</v>
      </c>
      <c r="G120" s="11">
        <f>VLOOKUP(B120,'ITEMS LIST'!$B$2:$F$19,5,FALSE)</f>
        <v>1184</v>
      </c>
      <c r="H120" s="11">
        <f t="shared" si="4"/>
        <v>2938</v>
      </c>
      <c r="I120" s="11">
        <f t="shared" si="5"/>
        <v>2368</v>
      </c>
      <c r="J120" s="11">
        <f t="shared" si="7"/>
        <v>570</v>
      </c>
    </row>
    <row r="121" spans="1:10" x14ac:dyDescent="0.3">
      <c r="A121" s="7">
        <v>44841.611111111015</v>
      </c>
      <c r="B121" s="8" t="s">
        <v>11</v>
      </c>
      <c r="C121" s="8">
        <v>0</v>
      </c>
      <c r="D121" t="str">
        <f t="shared" si="6"/>
        <v>Friday</v>
      </c>
      <c r="E121">
        <v>41</v>
      </c>
      <c r="F121" s="11">
        <f>VLOOKUP(B121,'ITEMS LIST'!$B$2:$F$19,4,FALSE)</f>
        <v>89</v>
      </c>
      <c r="G121" s="11">
        <f>VLOOKUP(B121,'ITEMS LIST'!$B$2:$F$19,5,FALSE)</f>
        <v>59</v>
      </c>
      <c r="H121" s="11">
        <f t="shared" si="4"/>
        <v>0</v>
      </c>
      <c r="I121" s="11">
        <f t="shared" si="5"/>
        <v>0</v>
      </c>
      <c r="J121" s="11">
        <f t="shared" si="7"/>
        <v>0</v>
      </c>
    </row>
    <row r="122" spans="1:10" x14ac:dyDescent="0.3">
      <c r="A122" s="7">
        <v>44841.66666666657</v>
      </c>
      <c r="B122" s="8" t="s">
        <v>12</v>
      </c>
      <c r="C122" s="8">
        <v>0</v>
      </c>
      <c r="D122" t="str">
        <f t="shared" si="6"/>
        <v>Friday</v>
      </c>
      <c r="E122">
        <v>41</v>
      </c>
      <c r="F122" s="11">
        <f>VLOOKUP(B122,'ITEMS LIST'!$B$2:$F$19,4,FALSE)</f>
        <v>310</v>
      </c>
      <c r="G122" s="11">
        <f>VLOOKUP(B122,'ITEMS LIST'!$B$2:$F$19,5,FALSE)</f>
        <v>206</v>
      </c>
      <c r="H122" s="11">
        <f t="shared" si="4"/>
        <v>0</v>
      </c>
      <c r="I122" s="11">
        <f t="shared" si="5"/>
        <v>0</v>
      </c>
      <c r="J122" s="11">
        <f t="shared" si="7"/>
        <v>0</v>
      </c>
    </row>
    <row r="123" spans="1:10" x14ac:dyDescent="0.3">
      <c r="A123" s="7">
        <v>44841.722222222124</v>
      </c>
      <c r="B123" s="8" t="s">
        <v>13</v>
      </c>
      <c r="C123" s="8">
        <v>0</v>
      </c>
      <c r="D123" t="str">
        <f t="shared" si="6"/>
        <v>Friday</v>
      </c>
      <c r="E123">
        <v>41</v>
      </c>
      <c r="F123" s="11">
        <f>VLOOKUP(B123,'ITEMS LIST'!$B$2:$F$19,4,FALSE)</f>
        <v>540</v>
      </c>
      <c r="G123" s="11">
        <f>VLOOKUP(B123,'ITEMS LIST'!$B$2:$F$19,5,FALSE)</f>
        <v>397</v>
      </c>
      <c r="H123" s="11">
        <f t="shared" si="4"/>
        <v>0</v>
      </c>
      <c r="I123" s="11">
        <f t="shared" si="5"/>
        <v>0</v>
      </c>
      <c r="J123" s="11">
        <f t="shared" si="7"/>
        <v>0</v>
      </c>
    </row>
    <row r="124" spans="1:10" x14ac:dyDescent="0.3">
      <c r="A124" s="7">
        <v>44841.777777777679</v>
      </c>
      <c r="B124" s="8" t="s">
        <v>14</v>
      </c>
      <c r="C124" s="8">
        <v>0</v>
      </c>
      <c r="D124" t="str">
        <f t="shared" si="6"/>
        <v>Friday</v>
      </c>
      <c r="E124">
        <v>41</v>
      </c>
      <c r="F124" s="11">
        <f>VLOOKUP(B124,'ITEMS LIST'!$B$2:$F$19,4,FALSE)</f>
        <v>360</v>
      </c>
      <c r="G124" s="11">
        <f>VLOOKUP(B124,'ITEMS LIST'!$B$2:$F$19,5,FALSE)</f>
        <v>248</v>
      </c>
      <c r="H124" s="11">
        <f t="shared" si="4"/>
        <v>0</v>
      </c>
      <c r="I124" s="11">
        <f t="shared" si="5"/>
        <v>0</v>
      </c>
      <c r="J124" s="11">
        <f t="shared" si="7"/>
        <v>0</v>
      </c>
    </row>
    <row r="125" spans="1:10" x14ac:dyDescent="0.3">
      <c r="A125" s="7">
        <v>44841.833333333234</v>
      </c>
      <c r="B125" s="8" t="s">
        <v>15</v>
      </c>
      <c r="C125" s="8">
        <v>0</v>
      </c>
      <c r="D125" t="str">
        <f t="shared" si="6"/>
        <v>Friday</v>
      </c>
      <c r="E125">
        <v>41</v>
      </c>
      <c r="F125" s="11">
        <f>VLOOKUP(B125,'ITEMS LIST'!$B$2:$F$19,4,FALSE)</f>
        <v>250</v>
      </c>
      <c r="G125" s="11">
        <f>VLOOKUP(B125,'ITEMS LIST'!$B$2:$F$19,5,FALSE)</f>
        <v>190</v>
      </c>
      <c r="H125" s="11">
        <f t="shared" si="4"/>
        <v>0</v>
      </c>
      <c r="I125" s="11">
        <f t="shared" si="5"/>
        <v>0</v>
      </c>
      <c r="J125" s="11">
        <f t="shared" si="7"/>
        <v>0</v>
      </c>
    </row>
    <row r="126" spans="1:10" x14ac:dyDescent="0.3">
      <c r="A126" s="7">
        <v>44841.888888888789</v>
      </c>
      <c r="B126" s="8" t="s">
        <v>16</v>
      </c>
      <c r="C126" s="8">
        <v>0</v>
      </c>
      <c r="D126" t="str">
        <f t="shared" si="6"/>
        <v>Friday</v>
      </c>
      <c r="E126">
        <v>41</v>
      </c>
      <c r="F126" s="11">
        <f>VLOOKUP(B126,'ITEMS LIST'!$B$2:$F$19,4,FALSE)</f>
        <v>120</v>
      </c>
      <c r="G126" s="11">
        <f>VLOOKUP(B126,'ITEMS LIST'!$B$2:$F$19,5,FALSE)</f>
        <v>85</v>
      </c>
      <c r="H126" s="11">
        <f t="shared" si="4"/>
        <v>0</v>
      </c>
      <c r="I126" s="11">
        <f t="shared" si="5"/>
        <v>0</v>
      </c>
      <c r="J126" s="11">
        <f t="shared" si="7"/>
        <v>0</v>
      </c>
    </row>
    <row r="127" spans="1:10" x14ac:dyDescent="0.3">
      <c r="A127" s="7">
        <v>44841.944444444343</v>
      </c>
      <c r="B127" s="8" t="s">
        <v>17</v>
      </c>
      <c r="C127" s="8">
        <v>0</v>
      </c>
      <c r="D127" t="str">
        <f t="shared" si="6"/>
        <v>Friday</v>
      </c>
      <c r="E127">
        <v>41</v>
      </c>
      <c r="F127" s="11">
        <f>VLOOKUP(B127,'ITEMS LIST'!$B$2:$F$19,4,FALSE)</f>
        <v>80</v>
      </c>
      <c r="G127" s="11">
        <f>VLOOKUP(B127,'ITEMS LIST'!$B$2:$F$19,5,FALSE)</f>
        <v>55</v>
      </c>
      <c r="H127" s="11">
        <f t="shared" si="4"/>
        <v>0</v>
      </c>
      <c r="I127" s="11">
        <f t="shared" si="5"/>
        <v>0</v>
      </c>
      <c r="J127" s="11">
        <f t="shared" si="7"/>
        <v>0</v>
      </c>
    </row>
    <row r="128" spans="1:10" x14ac:dyDescent="0.3">
      <c r="A128" s="7">
        <v>44841.999999999898</v>
      </c>
      <c r="B128" s="8" t="s">
        <v>0</v>
      </c>
      <c r="C128" s="8">
        <v>0</v>
      </c>
      <c r="D128" t="str">
        <f t="shared" si="6"/>
        <v>Saturday</v>
      </c>
      <c r="E128">
        <v>41</v>
      </c>
      <c r="F128" s="11">
        <f>VLOOKUP(B128,'ITEMS LIST'!$B$2:$F$19,4,FALSE)</f>
        <v>549</v>
      </c>
      <c r="G128" s="11">
        <f>VLOOKUP(B128,'ITEMS LIST'!$B$2:$F$19,5,FALSE)</f>
        <v>365</v>
      </c>
      <c r="H128" s="11">
        <f t="shared" si="4"/>
        <v>0</v>
      </c>
      <c r="I128" s="11">
        <f t="shared" si="5"/>
        <v>0</v>
      </c>
      <c r="J128" s="11">
        <f t="shared" si="7"/>
        <v>0</v>
      </c>
    </row>
    <row r="129" spans="1:10" x14ac:dyDescent="0.3">
      <c r="A129" s="7">
        <v>44842.055555555453</v>
      </c>
      <c r="B129" s="8" t="s">
        <v>1</v>
      </c>
      <c r="C129" s="8">
        <v>0</v>
      </c>
      <c r="D129" t="str">
        <f t="shared" si="6"/>
        <v>Saturday</v>
      </c>
      <c r="E129">
        <v>41</v>
      </c>
      <c r="F129" s="11">
        <f>VLOOKUP(B129,'ITEMS LIST'!$B$2:$F$19,4,FALSE)</f>
        <v>699</v>
      </c>
      <c r="G129" s="11">
        <f>VLOOKUP(B129,'ITEMS LIST'!$B$2:$F$19,5,FALSE)</f>
        <v>550</v>
      </c>
      <c r="H129" s="11">
        <f t="shared" si="4"/>
        <v>0</v>
      </c>
      <c r="I129" s="11">
        <f t="shared" si="5"/>
        <v>0</v>
      </c>
      <c r="J129" s="11">
        <f t="shared" si="7"/>
        <v>0</v>
      </c>
    </row>
    <row r="130" spans="1:10" x14ac:dyDescent="0.3">
      <c r="A130" s="7">
        <v>44842.111111111008</v>
      </c>
      <c r="B130" s="8" t="s">
        <v>2</v>
      </c>
      <c r="C130" s="8">
        <v>0</v>
      </c>
      <c r="D130" t="str">
        <f t="shared" si="6"/>
        <v>Saturday</v>
      </c>
      <c r="E130">
        <v>41</v>
      </c>
      <c r="F130" s="11">
        <f>VLOOKUP(B130,'ITEMS LIST'!$B$2:$F$19,4,FALSE)</f>
        <v>739</v>
      </c>
      <c r="G130" s="11">
        <f>VLOOKUP(B130,'ITEMS LIST'!$B$2:$F$19,5,FALSE)</f>
        <v>620</v>
      </c>
      <c r="H130" s="11">
        <f t="shared" ref="H130:H193" si="8">C130*F130</f>
        <v>0</v>
      </c>
      <c r="I130" s="11">
        <f t="shared" ref="I130:I193" si="9">C130*G130</f>
        <v>0</v>
      </c>
      <c r="J130" s="11">
        <f t="shared" si="7"/>
        <v>0</v>
      </c>
    </row>
    <row r="131" spans="1:10" x14ac:dyDescent="0.3">
      <c r="A131" s="7">
        <v>44842.166666666562</v>
      </c>
      <c r="B131" s="8" t="s">
        <v>3</v>
      </c>
      <c r="C131" s="8">
        <v>0</v>
      </c>
      <c r="D131" t="str">
        <f t="shared" ref="D131:D194" si="10">TEXT(A131,"dddd")</f>
        <v>Saturday</v>
      </c>
      <c r="E131">
        <v>41</v>
      </c>
      <c r="F131" s="11">
        <f>VLOOKUP(B131,'ITEMS LIST'!$B$2:$F$19,4,FALSE)</f>
        <v>899</v>
      </c>
      <c r="G131" s="11">
        <f>VLOOKUP(B131,'ITEMS LIST'!$B$2:$F$19,5,FALSE)</f>
        <v>714</v>
      </c>
      <c r="H131" s="11">
        <f t="shared" si="8"/>
        <v>0</v>
      </c>
      <c r="I131" s="11">
        <f t="shared" si="9"/>
        <v>0</v>
      </c>
      <c r="J131" s="11">
        <f t="shared" ref="J131:J194" si="11">H131-I131</f>
        <v>0</v>
      </c>
    </row>
    <row r="132" spans="1:10" x14ac:dyDescent="0.3">
      <c r="A132" s="7">
        <v>44842.222222222117</v>
      </c>
      <c r="B132" s="8" t="s">
        <v>4</v>
      </c>
      <c r="C132" s="8">
        <v>0</v>
      </c>
      <c r="D132" t="str">
        <f t="shared" si="10"/>
        <v>Saturday</v>
      </c>
      <c r="E132">
        <v>41</v>
      </c>
      <c r="F132" s="11">
        <f>VLOOKUP(B132,'ITEMS LIST'!$B$2:$F$19,4,FALSE)</f>
        <v>1379</v>
      </c>
      <c r="G132" s="11">
        <f>VLOOKUP(B132,'ITEMS LIST'!$B$2:$F$19,5,FALSE)</f>
        <v>890</v>
      </c>
      <c r="H132" s="11">
        <f t="shared" si="8"/>
        <v>0</v>
      </c>
      <c r="I132" s="11">
        <f t="shared" si="9"/>
        <v>0</v>
      </c>
      <c r="J132" s="11">
        <f t="shared" si="11"/>
        <v>0</v>
      </c>
    </row>
    <row r="133" spans="1:10" x14ac:dyDescent="0.3">
      <c r="A133" s="7">
        <v>44842.277777777672</v>
      </c>
      <c r="B133" s="8" t="s">
        <v>5</v>
      </c>
      <c r="C133" s="8">
        <v>0</v>
      </c>
      <c r="D133" t="str">
        <f t="shared" si="10"/>
        <v>Saturday</v>
      </c>
      <c r="E133">
        <v>41</v>
      </c>
      <c r="F133" s="11">
        <f>VLOOKUP(B133,'ITEMS LIST'!$B$2:$F$19,4,FALSE)</f>
        <v>849</v>
      </c>
      <c r="G133" s="11">
        <f>VLOOKUP(B133,'ITEMS LIST'!$B$2:$F$19,5,FALSE)</f>
        <v>530</v>
      </c>
      <c r="H133" s="11">
        <f t="shared" si="8"/>
        <v>0</v>
      </c>
      <c r="I133" s="11">
        <f t="shared" si="9"/>
        <v>0</v>
      </c>
      <c r="J133" s="11">
        <f t="shared" si="11"/>
        <v>0</v>
      </c>
    </row>
    <row r="134" spans="1:10" x14ac:dyDescent="0.3">
      <c r="A134" s="7">
        <v>44842.333333333227</v>
      </c>
      <c r="B134" s="8" t="s">
        <v>6</v>
      </c>
      <c r="C134" s="8">
        <v>0</v>
      </c>
      <c r="D134" t="str">
        <f t="shared" si="10"/>
        <v>Saturday</v>
      </c>
      <c r="E134">
        <v>41</v>
      </c>
      <c r="F134" s="11">
        <f>VLOOKUP(B134,'ITEMS LIST'!$B$2:$F$19,4,FALSE)</f>
        <v>1000</v>
      </c>
      <c r="G134" s="11">
        <f>VLOOKUP(B134,'ITEMS LIST'!$B$2:$F$19,5,FALSE)</f>
        <v>768</v>
      </c>
      <c r="H134" s="11">
        <f t="shared" si="8"/>
        <v>0</v>
      </c>
      <c r="I134" s="11">
        <f t="shared" si="9"/>
        <v>0</v>
      </c>
      <c r="J134" s="11">
        <f t="shared" si="11"/>
        <v>0</v>
      </c>
    </row>
    <row r="135" spans="1:10" x14ac:dyDescent="0.3">
      <c r="A135" s="7">
        <v>44842.388888888781</v>
      </c>
      <c r="B135" s="8" t="s">
        <v>7</v>
      </c>
      <c r="C135" s="8">
        <v>0</v>
      </c>
      <c r="D135" t="str">
        <f t="shared" si="10"/>
        <v>Saturday</v>
      </c>
      <c r="E135">
        <v>41</v>
      </c>
      <c r="F135" s="11">
        <f>VLOOKUP(B135,'ITEMS LIST'!$B$2:$F$19,4,FALSE)</f>
        <v>680</v>
      </c>
      <c r="G135" s="11">
        <f>VLOOKUP(B135,'ITEMS LIST'!$B$2:$F$19,5,FALSE)</f>
        <v>570</v>
      </c>
      <c r="H135" s="11">
        <f t="shared" si="8"/>
        <v>0</v>
      </c>
      <c r="I135" s="11">
        <f t="shared" si="9"/>
        <v>0</v>
      </c>
      <c r="J135" s="11">
        <f t="shared" si="11"/>
        <v>0</v>
      </c>
    </row>
    <row r="136" spans="1:10" x14ac:dyDescent="0.3">
      <c r="A136" s="7">
        <v>44842.444444444336</v>
      </c>
      <c r="B136" s="8" t="s">
        <v>8</v>
      </c>
      <c r="C136" s="8">
        <v>0</v>
      </c>
      <c r="D136" t="str">
        <f t="shared" si="10"/>
        <v>Saturday</v>
      </c>
      <c r="E136">
        <v>41</v>
      </c>
      <c r="F136" s="11">
        <f>VLOOKUP(B136,'ITEMS LIST'!$B$2:$F$19,4,FALSE)</f>
        <v>199</v>
      </c>
      <c r="G136" s="11">
        <f>VLOOKUP(B136,'ITEMS LIST'!$B$2:$F$19,5,FALSE)</f>
        <v>140</v>
      </c>
      <c r="H136" s="11">
        <f t="shared" si="8"/>
        <v>0</v>
      </c>
      <c r="I136" s="11">
        <f t="shared" si="9"/>
        <v>0</v>
      </c>
      <c r="J136" s="11">
        <f t="shared" si="11"/>
        <v>0</v>
      </c>
    </row>
    <row r="137" spans="1:10" x14ac:dyDescent="0.3">
      <c r="A137" s="7">
        <v>44842.499999999891</v>
      </c>
      <c r="B137" s="8" t="s">
        <v>9</v>
      </c>
      <c r="C137" s="8">
        <v>0</v>
      </c>
      <c r="D137" t="str">
        <f t="shared" si="10"/>
        <v>Saturday</v>
      </c>
      <c r="E137">
        <v>41</v>
      </c>
      <c r="F137" s="11">
        <f>VLOOKUP(B137,'ITEMS LIST'!$B$2:$F$19,4,FALSE)</f>
        <v>219</v>
      </c>
      <c r="G137" s="11">
        <f>VLOOKUP(B137,'ITEMS LIST'!$B$2:$F$19,5,FALSE)</f>
        <v>132</v>
      </c>
      <c r="H137" s="11">
        <f t="shared" si="8"/>
        <v>0</v>
      </c>
      <c r="I137" s="11">
        <f t="shared" si="9"/>
        <v>0</v>
      </c>
      <c r="J137" s="11">
        <f t="shared" si="11"/>
        <v>0</v>
      </c>
    </row>
    <row r="138" spans="1:10" x14ac:dyDescent="0.3">
      <c r="A138" s="7">
        <v>44842.555555555446</v>
      </c>
      <c r="B138" s="8" t="s">
        <v>10</v>
      </c>
      <c r="C138" s="8">
        <v>0</v>
      </c>
      <c r="D138" t="str">
        <f t="shared" si="10"/>
        <v>Saturday</v>
      </c>
      <c r="E138">
        <v>41</v>
      </c>
      <c r="F138" s="11">
        <f>VLOOKUP(B138,'ITEMS LIST'!$B$2:$F$19,4,FALSE)</f>
        <v>1469</v>
      </c>
      <c r="G138" s="11">
        <f>VLOOKUP(B138,'ITEMS LIST'!$B$2:$F$19,5,FALSE)</f>
        <v>1184</v>
      </c>
      <c r="H138" s="11">
        <f t="shared" si="8"/>
        <v>0</v>
      </c>
      <c r="I138" s="11">
        <f t="shared" si="9"/>
        <v>0</v>
      </c>
      <c r="J138" s="11">
        <f t="shared" si="11"/>
        <v>0</v>
      </c>
    </row>
    <row r="139" spans="1:10" x14ac:dyDescent="0.3">
      <c r="A139" s="7">
        <v>44842.611111111</v>
      </c>
      <c r="B139" s="8" t="s">
        <v>11</v>
      </c>
      <c r="C139" s="8">
        <v>0</v>
      </c>
      <c r="D139" t="str">
        <f t="shared" si="10"/>
        <v>Saturday</v>
      </c>
      <c r="E139">
        <v>41</v>
      </c>
      <c r="F139" s="11">
        <f>VLOOKUP(B139,'ITEMS LIST'!$B$2:$F$19,4,FALSE)</f>
        <v>89</v>
      </c>
      <c r="G139" s="11">
        <f>VLOOKUP(B139,'ITEMS LIST'!$B$2:$F$19,5,FALSE)</f>
        <v>59</v>
      </c>
      <c r="H139" s="11">
        <f t="shared" si="8"/>
        <v>0</v>
      </c>
      <c r="I139" s="11">
        <f t="shared" si="9"/>
        <v>0</v>
      </c>
      <c r="J139" s="11">
        <f t="shared" si="11"/>
        <v>0</v>
      </c>
    </row>
    <row r="140" spans="1:10" x14ac:dyDescent="0.3">
      <c r="A140" s="7">
        <v>44842.666666666555</v>
      </c>
      <c r="B140" s="8" t="s">
        <v>12</v>
      </c>
      <c r="C140" s="8">
        <v>0</v>
      </c>
      <c r="D140" t="str">
        <f t="shared" si="10"/>
        <v>Saturday</v>
      </c>
      <c r="E140">
        <v>41</v>
      </c>
      <c r="F140" s="11">
        <f>VLOOKUP(B140,'ITEMS LIST'!$B$2:$F$19,4,FALSE)</f>
        <v>310</v>
      </c>
      <c r="G140" s="11">
        <f>VLOOKUP(B140,'ITEMS LIST'!$B$2:$F$19,5,FALSE)</f>
        <v>206</v>
      </c>
      <c r="H140" s="11">
        <f t="shared" si="8"/>
        <v>0</v>
      </c>
      <c r="I140" s="11">
        <f t="shared" si="9"/>
        <v>0</v>
      </c>
      <c r="J140" s="11">
        <f t="shared" si="11"/>
        <v>0</v>
      </c>
    </row>
    <row r="141" spans="1:10" x14ac:dyDescent="0.3">
      <c r="A141" s="7">
        <v>44842.72222222211</v>
      </c>
      <c r="B141" s="8" t="s">
        <v>13</v>
      </c>
      <c r="C141" s="8">
        <v>0</v>
      </c>
      <c r="D141" t="str">
        <f t="shared" si="10"/>
        <v>Saturday</v>
      </c>
      <c r="E141">
        <v>41</v>
      </c>
      <c r="F141" s="11">
        <f>VLOOKUP(B141,'ITEMS LIST'!$B$2:$F$19,4,FALSE)</f>
        <v>540</v>
      </c>
      <c r="G141" s="11">
        <f>VLOOKUP(B141,'ITEMS LIST'!$B$2:$F$19,5,FALSE)</f>
        <v>397</v>
      </c>
      <c r="H141" s="11">
        <f t="shared" si="8"/>
        <v>0</v>
      </c>
      <c r="I141" s="11">
        <f t="shared" si="9"/>
        <v>0</v>
      </c>
      <c r="J141" s="11">
        <f t="shared" si="11"/>
        <v>0</v>
      </c>
    </row>
    <row r="142" spans="1:10" x14ac:dyDescent="0.3">
      <c r="A142" s="7">
        <v>44842.777777777665</v>
      </c>
      <c r="B142" s="8" t="s">
        <v>14</v>
      </c>
      <c r="C142" s="8">
        <v>0</v>
      </c>
      <c r="D142" t="str">
        <f t="shared" si="10"/>
        <v>Saturday</v>
      </c>
      <c r="E142">
        <v>41</v>
      </c>
      <c r="F142" s="11">
        <f>VLOOKUP(B142,'ITEMS LIST'!$B$2:$F$19,4,FALSE)</f>
        <v>360</v>
      </c>
      <c r="G142" s="11">
        <f>VLOOKUP(B142,'ITEMS LIST'!$B$2:$F$19,5,FALSE)</f>
        <v>248</v>
      </c>
      <c r="H142" s="11">
        <f t="shared" si="8"/>
        <v>0</v>
      </c>
      <c r="I142" s="11">
        <f t="shared" si="9"/>
        <v>0</v>
      </c>
      <c r="J142" s="11">
        <f t="shared" si="11"/>
        <v>0</v>
      </c>
    </row>
    <row r="143" spans="1:10" x14ac:dyDescent="0.3">
      <c r="A143" s="7">
        <v>44842.833333333219</v>
      </c>
      <c r="B143" s="8" t="s">
        <v>15</v>
      </c>
      <c r="C143" s="8">
        <v>0</v>
      </c>
      <c r="D143" t="str">
        <f t="shared" si="10"/>
        <v>Saturday</v>
      </c>
      <c r="E143">
        <v>41</v>
      </c>
      <c r="F143" s="11">
        <f>VLOOKUP(B143,'ITEMS LIST'!$B$2:$F$19,4,FALSE)</f>
        <v>250</v>
      </c>
      <c r="G143" s="11">
        <f>VLOOKUP(B143,'ITEMS LIST'!$B$2:$F$19,5,FALSE)</f>
        <v>190</v>
      </c>
      <c r="H143" s="11">
        <f t="shared" si="8"/>
        <v>0</v>
      </c>
      <c r="I143" s="11">
        <f t="shared" si="9"/>
        <v>0</v>
      </c>
      <c r="J143" s="11">
        <f t="shared" si="11"/>
        <v>0</v>
      </c>
    </row>
    <row r="144" spans="1:10" x14ac:dyDescent="0.3">
      <c r="A144" s="7">
        <v>44842.888888888774</v>
      </c>
      <c r="B144" s="8" t="s">
        <v>16</v>
      </c>
      <c r="C144" s="8">
        <v>0</v>
      </c>
      <c r="D144" t="str">
        <f t="shared" si="10"/>
        <v>Saturday</v>
      </c>
      <c r="E144">
        <v>41</v>
      </c>
      <c r="F144" s="11">
        <f>VLOOKUP(B144,'ITEMS LIST'!$B$2:$F$19,4,FALSE)</f>
        <v>120</v>
      </c>
      <c r="G144" s="11">
        <f>VLOOKUP(B144,'ITEMS LIST'!$B$2:$F$19,5,FALSE)</f>
        <v>85</v>
      </c>
      <c r="H144" s="11">
        <f t="shared" si="8"/>
        <v>0</v>
      </c>
      <c r="I144" s="11">
        <f t="shared" si="9"/>
        <v>0</v>
      </c>
      <c r="J144" s="11">
        <f t="shared" si="11"/>
        <v>0</v>
      </c>
    </row>
    <row r="145" spans="1:10" x14ac:dyDescent="0.3">
      <c r="A145" s="7">
        <v>44842.944444444329</v>
      </c>
      <c r="B145" s="8" t="s">
        <v>17</v>
      </c>
      <c r="C145" s="8">
        <v>0</v>
      </c>
      <c r="D145" t="str">
        <f t="shared" si="10"/>
        <v>Saturday</v>
      </c>
      <c r="E145">
        <v>41</v>
      </c>
      <c r="F145" s="11">
        <f>VLOOKUP(B145,'ITEMS LIST'!$B$2:$F$19,4,FALSE)</f>
        <v>80</v>
      </c>
      <c r="G145" s="11">
        <f>VLOOKUP(B145,'ITEMS LIST'!$B$2:$F$19,5,FALSE)</f>
        <v>55</v>
      </c>
      <c r="H145" s="11">
        <f t="shared" si="8"/>
        <v>0</v>
      </c>
      <c r="I145" s="11">
        <f t="shared" si="9"/>
        <v>0</v>
      </c>
      <c r="J145" s="11">
        <f t="shared" si="11"/>
        <v>0</v>
      </c>
    </row>
    <row r="146" spans="1:10" x14ac:dyDescent="0.3">
      <c r="A146" s="7">
        <v>44842.999999999884</v>
      </c>
      <c r="B146" s="8" t="s">
        <v>0</v>
      </c>
      <c r="C146" s="8">
        <v>0</v>
      </c>
      <c r="D146" t="str">
        <f t="shared" si="10"/>
        <v>Sunday</v>
      </c>
      <c r="E146">
        <v>42</v>
      </c>
      <c r="F146" s="11">
        <f>VLOOKUP(B146,'ITEMS LIST'!$B$2:$F$19,4,FALSE)</f>
        <v>549</v>
      </c>
      <c r="G146" s="11">
        <f>VLOOKUP(B146,'ITEMS LIST'!$B$2:$F$19,5,FALSE)</f>
        <v>365</v>
      </c>
      <c r="H146" s="11">
        <f t="shared" si="8"/>
        <v>0</v>
      </c>
      <c r="I146" s="11">
        <f t="shared" si="9"/>
        <v>0</v>
      </c>
      <c r="J146" s="11">
        <f t="shared" si="11"/>
        <v>0</v>
      </c>
    </row>
    <row r="147" spans="1:10" x14ac:dyDescent="0.3">
      <c r="A147" s="7">
        <v>44843.055555555438</v>
      </c>
      <c r="B147" s="8" t="s">
        <v>1</v>
      </c>
      <c r="C147" s="8">
        <v>0</v>
      </c>
      <c r="D147" t="str">
        <f t="shared" si="10"/>
        <v>Sunday</v>
      </c>
      <c r="E147">
        <v>42</v>
      </c>
      <c r="F147" s="11">
        <f>VLOOKUP(B147,'ITEMS LIST'!$B$2:$F$19,4,FALSE)</f>
        <v>699</v>
      </c>
      <c r="G147" s="11">
        <f>VLOOKUP(B147,'ITEMS LIST'!$B$2:$F$19,5,FALSE)</f>
        <v>550</v>
      </c>
      <c r="H147" s="11">
        <f t="shared" si="8"/>
        <v>0</v>
      </c>
      <c r="I147" s="11">
        <f t="shared" si="9"/>
        <v>0</v>
      </c>
      <c r="J147" s="11">
        <f t="shared" si="11"/>
        <v>0</v>
      </c>
    </row>
    <row r="148" spans="1:10" x14ac:dyDescent="0.3">
      <c r="A148" s="7">
        <v>44843.111111110993</v>
      </c>
      <c r="B148" s="8" t="s">
        <v>2</v>
      </c>
      <c r="C148" s="8">
        <v>0</v>
      </c>
      <c r="D148" t="str">
        <f t="shared" si="10"/>
        <v>Sunday</v>
      </c>
      <c r="E148">
        <v>42</v>
      </c>
      <c r="F148" s="11">
        <f>VLOOKUP(B148,'ITEMS LIST'!$B$2:$F$19,4,FALSE)</f>
        <v>739</v>
      </c>
      <c r="G148" s="11">
        <f>VLOOKUP(B148,'ITEMS LIST'!$B$2:$F$19,5,FALSE)</f>
        <v>620</v>
      </c>
      <c r="H148" s="11">
        <f t="shared" si="8"/>
        <v>0</v>
      </c>
      <c r="I148" s="11">
        <f t="shared" si="9"/>
        <v>0</v>
      </c>
      <c r="J148" s="11">
        <f t="shared" si="11"/>
        <v>0</v>
      </c>
    </row>
    <row r="149" spans="1:10" x14ac:dyDescent="0.3">
      <c r="A149" s="7">
        <v>44843.166666666548</v>
      </c>
      <c r="B149" s="8" t="s">
        <v>3</v>
      </c>
      <c r="C149" s="8">
        <v>0</v>
      </c>
      <c r="D149" t="str">
        <f t="shared" si="10"/>
        <v>Sunday</v>
      </c>
      <c r="E149">
        <v>42</v>
      </c>
      <c r="F149" s="11">
        <f>VLOOKUP(B149,'ITEMS LIST'!$B$2:$F$19,4,FALSE)</f>
        <v>899</v>
      </c>
      <c r="G149" s="11">
        <f>VLOOKUP(B149,'ITEMS LIST'!$B$2:$F$19,5,FALSE)</f>
        <v>714</v>
      </c>
      <c r="H149" s="11">
        <f t="shared" si="8"/>
        <v>0</v>
      </c>
      <c r="I149" s="11">
        <f t="shared" si="9"/>
        <v>0</v>
      </c>
      <c r="J149" s="11">
        <f t="shared" si="11"/>
        <v>0</v>
      </c>
    </row>
    <row r="150" spans="1:10" x14ac:dyDescent="0.3">
      <c r="A150" s="7">
        <v>44843.222222222103</v>
      </c>
      <c r="B150" s="8" t="s">
        <v>4</v>
      </c>
      <c r="C150" s="8">
        <v>0</v>
      </c>
      <c r="D150" t="str">
        <f t="shared" si="10"/>
        <v>Sunday</v>
      </c>
      <c r="E150">
        <v>42</v>
      </c>
      <c r="F150" s="11">
        <f>VLOOKUP(B150,'ITEMS LIST'!$B$2:$F$19,4,FALSE)</f>
        <v>1379</v>
      </c>
      <c r="G150" s="11">
        <f>VLOOKUP(B150,'ITEMS LIST'!$B$2:$F$19,5,FALSE)</f>
        <v>890</v>
      </c>
      <c r="H150" s="11">
        <f t="shared" si="8"/>
        <v>0</v>
      </c>
      <c r="I150" s="11">
        <f t="shared" si="9"/>
        <v>0</v>
      </c>
      <c r="J150" s="11">
        <f t="shared" si="11"/>
        <v>0</v>
      </c>
    </row>
    <row r="151" spans="1:10" x14ac:dyDescent="0.3">
      <c r="A151" s="7">
        <v>44843.277777777657</v>
      </c>
      <c r="B151" s="8" t="s">
        <v>5</v>
      </c>
      <c r="C151" s="8">
        <v>0</v>
      </c>
      <c r="D151" t="str">
        <f t="shared" si="10"/>
        <v>Sunday</v>
      </c>
      <c r="E151">
        <v>42</v>
      </c>
      <c r="F151" s="11">
        <f>VLOOKUP(B151,'ITEMS LIST'!$B$2:$F$19,4,FALSE)</f>
        <v>849</v>
      </c>
      <c r="G151" s="11">
        <f>VLOOKUP(B151,'ITEMS LIST'!$B$2:$F$19,5,FALSE)</f>
        <v>530</v>
      </c>
      <c r="H151" s="11">
        <f t="shared" si="8"/>
        <v>0</v>
      </c>
      <c r="I151" s="11">
        <f t="shared" si="9"/>
        <v>0</v>
      </c>
      <c r="J151" s="11">
        <f t="shared" si="11"/>
        <v>0</v>
      </c>
    </row>
    <row r="152" spans="1:10" x14ac:dyDescent="0.3">
      <c r="A152" s="7">
        <v>44843.333333333212</v>
      </c>
      <c r="B152" s="8" t="s">
        <v>6</v>
      </c>
      <c r="C152" s="8">
        <v>0</v>
      </c>
      <c r="D152" t="str">
        <f t="shared" si="10"/>
        <v>Sunday</v>
      </c>
      <c r="E152">
        <v>42</v>
      </c>
      <c r="F152" s="11">
        <f>VLOOKUP(B152,'ITEMS LIST'!$B$2:$F$19,4,FALSE)</f>
        <v>1000</v>
      </c>
      <c r="G152" s="11">
        <f>VLOOKUP(B152,'ITEMS LIST'!$B$2:$F$19,5,FALSE)</f>
        <v>768</v>
      </c>
      <c r="H152" s="11">
        <f t="shared" si="8"/>
        <v>0</v>
      </c>
      <c r="I152" s="11">
        <f t="shared" si="9"/>
        <v>0</v>
      </c>
      <c r="J152" s="11">
        <f t="shared" si="11"/>
        <v>0</v>
      </c>
    </row>
    <row r="153" spans="1:10" x14ac:dyDescent="0.3">
      <c r="A153" s="7">
        <v>44843.388888888767</v>
      </c>
      <c r="B153" s="8" t="s">
        <v>7</v>
      </c>
      <c r="C153" s="8">
        <v>0</v>
      </c>
      <c r="D153" t="str">
        <f t="shared" si="10"/>
        <v>Sunday</v>
      </c>
      <c r="E153">
        <v>42</v>
      </c>
      <c r="F153" s="11">
        <f>VLOOKUP(B153,'ITEMS LIST'!$B$2:$F$19,4,FALSE)</f>
        <v>680</v>
      </c>
      <c r="G153" s="11">
        <f>VLOOKUP(B153,'ITEMS LIST'!$B$2:$F$19,5,FALSE)</f>
        <v>570</v>
      </c>
      <c r="H153" s="11">
        <f t="shared" si="8"/>
        <v>0</v>
      </c>
      <c r="I153" s="11">
        <f t="shared" si="9"/>
        <v>0</v>
      </c>
      <c r="J153" s="11">
        <f t="shared" si="11"/>
        <v>0</v>
      </c>
    </row>
    <row r="154" spans="1:10" x14ac:dyDescent="0.3">
      <c r="A154" s="7">
        <v>44843.444444444322</v>
      </c>
      <c r="B154" s="8" t="s">
        <v>8</v>
      </c>
      <c r="C154" s="8">
        <v>0</v>
      </c>
      <c r="D154" t="str">
        <f t="shared" si="10"/>
        <v>Sunday</v>
      </c>
      <c r="E154">
        <v>42</v>
      </c>
      <c r="F154" s="11">
        <f>VLOOKUP(B154,'ITEMS LIST'!$B$2:$F$19,4,FALSE)</f>
        <v>199</v>
      </c>
      <c r="G154" s="11">
        <f>VLOOKUP(B154,'ITEMS LIST'!$B$2:$F$19,5,FALSE)</f>
        <v>140</v>
      </c>
      <c r="H154" s="11">
        <f t="shared" si="8"/>
        <v>0</v>
      </c>
      <c r="I154" s="11">
        <f t="shared" si="9"/>
        <v>0</v>
      </c>
      <c r="J154" s="11">
        <f t="shared" si="11"/>
        <v>0</v>
      </c>
    </row>
    <row r="155" spans="1:10" x14ac:dyDescent="0.3">
      <c r="A155" s="7">
        <v>44843.499999999876</v>
      </c>
      <c r="B155" s="8" t="s">
        <v>9</v>
      </c>
      <c r="C155" s="8">
        <v>0</v>
      </c>
      <c r="D155" t="str">
        <f t="shared" si="10"/>
        <v>Sunday</v>
      </c>
      <c r="E155">
        <v>42</v>
      </c>
      <c r="F155" s="11">
        <f>VLOOKUP(B155,'ITEMS LIST'!$B$2:$F$19,4,FALSE)</f>
        <v>219</v>
      </c>
      <c r="G155" s="11">
        <f>VLOOKUP(B155,'ITEMS LIST'!$B$2:$F$19,5,FALSE)</f>
        <v>132</v>
      </c>
      <c r="H155" s="11">
        <f t="shared" si="8"/>
        <v>0</v>
      </c>
      <c r="I155" s="11">
        <f t="shared" si="9"/>
        <v>0</v>
      </c>
      <c r="J155" s="11">
        <f t="shared" si="11"/>
        <v>0</v>
      </c>
    </row>
    <row r="156" spans="1:10" x14ac:dyDescent="0.3">
      <c r="A156" s="7">
        <v>44843.555555555431</v>
      </c>
      <c r="B156" s="8" t="s">
        <v>10</v>
      </c>
      <c r="C156" s="8">
        <v>0</v>
      </c>
      <c r="D156" t="str">
        <f t="shared" si="10"/>
        <v>Sunday</v>
      </c>
      <c r="E156">
        <v>42</v>
      </c>
      <c r="F156" s="11">
        <f>VLOOKUP(B156,'ITEMS LIST'!$B$2:$F$19,4,FALSE)</f>
        <v>1469</v>
      </c>
      <c r="G156" s="11">
        <f>VLOOKUP(B156,'ITEMS LIST'!$B$2:$F$19,5,FALSE)</f>
        <v>1184</v>
      </c>
      <c r="H156" s="11">
        <f t="shared" si="8"/>
        <v>0</v>
      </c>
      <c r="I156" s="11">
        <f t="shared" si="9"/>
        <v>0</v>
      </c>
      <c r="J156" s="11">
        <f t="shared" si="11"/>
        <v>0</v>
      </c>
    </row>
    <row r="157" spans="1:10" x14ac:dyDescent="0.3">
      <c r="A157" s="7">
        <v>44843.611111110986</v>
      </c>
      <c r="B157" s="8" t="s">
        <v>11</v>
      </c>
      <c r="C157" s="8">
        <v>0</v>
      </c>
      <c r="D157" t="str">
        <f t="shared" si="10"/>
        <v>Sunday</v>
      </c>
      <c r="E157">
        <v>42</v>
      </c>
      <c r="F157" s="11">
        <f>VLOOKUP(B157,'ITEMS LIST'!$B$2:$F$19,4,FALSE)</f>
        <v>89</v>
      </c>
      <c r="G157" s="11">
        <f>VLOOKUP(B157,'ITEMS LIST'!$B$2:$F$19,5,FALSE)</f>
        <v>59</v>
      </c>
      <c r="H157" s="11">
        <f t="shared" si="8"/>
        <v>0</v>
      </c>
      <c r="I157" s="11">
        <f t="shared" si="9"/>
        <v>0</v>
      </c>
      <c r="J157" s="11">
        <f t="shared" si="11"/>
        <v>0</v>
      </c>
    </row>
    <row r="158" spans="1:10" x14ac:dyDescent="0.3">
      <c r="A158" s="7">
        <v>44843.666666666541</v>
      </c>
      <c r="B158" s="8" t="s">
        <v>12</v>
      </c>
      <c r="C158" s="8">
        <v>0</v>
      </c>
      <c r="D158" t="str">
        <f t="shared" si="10"/>
        <v>Sunday</v>
      </c>
      <c r="E158">
        <v>42</v>
      </c>
      <c r="F158" s="11">
        <f>VLOOKUP(B158,'ITEMS LIST'!$B$2:$F$19,4,FALSE)</f>
        <v>310</v>
      </c>
      <c r="G158" s="11">
        <f>VLOOKUP(B158,'ITEMS LIST'!$B$2:$F$19,5,FALSE)</f>
        <v>206</v>
      </c>
      <c r="H158" s="11">
        <f t="shared" si="8"/>
        <v>0</v>
      </c>
      <c r="I158" s="11">
        <f t="shared" si="9"/>
        <v>0</v>
      </c>
      <c r="J158" s="11">
        <f t="shared" si="11"/>
        <v>0</v>
      </c>
    </row>
    <row r="159" spans="1:10" x14ac:dyDescent="0.3">
      <c r="A159" s="7">
        <v>44843.722222222095</v>
      </c>
      <c r="B159" s="8" t="s">
        <v>13</v>
      </c>
      <c r="C159" s="8">
        <v>0</v>
      </c>
      <c r="D159" t="str">
        <f t="shared" si="10"/>
        <v>Sunday</v>
      </c>
      <c r="E159">
        <v>42</v>
      </c>
      <c r="F159" s="11">
        <f>VLOOKUP(B159,'ITEMS LIST'!$B$2:$F$19,4,FALSE)</f>
        <v>540</v>
      </c>
      <c r="G159" s="11">
        <f>VLOOKUP(B159,'ITEMS LIST'!$B$2:$F$19,5,FALSE)</f>
        <v>397</v>
      </c>
      <c r="H159" s="11">
        <f t="shared" si="8"/>
        <v>0</v>
      </c>
      <c r="I159" s="11">
        <f t="shared" si="9"/>
        <v>0</v>
      </c>
      <c r="J159" s="11">
        <f t="shared" si="11"/>
        <v>0</v>
      </c>
    </row>
    <row r="160" spans="1:10" x14ac:dyDescent="0.3">
      <c r="A160" s="7">
        <v>44843.77777777765</v>
      </c>
      <c r="B160" s="8" t="s">
        <v>14</v>
      </c>
      <c r="C160" s="8">
        <v>0</v>
      </c>
      <c r="D160" t="str">
        <f t="shared" si="10"/>
        <v>Sunday</v>
      </c>
      <c r="E160">
        <v>42</v>
      </c>
      <c r="F160" s="11">
        <f>VLOOKUP(B160,'ITEMS LIST'!$B$2:$F$19,4,FALSE)</f>
        <v>360</v>
      </c>
      <c r="G160" s="11">
        <f>VLOOKUP(B160,'ITEMS LIST'!$B$2:$F$19,5,FALSE)</f>
        <v>248</v>
      </c>
      <c r="H160" s="11">
        <f t="shared" si="8"/>
        <v>0</v>
      </c>
      <c r="I160" s="11">
        <f t="shared" si="9"/>
        <v>0</v>
      </c>
      <c r="J160" s="11">
        <f t="shared" si="11"/>
        <v>0</v>
      </c>
    </row>
    <row r="161" spans="1:10" x14ac:dyDescent="0.3">
      <c r="A161" s="7">
        <v>44843.833333333205</v>
      </c>
      <c r="B161" s="8" t="s">
        <v>15</v>
      </c>
      <c r="C161" s="8">
        <v>0</v>
      </c>
      <c r="D161" t="str">
        <f t="shared" si="10"/>
        <v>Sunday</v>
      </c>
      <c r="E161">
        <v>42</v>
      </c>
      <c r="F161" s="11">
        <f>VLOOKUP(B161,'ITEMS LIST'!$B$2:$F$19,4,FALSE)</f>
        <v>250</v>
      </c>
      <c r="G161" s="11">
        <f>VLOOKUP(B161,'ITEMS LIST'!$B$2:$F$19,5,FALSE)</f>
        <v>190</v>
      </c>
      <c r="H161" s="11">
        <f t="shared" si="8"/>
        <v>0</v>
      </c>
      <c r="I161" s="11">
        <f t="shared" si="9"/>
        <v>0</v>
      </c>
      <c r="J161" s="11">
        <f t="shared" si="11"/>
        <v>0</v>
      </c>
    </row>
    <row r="162" spans="1:10" x14ac:dyDescent="0.3">
      <c r="A162" s="7">
        <v>44843.88888888876</v>
      </c>
      <c r="B162" s="8" t="s">
        <v>16</v>
      </c>
      <c r="C162" s="8">
        <v>0</v>
      </c>
      <c r="D162" t="str">
        <f t="shared" si="10"/>
        <v>Sunday</v>
      </c>
      <c r="E162">
        <v>42</v>
      </c>
      <c r="F162" s="11">
        <f>VLOOKUP(B162,'ITEMS LIST'!$B$2:$F$19,4,FALSE)</f>
        <v>120</v>
      </c>
      <c r="G162" s="11">
        <f>VLOOKUP(B162,'ITEMS LIST'!$B$2:$F$19,5,FALSE)</f>
        <v>85</v>
      </c>
      <c r="H162" s="11">
        <f t="shared" si="8"/>
        <v>0</v>
      </c>
      <c r="I162" s="11">
        <f t="shared" si="9"/>
        <v>0</v>
      </c>
      <c r="J162" s="11">
        <f t="shared" si="11"/>
        <v>0</v>
      </c>
    </row>
    <row r="163" spans="1:10" x14ac:dyDescent="0.3">
      <c r="A163" s="7">
        <v>44843.944444444314</v>
      </c>
      <c r="B163" s="8" t="s">
        <v>17</v>
      </c>
      <c r="C163" s="8">
        <v>0</v>
      </c>
      <c r="D163" t="str">
        <f t="shared" si="10"/>
        <v>Sunday</v>
      </c>
      <c r="E163">
        <v>42</v>
      </c>
      <c r="F163" s="11">
        <f>VLOOKUP(B163,'ITEMS LIST'!$B$2:$F$19,4,FALSE)</f>
        <v>80</v>
      </c>
      <c r="G163" s="11">
        <f>VLOOKUP(B163,'ITEMS LIST'!$B$2:$F$19,5,FALSE)</f>
        <v>55</v>
      </c>
      <c r="H163" s="11">
        <f t="shared" si="8"/>
        <v>0</v>
      </c>
      <c r="I163" s="11">
        <f t="shared" si="9"/>
        <v>0</v>
      </c>
      <c r="J163" s="11">
        <f t="shared" si="11"/>
        <v>0</v>
      </c>
    </row>
    <row r="164" spans="1:10" x14ac:dyDescent="0.3">
      <c r="A164" s="7">
        <v>44843.999999999869</v>
      </c>
      <c r="B164" s="8" t="s">
        <v>0</v>
      </c>
      <c r="C164" s="8">
        <v>0</v>
      </c>
      <c r="D164" t="str">
        <f t="shared" si="10"/>
        <v>Monday</v>
      </c>
      <c r="E164">
        <v>42</v>
      </c>
      <c r="F164" s="11">
        <f>VLOOKUP(B164,'ITEMS LIST'!$B$2:$F$19,4,FALSE)</f>
        <v>549</v>
      </c>
      <c r="G164" s="11">
        <f>VLOOKUP(B164,'ITEMS LIST'!$B$2:$F$19,5,FALSE)</f>
        <v>365</v>
      </c>
      <c r="H164" s="11">
        <f t="shared" si="8"/>
        <v>0</v>
      </c>
      <c r="I164" s="11">
        <f t="shared" si="9"/>
        <v>0</v>
      </c>
      <c r="J164" s="11">
        <f t="shared" si="11"/>
        <v>0</v>
      </c>
    </row>
    <row r="165" spans="1:10" x14ac:dyDescent="0.3">
      <c r="A165" s="7">
        <v>44844.055555555424</v>
      </c>
      <c r="B165" s="8" t="s">
        <v>1</v>
      </c>
      <c r="C165" s="8">
        <v>1</v>
      </c>
      <c r="D165" t="str">
        <f t="shared" si="10"/>
        <v>Monday</v>
      </c>
      <c r="E165">
        <v>42</v>
      </c>
      <c r="F165" s="11">
        <f>VLOOKUP(B165,'ITEMS LIST'!$B$2:$F$19,4,FALSE)</f>
        <v>699</v>
      </c>
      <c r="G165" s="11">
        <f>VLOOKUP(B165,'ITEMS LIST'!$B$2:$F$19,5,FALSE)</f>
        <v>550</v>
      </c>
      <c r="H165" s="11">
        <f t="shared" si="8"/>
        <v>699</v>
      </c>
      <c r="I165" s="11">
        <f t="shared" si="9"/>
        <v>550</v>
      </c>
      <c r="J165" s="11">
        <f t="shared" si="11"/>
        <v>149</v>
      </c>
    </row>
    <row r="166" spans="1:10" x14ac:dyDescent="0.3">
      <c r="A166" s="7">
        <v>44844.111111110979</v>
      </c>
      <c r="B166" s="8" t="s">
        <v>2</v>
      </c>
      <c r="C166" s="8">
        <v>0</v>
      </c>
      <c r="D166" t="str">
        <f t="shared" si="10"/>
        <v>Monday</v>
      </c>
      <c r="E166">
        <v>42</v>
      </c>
      <c r="F166" s="11">
        <f>VLOOKUP(B166,'ITEMS LIST'!$B$2:$F$19,4,FALSE)</f>
        <v>739</v>
      </c>
      <c r="G166" s="11">
        <f>VLOOKUP(B166,'ITEMS LIST'!$B$2:$F$19,5,FALSE)</f>
        <v>620</v>
      </c>
      <c r="H166" s="11">
        <f t="shared" si="8"/>
        <v>0</v>
      </c>
      <c r="I166" s="11">
        <f t="shared" si="9"/>
        <v>0</v>
      </c>
      <c r="J166" s="11">
        <f t="shared" si="11"/>
        <v>0</v>
      </c>
    </row>
    <row r="167" spans="1:10" x14ac:dyDescent="0.3">
      <c r="A167" s="7">
        <v>44844.166666666533</v>
      </c>
      <c r="B167" s="8" t="s">
        <v>3</v>
      </c>
      <c r="C167" s="8">
        <v>0</v>
      </c>
      <c r="D167" t="str">
        <f t="shared" si="10"/>
        <v>Monday</v>
      </c>
      <c r="E167">
        <v>42</v>
      </c>
      <c r="F167" s="11">
        <f>VLOOKUP(B167,'ITEMS LIST'!$B$2:$F$19,4,FALSE)</f>
        <v>899</v>
      </c>
      <c r="G167" s="11">
        <f>VLOOKUP(B167,'ITEMS LIST'!$B$2:$F$19,5,FALSE)</f>
        <v>714</v>
      </c>
      <c r="H167" s="11">
        <f t="shared" si="8"/>
        <v>0</v>
      </c>
      <c r="I167" s="11">
        <f t="shared" si="9"/>
        <v>0</v>
      </c>
      <c r="J167" s="11">
        <f t="shared" si="11"/>
        <v>0</v>
      </c>
    </row>
    <row r="168" spans="1:10" x14ac:dyDescent="0.3">
      <c r="A168" s="7">
        <v>44844.222222222088</v>
      </c>
      <c r="B168" s="8" t="s">
        <v>4</v>
      </c>
      <c r="C168" s="8">
        <v>0</v>
      </c>
      <c r="D168" t="str">
        <f t="shared" si="10"/>
        <v>Monday</v>
      </c>
      <c r="E168">
        <v>42</v>
      </c>
      <c r="F168" s="11">
        <f>VLOOKUP(B168,'ITEMS LIST'!$B$2:$F$19,4,FALSE)</f>
        <v>1379</v>
      </c>
      <c r="G168" s="11">
        <f>VLOOKUP(B168,'ITEMS LIST'!$B$2:$F$19,5,FALSE)</f>
        <v>890</v>
      </c>
      <c r="H168" s="11">
        <f t="shared" si="8"/>
        <v>0</v>
      </c>
      <c r="I168" s="11">
        <f t="shared" si="9"/>
        <v>0</v>
      </c>
      <c r="J168" s="11">
        <f t="shared" si="11"/>
        <v>0</v>
      </c>
    </row>
    <row r="169" spans="1:10" x14ac:dyDescent="0.3">
      <c r="A169" s="7">
        <v>44844.277777777643</v>
      </c>
      <c r="B169" s="8" t="s">
        <v>5</v>
      </c>
      <c r="C169" s="8">
        <v>2</v>
      </c>
      <c r="D169" t="str">
        <f t="shared" si="10"/>
        <v>Monday</v>
      </c>
      <c r="E169">
        <v>42</v>
      </c>
      <c r="F169" s="11">
        <f>VLOOKUP(B169,'ITEMS LIST'!$B$2:$F$19,4,FALSE)</f>
        <v>849</v>
      </c>
      <c r="G169" s="11">
        <f>VLOOKUP(B169,'ITEMS LIST'!$B$2:$F$19,5,FALSE)</f>
        <v>530</v>
      </c>
      <c r="H169" s="11">
        <f t="shared" si="8"/>
        <v>1698</v>
      </c>
      <c r="I169" s="11">
        <f t="shared" si="9"/>
        <v>1060</v>
      </c>
      <c r="J169" s="11">
        <f t="shared" si="11"/>
        <v>638</v>
      </c>
    </row>
    <row r="170" spans="1:10" x14ac:dyDescent="0.3">
      <c r="A170" s="7">
        <v>44844.333333333198</v>
      </c>
      <c r="B170" s="8" t="s">
        <v>6</v>
      </c>
      <c r="C170" s="8">
        <v>0</v>
      </c>
      <c r="D170" t="str">
        <f t="shared" si="10"/>
        <v>Monday</v>
      </c>
      <c r="E170">
        <v>42</v>
      </c>
      <c r="F170" s="11">
        <f>VLOOKUP(B170,'ITEMS LIST'!$B$2:$F$19,4,FALSE)</f>
        <v>1000</v>
      </c>
      <c r="G170" s="11">
        <f>VLOOKUP(B170,'ITEMS LIST'!$B$2:$F$19,5,FALSE)</f>
        <v>768</v>
      </c>
      <c r="H170" s="11">
        <f t="shared" si="8"/>
        <v>0</v>
      </c>
      <c r="I170" s="11">
        <f t="shared" si="9"/>
        <v>0</v>
      </c>
      <c r="J170" s="11">
        <f t="shared" si="11"/>
        <v>0</v>
      </c>
    </row>
    <row r="171" spans="1:10" x14ac:dyDescent="0.3">
      <c r="A171" s="7">
        <v>44844.388888888752</v>
      </c>
      <c r="B171" s="8" t="s">
        <v>7</v>
      </c>
      <c r="C171" s="8">
        <v>0</v>
      </c>
      <c r="D171" t="str">
        <f t="shared" si="10"/>
        <v>Monday</v>
      </c>
      <c r="E171">
        <v>42</v>
      </c>
      <c r="F171" s="11">
        <f>VLOOKUP(B171,'ITEMS LIST'!$B$2:$F$19,4,FALSE)</f>
        <v>680</v>
      </c>
      <c r="G171" s="11">
        <f>VLOOKUP(B171,'ITEMS LIST'!$B$2:$F$19,5,FALSE)</f>
        <v>570</v>
      </c>
      <c r="H171" s="11">
        <f t="shared" si="8"/>
        <v>0</v>
      </c>
      <c r="I171" s="11">
        <f t="shared" si="9"/>
        <v>0</v>
      </c>
      <c r="J171" s="11">
        <f t="shared" si="11"/>
        <v>0</v>
      </c>
    </row>
    <row r="172" spans="1:10" x14ac:dyDescent="0.3">
      <c r="A172" s="7">
        <v>44844.444444444307</v>
      </c>
      <c r="B172" s="8" t="s">
        <v>8</v>
      </c>
      <c r="C172" s="8">
        <v>0</v>
      </c>
      <c r="D172" t="str">
        <f t="shared" si="10"/>
        <v>Monday</v>
      </c>
      <c r="E172">
        <v>42</v>
      </c>
      <c r="F172" s="11">
        <f>VLOOKUP(B172,'ITEMS LIST'!$B$2:$F$19,4,FALSE)</f>
        <v>199</v>
      </c>
      <c r="G172" s="11">
        <f>VLOOKUP(B172,'ITEMS LIST'!$B$2:$F$19,5,FALSE)</f>
        <v>140</v>
      </c>
      <c r="H172" s="11">
        <f t="shared" si="8"/>
        <v>0</v>
      </c>
      <c r="I172" s="11">
        <f t="shared" si="9"/>
        <v>0</v>
      </c>
      <c r="J172" s="11">
        <f t="shared" si="11"/>
        <v>0</v>
      </c>
    </row>
    <row r="173" spans="1:10" x14ac:dyDescent="0.3">
      <c r="A173" s="7">
        <v>44844.499999999862</v>
      </c>
      <c r="B173" s="8" t="s">
        <v>9</v>
      </c>
      <c r="C173" s="8">
        <v>0</v>
      </c>
      <c r="D173" t="str">
        <f t="shared" si="10"/>
        <v>Monday</v>
      </c>
      <c r="E173">
        <v>42</v>
      </c>
      <c r="F173" s="11">
        <f>VLOOKUP(B173,'ITEMS LIST'!$B$2:$F$19,4,FALSE)</f>
        <v>219</v>
      </c>
      <c r="G173" s="11">
        <f>VLOOKUP(B173,'ITEMS LIST'!$B$2:$F$19,5,FALSE)</f>
        <v>132</v>
      </c>
      <c r="H173" s="11">
        <f t="shared" si="8"/>
        <v>0</v>
      </c>
      <c r="I173" s="11">
        <f t="shared" si="9"/>
        <v>0</v>
      </c>
      <c r="J173" s="11">
        <f t="shared" si="11"/>
        <v>0</v>
      </c>
    </row>
    <row r="174" spans="1:10" x14ac:dyDescent="0.3">
      <c r="A174" s="7">
        <v>44844.555555555417</v>
      </c>
      <c r="B174" s="8" t="s">
        <v>10</v>
      </c>
      <c r="C174" s="8">
        <v>0</v>
      </c>
      <c r="D174" t="str">
        <f t="shared" si="10"/>
        <v>Monday</v>
      </c>
      <c r="E174">
        <v>42</v>
      </c>
      <c r="F174" s="11">
        <f>VLOOKUP(B174,'ITEMS LIST'!$B$2:$F$19,4,FALSE)</f>
        <v>1469</v>
      </c>
      <c r="G174" s="11">
        <f>VLOOKUP(B174,'ITEMS LIST'!$B$2:$F$19,5,FALSE)</f>
        <v>1184</v>
      </c>
      <c r="H174" s="11">
        <f t="shared" si="8"/>
        <v>0</v>
      </c>
      <c r="I174" s="11">
        <f t="shared" si="9"/>
        <v>0</v>
      </c>
      <c r="J174" s="11">
        <f t="shared" si="11"/>
        <v>0</v>
      </c>
    </row>
    <row r="175" spans="1:10" x14ac:dyDescent="0.3">
      <c r="A175" s="7">
        <v>44844.611111110971</v>
      </c>
      <c r="B175" s="8" t="s">
        <v>11</v>
      </c>
      <c r="C175" s="8">
        <v>0</v>
      </c>
      <c r="D175" t="str">
        <f t="shared" si="10"/>
        <v>Monday</v>
      </c>
      <c r="E175">
        <v>42</v>
      </c>
      <c r="F175" s="11">
        <f>VLOOKUP(B175,'ITEMS LIST'!$B$2:$F$19,4,FALSE)</f>
        <v>89</v>
      </c>
      <c r="G175" s="11">
        <f>VLOOKUP(B175,'ITEMS LIST'!$B$2:$F$19,5,FALSE)</f>
        <v>59</v>
      </c>
      <c r="H175" s="11">
        <f t="shared" si="8"/>
        <v>0</v>
      </c>
      <c r="I175" s="11">
        <f t="shared" si="9"/>
        <v>0</v>
      </c>
      <c r="J175" s="11">
        <f t="shared" si="11"/>
        <v>0</v>
      </c>
    </row>
    <row r="176" spans="1:10" x14ac:dyDescent="0.3">
      <c r="A176" s="7">
        <v>44844.666666666526</v>
      </c>
      <c r="B176" s="8" t="s">
        <v>12</v>
      </c>
      <c r="C176" s="8">
        <v>0</v>
      </c>
      <c r="D176" t="str">
        <f t="shared" si="10"/>
        <v>Monday</v>
      </c>
      <c r="E176">
        <v>42</v>
      </c>
      <c r="F176" s="11">
        <f>VLOOKUP(B176,'ITEMS LIST'!$B$2:$F$19,4,FALSE)</f>
        <v>310</v>
      </c>
      <c r="G176" s="11">
        <f>VLOOKUP(B176,'ITEMS LIST'!$B$2:$F$19,5,FALSE)</f>
        <v>206</v>
      </c>
      <c r="H176" s="11">
        <f t="shared" si="8"/>
        <v>0</v>
      </c>
      <c r="I176" s="11">
        <f t="shared" si="9"/>
        <v>0</v>
      </c>
      <c r="J176" s="11">
        <f t="shared" si="11"/>
        <v>0</v>
      </c>
    </row>
    <row r="177" spans="1:10" x14ac:dyDescent="0.3">
      <c r="A177" s="7">
        <v>44844.722222222081</v>
      </c>
      <c r="B177" s="8" t="s">
        <v>13</v>
      </c>
      <c r="C177" s="8">
        <v>0</v>
      </c>
      <c r="D177" t="str">
        <f t="shared" si="10"/>
        <v>Monday</v>
      </c>
      <c r="E177">
        <v>42</v>
      </c>
      <c r="F177" s="11">
        <f>VLOOKUP(B177,'ITEMS LIST'!$B$2:$F$19,4,FALSE)</f>
        <v>540</v>
      </c>
      <c r="G177" s="11">
        <f>VLOOKUP(B177,'ITEMS LIST'!$B$2:$F$19,5,FALSE)</f>
        <v>397</v>
      </c>
      <c r="H177" s="11">
        <f t="shared" si="8"/>
        <v>0</v>
      </c>
      <c r="I177" s="11">
        <f t="shared" si="9"/>
        <v>0</v>
      </c>
      <c r="J177" s="11">
        <f t="shared" si="11"/>
        <v>0</v>
      </c>
    </row>
    <row r="178" spans="1:10" x14ac:dyDescent="0.3">
      <c r="A178" s="7">
        <v>44844.777777777635</v>
      </c>
      <c r="B178" s="8" t="s">
        <v>14</v>
      </c>
      <c r="C178" s="8">
        <v>0</v>
      </c>
      <c r="D178" t="str">
        <f t="shared" si="10"/>
        <v>Monday</v>
      </c>
      <c r="E178">
        <v>42</v>
      </c>
      <c r="F178" s="11">
        <f>VLOOKUP(B178,'ITEMS LIST'!$B$2:$F$19,4,FALSE)</f>
        <v>360</v>
      </c>
      <c r="G178" s="11">
        <f>VLOOKUP(B178,'ITEMS LIST'!$B$2:$F$19,5,FALSE)</f>
        <v>248</v>
      </c>
      <c r="H178" s="11">
        <f t="shared" si="8"/>
        <v>0</v>
      </c>
      <c r="I178" s="11">
        <f t="shared" si="9"/>
        <v>0</v>
      </c>
      <c r="J178" s="11">
        <f t="shared" si="11"/>
        <v>0</v>
      </c>
    </row>
    <row r="179" spans="1:10" x14ac:dyDescent="0.3">
      <c r="A179" s="7">
        <v>44844.83333333319</v>
      </c>
      <c r="B179" s="8" t="s">
        <v>15</v>
      </c>
      <c r="C179" s="8">
        <v>0</v>
      </c>
      <c r="D179" t="str">
        <f t="shared" si="10"/>
        <v>Monday</v>
      </c>
      <c r="E179">
        <v>42</v>
      </c>
      <c r="F179" s="11">
        <f>VLOOKUP(B179,'ITEMS LIST'!$B$2:$F$19,4,FALSE)</f>
        <v>250</v>
      </c>
      <c r="G179" s="11">
        <f>VLOOKUP(B179,'ITEMS LIST'!$B$2:$F$19,5,FALSE)</f>
        <v>190</v>
      </c>
      <c r="H179" s="11">
        <f t="shared" si="8"/>
        <v>0</v>
      </c>
      <c r="I179" s="11">
        <f t="shared" si="9"/>
        <v>0</v>
      </c>
      <c r="J179" s="11">
        <f t="shared" si="11"/>
        <v>0</v>
      </c>
    </row>
    <row r="180" spans="1:10" x14ac:dyDescent="0.3">
      <c r="A180" s="7">
        <v>44844.888888888745</v>
      </c>
      <c r="B180" s="8" t="s">
        <v>16</v>
      </c>
      <c r="C180" s="8">
        <v>0</v>
      </c>
      <c r="D180" t="str">
        <f t="shared" si="10"/>
        <v>Monday</v>
      </c>
      <c r="E180">
        <v>42</v>
      </c>
      <c r="F180" s="11">
        <f>VLOOKUP(B180,'ITEMS LIST'!$B$2:$F$19,4,FALSE)</f>
        <v>120</v>
      </c>
      <c r="G180" s="11">
        <f>VLOOKUP(B180,'ITEMS LIST'!$B$2:$F$19,5,FALSE)</f>
        <v>85</v>
      </c>
      <c r="H180" s="11">
        <f t="shared" si="8"/>
        <v>0</v>
      </c>
      <c r="I180" s="11">
        <f t="shared" si="9"/>
        <v>0</v>
      </c>
      <c r="J180" s="11">
        <f t="shared" si="11"/>
        <v>0</v>
      </c>
    </row>
    <row r="181" spans="1:10" x14ac:dyDescent="0.3">
      <c r="A181" s="7">
        <v>44844.9444444443</v>
      </c>
      <c r="B181" s="8" t="s">
        <v>17</v>
      </c>
      <c r="C181" s="8">
        <v>0</v>
      </c>
      <c r="D181" t="str">
        <f t="shared" si="10"/>
        <v>Monday</v>
      </c>
      <c r="E181">
        <v>42</v>
      </c>
      <c r="F181" s="11">
        <f>VLOOKUP(B181,'ITEMS LIST'!$B$2:$F$19,4,FALSE)</f>
        <v>80</v>
      </c>
      <c r="G181" s="11">
        <f>VLOOKUP(B181,'ITEMS LIST'!$B$2:$F$19,5,FALSE)</f>
        <v>55</v>
      </c>
      <c r="H181" s="11">
        <f t="shared" si="8"/>
        <v>0</v>
      </c>
      <c r="I181" s="11">
        <f t="shared" si="9"/>
        <v>0</v>
      </c>
      <c r="J181" s="11">
        <f t="shared" si="11"/>
        <v>0</v>
      </c>
    </row>
    <row r="182" spans="1:10" x14ac:dyDescent="0.3">
      <c r="A182" s="7">
        <v>44844.999999999854</v>
      </c>
      <c r="B182" s="8" t="s">
        <v>0</v>
      </c>
      <c r="C182" s="8">
        <v>0</v>
      </c>
      <c r="D182" t="str">
        <f t="shared" si="10"/>
        <v>Tuesday</v>
      </c>
      <c r="E182">
        <v>42</v>
      </c>
      <c r="F182" s="11">
        <f>VLOOKUP(B182,'ITEMS LIST'!$B$2:$F$19,4,FALSE)</f>
        <v>549</v>
      </c>
      <c r="G182" s="11">
        <f>VLOOKUP(B182,'ITEMS LIST'!$B$2:$F$19,5,FALSE)</f>
        <v>365</v>
      </c>
      <c r="H182" s="11">
        <f t="shared" si="8"/>
        <v>0</v>
      </c>
      <c r="I182" s="11">
        <f t="shared" si="9"/>
        <v>0</v>
      </c>
      <c r="J182" s="11">
        <f t="shared" si="11"/>
        <v>0</v>
      </c>
    </row>
    <row r="183" spans="1:10" x14ac:dyDescent="0.3">
      <c r="A183" s="7">
        <v>44845.055555555409</v>
      </c>
      <c r="B183" s="8" t="s">
        <v>1</v>
      </c>
      <c r="C183" s="8">
        <v>0</v>
      </c>
      <c r="D183" t="str">
        <f t="shared" si="10"/>
        <v>Tuesday</v>
      </c>
      <c r="E183">
        <v>42</v>
      </c>
      <c r="F183" s="11">
        <f>VLOOKUP(B183,'ITEMS LIST'!$B$2:$F$19,4,FALSE)</f>
        <v>699</v>
      </c>
      <c r="G183" s="11">
        <f>VLOOKUP(B183,'ITEMS LIST'!$B$2:$F$19,5,FALSE)</f>
        <v>550</v>
      </c>
      <c r="H183" s="11">
        <f t="shared" si="8"/>
        <v>0</v>
      </c>
      <c r="I183" s="11">
        <f t="shared" si="9"/>
        <v>0</v>
      </c>
      <c r="J183" s="11">
        <f t="shared" si="11"/>
        <v>0</v>
      </c>
    </row>
    <row r="184" spans="1:10" x14ac:dyDescent="0.3">
      <c r="A184" s="7">
        <v>44845.111111110964</v>
      </c>
      <c r="B184" s="8" t="s">
        <v>2</v>
      </c>
      <c r="C184" s="8">
        <v>0</v>
      </c>
      <c r="D184" t="str">
        <f t="shared" si="10"/>
        <v>Tuesday</v>
      </c>
      <c r="E184">
        <v>42</v>
      </c>
      <c r="F184" s="11">
        <f>VLOOKUP(B184,'ITEMS LIST'!$B$2:$F$19,4,FALSE)</f>
        <v>739</v>
      </c>
      <c r="G184" s="11">
        <f>VLOOKUP(B184,'ITEMS LIST'!$B$2:$F$19,5,FALSE)</f>
        <v>620</v>
      </c>
      <c r="H184" s="11">
        <f t="shared" si="8"/>
        <v>0</v>
      </c>
      <c r="I184" s="11">
        <f t="shared" si="9"/>
        <v>0</v>
      </c>
      <c r="J184" s="11">
        <f t="shared" si="11"/>
        <v>0</v>
      </c>
    </row>
    <row r="185" spans="1:10" x14ac:dyDescent="0.3">
      <c r="A185" s="7">
        <v>44845.166666666519</v>
      </c>
      <c r="B185" s="8" t="s">
        <v>3</v>
      </c>
      <c r="C185" s="8">
        <v>0</v>
      </c>
      <c r="D185" t="str">
        <f t="shared" si="10"/>
        <v>Tuesday</v>
      </c>
      <c r="E185">
        <v>42</v>
      </c>
      <c r="F185" s="11">
        <f>VLOOKUP(B185,'ITEMS LIST'!$B$2:$F$19,4,FALSE)</f>
        <v>899</v>
      </c>
      <c r="G185" s="11">
        <f>VLOOKUP(B185,'ITEMS LIST'!$B$2:$F$19,5,FALSE)</f>
        <v>714</v>
      </c>
      <c r="H185" s="11">
        <f t="shared" si="8"/>
        <v>0</v>
      </c>
      <c r="I185" s="11">
        <f t="shared" si="9"/>
        <v>0</v>
      </c>
      <c r="J185" s="11">
        <f t="shared" si="11"/>
        <v>0</v>
      </c>
    </row>
    <row r="186" spans="1:10" x14ac:dyDescent="0.3">
      <c r="A186" s="7">
        <v>44845.222222222073</v>
      </c>
      <c r="B186" s="8" t="s">
        <v>4</v>
      </c>
      <c r="C186" s="8">
        <v>0</v>
      </c>
      <c r="D186" t="str">
        <f t="shared" si="10"/>
        <v>Tuesday</v>
      </c>
      <c r="E186">
        <v>42</v>
      </c>
      <c r="F186" s="11">
        <f>VLOOKUP(B186,'ITEMS LIST'!$B$2:$F$19,4,FALSE)</f>
        <v>1379</v>
      </c>
      <c r="G186" s="11">
        <f>VLOOKUP(B186,'ITEMS LIST'!$B$2:$F$19,5,FALSE)</f>
        <v>890</v>
      </c>
      <c r="H186" s="11">
        <f t="shared" si="8"/>
        <v>0</v>
      </c>
      <c r="I186" s="11">
        <f t="shared" si="9"/>
        <v>0</v>
      </c>
      <c r="J186" s="11">
        <f t="shared" si="11"/>
        <v>0</v>
      </c>
    </row>
    <row r="187" spans="1:10" x14ac:dyDescent="0.3">
      <c r="A187" s="7">
        <v>44845.277777777628</v>
      </c>
      <c r="B187" s="8" t="s">
        <v>5</v>
      </c>
      <c r="C187" s="8">
        <v>0</v>
      </c>
      <c r="D187" t="str">
        <f t="shared" si="10"/>
        <v>Tuesday</v>
      </c>
      <c r="E187">
        <v>42</v>
      </c>
      <c r="F187" s="11">
        <f>VLOOKUP(B187,'ITEMS LIST'!$B$2:$F$19,4,FALSE)</f>
        <v>849</v>
      </c>
      <c r="G187" s="11">
        <f>VLOOKUP(B187,'ITEMS LIST'!$B$2:$F$19,5,FALSE)</f>
        <v>530</v>
      </c>
      <c r="H187" s="11">
        <f t="shared" si="8"/>
        <v>0</v>
      </c>
      <c r="I187" s="11">
        <f t="shared" si="9"/>
        <v>0</v>
      </c>
      <c r="J187" s="11">
        <f t="shared" si="11"/>
        <v>0</v>
      </c>
    </row>
    <row r="188" spans="1:10" x14ac:dyDescent="0.3">
      <c r="A188" s="7">
        <v>44845.333333333183</v>
      </c>
      <c r="B188" s="8" t="s">
        <v>6</v>
      </c>
      <c r="C188" s="8">
        <v>0</v>
      </c>
      <c r="D188" t="str">
        <f t="shared" si="10"/>
        <v>Tuesday</v>
      </c>
      <c r="E188">
        <v>42</v>
      </c>
      <c r="F188" s="11">
        <f>VLOOKUP(B188,'ITEMS LIST'!$B$2:$F$19,4,FALSE)</f>
        <v>1000</v>
      </c>
      <c r="G188" s="11">
        <f>VLOOKUP(B188,'ITEMS LIST'!$B$2:$F$19,5,FALSE)</f>
        <v>768</v>
      </c>
      <c r="H188" s="11">
        <f t="shared" si="8"/>
        <v>0</v>
      </c>
      <c r="I188" s="11">
        <f t="shared" si="9"/>
        <v>0</v>
      </c>
      <c r="J188" s="11">
        <f t="shared" si="11"/>
        <v>0</v>
      </c>
    </row>
    <row r="189" spans="1:10" x14ac:dyDescent="0.3">
      <c r="A189" s="7">
        <v>44845.388888888738</v>
      </c>
      <c r="B189" s="8" t="s">
        <v>7</v>
      </c>
      <c r="C189" s="8">
        <v>0</v>
      </c>
      <c r="D189" t="str">
        <f t="shared" si="10"/>
        <v>Tuesday</v>
      </c>
      <c r="E189">
        <v>42</v>
      </c>
      <c r="F189" s="11">
        <f>VLOOKUP(B189,'ITEMS LIST'!$B$2:$F$19,4,FALSE)</f>
        <v>680</v>
      </c>
      <c r="G189" s="11">
        <f>VLOOKUP(B189,'ITEMS LIST'!$B$2:$F$19,5,FALSE)</f>
        <v>570</v>
      </c>
      <c r="H189" s="11">
        <f t="shared" si="8"/>
        <v>0</v>
      </c>
      <c r="I189" s="11">
        <f t="shared" si="9"/>
        <v>0</v>
      </c>
      <c r="J189" s="11">
        <f t="shared" si="11"/>
        <v>0</v>
      </c>
    </row>
    <row r="190" spans="1:10" x14ac:dyDescent="0.3">
      <c r="A190" s="7">
        <v>44845.444444444292</v>
      </c>
      <c r="B190" s="8" t="s">
        <v>8</v>
      </c>
      <c r="C190" s="8">
        <v>0</v>
      </c>
      <c r="D190" t="str">
        <f t="shared" si="10"/>
        <v>Tuesday</v>
      </c>
      <c r="E190">
        <v>42</v>
      </c>
      <c r="F190" s="11">
        <f>VLOOKUP(B190,'ITEMS LIST'!$B$2:$F$19,4,FALSE)</f>
        <v>199</v>
      </c>
      <c r="G190" s="11">
        <f>VLOOKUP(B190,'ITEMS LIST'!$B$2:$F$19,5,FALSE)</f>
        <v>140</v>
      </c>
      <c r="H190" s="11">
        <f t="shared" si="8"/>
        <v>0</v>
      </c>
      <c r="I190" s="11">
        <f t="shared" si="9"/>
        <v>0</v>
      </c>
      <c r="J190" s="11">
        <f t="shared" si="11"/>
        <v>0</v>
      </c>
    </row>
    <row r="191" spans="1:10" x14ac:dyDescent="0.3">
      <c r="A191" s="7">
        <v>44845.499999999847</v>
      </c>
      <c r="B191" s="8" t="s">
        <v>9</v>
      </c>
      <c r="C191" s="8">
        <v>0</v>
      </c>
      <c r="D191" t="str">
        <f t="shared" si="10"/>
        <v>Tuesday</v>
      </c>
      <c r="E191">
        <v>42</v>
      </c>
      <c r="F191" s="11">
        <f>VLOOKUP(B191,'ITEMS LIST'!$B$2:$F$19,4,FALSE)</f>
        <v>219</v>
      </c>
      <c r="G191" s="11">
        <f>VLOOKUP(B191,'ITEMS LIST'!$B$2:$F$19,5,FALSE)</f>
        <v>132</v>
      </c>
      <c r="H191" s="11">
        <f t="shared" si="8"/>
        <v>0</v>
      </c>
      <c r="I191" s="11">
        <f t="shared" si="9"/>
        <v>0</v>
      </c>
      <c r="J191" s="11">
        <f t="shared" si="11"/>
        <v>0</v>
      </c>
    </row>
    <row r="192" spans="1:10" x14ac:dyDescent="0.3">
      <c r="A192" s="7">
        <v>44845.555555555402</v>
      </c>
      <c r="B192" s="8" t="s">
        <v>10</v>
      </c>
      <c r="C192" s="8">
        <v>0</v>
      </c>
      <c r="D192" t="str">
        <f t="shared" si="10"/>
        <v>Tuesday</v>
      </c>
      <c r="E192">
        <v>42</v>
      </c>
      <c r="F192" s="11">
        <f>VLOOKUP(B192,'ITEMS LIST'!$B$2:$F$19,4,FALSE)</f>
        <v>1469</v>
      </c>
      <c r="G192" s="11">
        <f>VLOOKUP(B192,'ITEMS LIST'!$B$2:$F$19,5,FALSE)</f>
        <v>1184</v>
      </c>
      <c r="H192" s="11">
        <f t="shared" si="8"/>
        <v>0</v>
      </c>
      <c r="I192" s="11">
        <f t="shared" si="9"/>
        <v>0</v>
      </c>
      <c r="J192" s="11">
        <f t="shared" si="11"/>
        <v>0</v>
      </c>
    </row>
    <row r="193" spans="1:10" x14ac:dyDescent="0.3">
      <c r="A193" s="7">
        <v>44845.611111110957</v>
      </c>
      <c r="B193" s="8" t="s">
        <v>11</v>
      </c>
      <c r="C193" s="8">
        <v>0</v>
      </c>
      <c r="D193" t="str">
        <f t="shared" si="10"/>
        <v>Tuesday</v>
      </c>
      <c r="E193">
        <v>42</v>
      </c>
      <c r="F193" s="11">
        <f>VLOOKUP(B193,'ITEMS LIST'!$B$2:$F$19,4,FALSE)</f>
        <v>89</v>
      </c>
      <c r="G193" s="11">
        <f>VLOOKUP(B193,'ITEMS LIST'!$B$2:$F$19,5,FALSE)</f>
        <v>59</v>
      </c>
      <c r="H193" s="11">
        <f t="shared" si="8"/>
        <v>0</v>
      </c>
      <c r="I193" s="11">
        <f t="shared" si="9"/>
        <v>0</v>
      </c>
      <c r="J193" s="11">
        <f t="shared" si="11"/>
        <v>0</v>
      </c>
    </row>
    <row r="194" spans="1:10" x14ac:dyDescent="0.3">
      <c r="A194" s="7">
        <v>44845.666666666511</v>
      </c>
      <c r="B194" s="8" t="s">
        <v>12</v>
      </c>
      <c r="C194" s="8">
        <v>0</v>
      </c>
      <c r="D194" t="str">
        <f t="shared" si="10"/>
        <v>Tuesday</v>
      </c>
      <c r="E194">
        <v>42</v>
      </c>
      <c r="F194" s="11">
        <f>VLOOKUP(B194,'ITEMS LIST'!$B$2:$F$19,4,FALSE)</f>
        <v>310</v>
      </c>
      <c r="G194" s="11">
        <f>VLOOKUP(B194,'ITEMS LIST'!$B$2:$F$19,5,FALSE)</f>
        <v>206</v>
      </c>
      <c r="H194" s="11">
        <f t="shared" ref="H194:H257" si="12">C194*F194</f>
        <v>0</v>
      </c>
      <c r="I194" s="11">
        <f t="shared" ref="I194:I257" si="13">C194*G194</f>
        <v>0</v>
      </c>
      <c r="J194" s="11">
        <f t="shared" si="11"/>
        <v>0</v>
      </c>
    </row>
    <row r="195" spans="1:10" x14ac:dyDescent="0.3">
      <c r="A195" s="7">
        <v>44845.722222222066</v>
      </c>
      <c r="B195" s="8" t="s">
        <v>13</v>
      </c>
      <c r="C195" s="8">
        <v>0</v>
      </c>
      <c r="D195" t="str">
        <f t="shared" ref="D195:D258" si="14">TEXT(A195,"dddd")</f>
        <v>Tuesday</v>
      </c>
      <c r="E195">
        <v>42</v>
      </c>
      <c r="F195" s="11">
        <f>VLOOKUP(B195,'ITEMS LIST'!$B$2:$F$19,4,FALSE)</f>
        <v>540</v>
      </c>
      <c r="G195" s="11">
        <f>VLOOKUP(B195,'ITEMS LIST'!$B$2:$F$19,5,FALSE)</f>
        <v>397</v>
      </c>
      <c r="H195" s="11">
        <f t="shared" si="12"/>
        <v>0</v>
      </c>
      <c r="I195" s="11">
        <f t="shared" si="13"/>
        <v>0</v>
      </c>
      <c r="J195" s="11">
        <f t="shared" ref="J195:J258" si="15">H195-I195</f>
        <v>0</v>
      </c>
    </row>
    <row r="196" spans="1:10" x14ac:dyDescent="0.3">
      <c r="A196" s="7">
        <v>44845.777777777621</v>
      </c>
      <c r="B196" s="8" t="s">
        <v>14</v>
      </c>
      <c r="C196" s="8">
        <v>0</v>
      </c>
      <c r="D196" t="str">
        <f t="shared" si="14"/>
        <v>Tuesday</v>
      </c>
      <c r="E196">
        <v>42</v>
      </c>
      <c r="F196" s="11">
        <f>VLOOKUP(B196,'ITEMS LIST'!$B$2:$F$19,4,FALSE)</f>
        <v>360</v>
      </c>
      <c r="G196" s="11">
        <f>VLOOKUP(B196,'ITEMS LIST'!$B$2:$F$19,5,FALSE)</f>
        <v>248</v>
      </c>
      <c r="H196" s="11">
        <f t="shared" si="12"/>
        <v>0</v>
      </c>
      <c r="I196" s="11">
        <f t="shared" si="13"/>
        <v>0</v>
      </c>
      <c r="J196" s="11">
        <f t="shared" si="15"/>
        <v>0</v>
      </c>
    </row>
    <row r="197" spans="1:10" x14ac:dyDescent="0.3">
      <c r="A197" s="7">
        <v>44845.833333333176</v>
      </c>
      <c r="B197" s="8" t="s">
        <v>15</v>
      </c>
      <c r="C197" s="8">
        <v>0</v>
      </c>
      <c r="D197" t="str">
        <f t="shared" si="14"/>
        <v>Tuesday</v>
      </c>
      <c r="E197">
        <v>42</v>
      </c>
      <c r="F197" s="11">
        <f>VLOOKUP(B197,'ITEMS LIST'!$B$2:$F$19,4,FALSE)</f>
        <v>250</v>
      </c>
      <c r="G197" s="11">
        <f>VLOOKUP(B197,'ITEMS LIST'!$B$2:$F$19,5,FALSE)</f>
        <v>190</v>
      </c>
      <c r="H197" s="11">
        <f t="shared" si="12"/>
        <v>0</v>
      </c>
      <c r="I197" s="11">
        <f t="shared" si="13"/>
        <v>0</v>
      </c>
      <c r="J197" s="11">
        <f t="shared" si="15"/>
        <v>0</v>
      </c>
    </row>
    <row r="198" spans="1:10" x14ac:dyDescent="0.3">
      <c r="A198" s="7">
        <v>44845.88888888873</v>
      </c>
      <c r="B198" s="8" t="s">
        <v>16</v>
      </c>
      <c r="C198" s="8">
        <v>0</v>
      </c>
      <c r="D198" t="str">
        <f t="shared" si="14"/>
        <v>Tuesday</v>
      </c>
      <c r="E198">
        <v>42</v>
      </c>
      <c r="F198" s="11">
        <f>VLOOKUP(B198,'ITEMS LIST'!$B$2:$F$19,4,FALSE)</f>
        <v>120</v>
      </c>
      <c r="G198" s="11">
        <f>VLOOKUP(B198,'ITEMS LIST'!$B$2:$F$19,5,FALSE)</f>
        <v>85</v>
      </c>
      <c r="H198" s="11">
        <f t="shared" si="12"/>
        <v>0</v>
      </c>
      <c r="I198" s="11">
        <f t="shared" si="13"/>
        <v>0</v>
      </c>
      <c r="J198" s="11">
        <f t="shared" si="15"/>
        <v>0</v>
      </c>
    </row>
    <row r="199" spans="1:10" x14ac:dyDescent="0.3">
      <c r="A199" s="7">
        <v>44845.944444444285</v>
      </c>
      <c r="B199" s="8" t="s">
        <v>17</v>
      </c>
      <c r="C199" s="8">
        <v>0</v>
      </c>
      <c r="D199" t="str">
        <f t="shared" si="14"/>
        <v>Tuesday</v>
      </c>
      <c r="E199">
        <v>42</v>
      </c>
      <c r="F199" s="11">
        <f>VLOOKUP(B199,'ITEMS LIST'!$B$2:$F$19,4,FALSE)</f>
        <v>80</v>
      </c>
      <c r="G199" s="11">
        <f>VLOOKUP(B199,'ITEMS LIST'!$B$2:$F$19,5,FALSE)</f>
        <v>55</v>
      </c>
      <c r="H199" s="11">
        <f t="shared" si="12"/>
        <v>0</v>
      </c>
      <c r="I199" s="11">
        <f t="shared" si="13"/>
        <v>0</v>
      </c>
      <c r="J199" s="11">
        <f t="shared" si="15"/>
        <v>0</v>
      </c>
    </row>
    <row r="200" spans="1:10" x14ac:dyDescent="0.3">
      <c r="A200" s="7">
        <v>44845.99999999984</v>
      </c>
      <c r="B200" s="8" t="s">
        <v>0</v>
      </c>
      <c r="C200" s="8">
        <v>0</v>
      </c>
      <c r="D200" t="str">
        <f t="shared" si="14"/>
        <v>Wednesday</v>
      </c>
      <c r="E200">
        <v>42</v>
      </c>
      <c r="F200" s="11">
        <f>VLOOKUP(B200,'ITEMS LIST'!$B$2:$F$19,4,FALSE)</f>
        <v>549</v>
      </c>
      <c r="G200" s="11">
        <f>VLOOKUP(B200,'ITEMS LIST'!$B$2:$F$19,5,FALSE)</f>
        <v>365</v>
      </c>
      <c r="H200" s="11">
        <f t="shared" si="12"/>
        <v>0</v>
      </c>
      <c r="I200" s="11">
        <f t="shared" si="13"/>
        <v>0</v>
      </c>
      <c r="J200" s="11">
        <f t="shared" si="15"/>
        <v>0</v>
      </c>
    </row>
    <row r="201" spans="1:10" x14ac:dyDescent="0.3">
      <c r="A201" s="7">
        <v>44846.055555555395</v>
      </c>
      <c r="B201" s="8" t="s">
        <v>1</v>
      </c>
      <c r="C201" s="8">
        <v>0</v>
      </c>
      <c r="D201" t="str">
        <f t="shared" si="14"/>
        <v>Wednesday</v>
      </c>
      <c r="E201">
        <v>42</v>
      </c>
      <c r="F201" s="11">
        <f>VLOOKUP(B201,'ITEMS LIST'!$B$2:$F$19,4,FALSE)</f>
        <v>699</v>
      </c>
      <c r="G201" s="11">
        <f>VLOOKUP(B201,'ITEMS LIST'!$B$2:$F$19,5,FALSE)</f>
        <v>550</v>
      </c>
      <c r="H201" s="11">
        <f t="shared" si="12"/>
        <v>0</v>
      </c>
      <c r="I201" s="11">
        <f t="shared" si="13"/>
        <v>0</v>
      </c>
      <c r="J201" s="11">
        <f t="shared" si="15"/>
        <v>0</v>
      </c>
    </row>
    <row r="202" spans="1:10" x14ac:dyDescent="0.3">
      <c r="A202" s="7">
        <v>44846.111111110949</v>
      </c>
      <c r="B202" s="8" t="s">
        <v>2</v>
      </c>
      <c r="C202" s="8">
        <v>0</v>
      </c>
      <c r="D202" t="str">
        <f t="shared" si="14"/>
        <v>Wednesday</v>
      </c>
      <c r="E202">
        <v>42</v>
      </c>
      <c r="F202" s="11">
        <f>VLOOKUP(B202,'ITEMS LIST'!$B$2:$F$19,4,FALSE)</f>
        <v>739</v>
      </c>
      <c r="G202" s="11">
        <f>VLOOKUP(B202,'ITEMS LIST'!$B$2:$F$19,5,FALSE)</f>
        <v>620</v>
      </c>
      <c r="H202" s="11">
        <f t="shared" si="12"/>
        <v>0</v>
      </c>
      <c r="I202" s="11">
        <f t="shared" si="13"/>
        <v>0</v>
      </c>
      <c r="J202" s="11">
        <f t="shared" si="15"/>
        <v>0</v>
      </c>
    </row>
    <row r="203" spans="1:10" x14ac:dyDescent="0.3">
      <c r="A203" s="7">
        <v>44846.166666666504</v>
      </c>
      <c r="B203" s="8" t="s">
        <v>3</v>
      </c>
      <c r="C203" s="8">
        <v>0</v>
      </c>
      <c r="D203" t="str">
        <f t="shared" si="14"/>
        <v>Wednesday</v>
      </c>
      <c r="E203">
        <v>42</v>
      </c>
      <c r="F203" s="11">
        <f>VLOOKUP(B203,'ITEMS LIST'!$B$2:$F$19,4,FALSE)</f>
        <v>899</v>
      </c>
      <c r="G203" s="11">
        <f>VLOOKUP(B203,'ITEMS LIST'!$B$2:$F$19,5,FALSE)</f>
        <v>714</v>
      </c>
      <c r="H203" s="11">
        <f t="shared" si="12"/>
        <v>0</v>
      </c>
      <c r="I203" s="11">
        <f t="shared" si="13"/>
        <v>0</v>
      </c>
      <c r="J203" s="11">
        <f t="shared" si="15"/>
        <v>0</v>
      </c>
    </row>
    <row r="204" spans="1:10" x14ac:dyDescent="0.3">
      <c r="A204" s="7">
        <v>44846.222222222059</v>
      </c>
      <c r="B204" s="8" t="s">
        <v>4</v>
      </c>
      <c r="C204" s="8">
        <v>0</v>
      </c>
      <c r="D204" t="str">
        <f t="shared" si="14"/>
        <v>Wednesday</v>
      </c>
      <c r="E204">
        <v>42</v>
      </c>
      <c r="F204" s="11">
        <f>VLOOKUP(B204,'ITEMS LIST'!$B$2:$F$19,4,FALSE)</f>
        <v>1379</v>
      </c>
      <c r="G204" s="11">
        <f>VLOOKUP(B204,'ITEMS LIST'!$B$2:$F$19,5,FALSE)</f>
        <v>890</v>
      </c>
      <c r="H204" s="11">
        <f t="shared" si="12"/>
        <v>0</v>
      </c>
      <c r="I204" s="11">
        <f t="shared" si="13"/>
        <v>0</v>
      </c>
      <c r="J204" s="11">
        <f t="shared" si="15"/>
        <v>0</v>
      </c>
    </row>
    <row r="205" spans="1:10" x14ac:dyDescent="0.3">
      <c r="A205" s="7">
        <v>44846.277777777614</v>
      </c>
      <c r="B205" s="8" t="s">
        <v>5</v>
      </c>
      <c r="C205" s="8">
        <v>0</v>
      </c>
      <c r="D205" t="str">
        <f t="shared" si="14"/>
        <v>Wednesday</v>
      </c>
      <c r="E205">
        <v>42</v>
      </c>
      <c r="F205" s="11">
        <f>VLOOKUP(B205,'ITEMS LIST'!$B$2:$F$19,4,FALSE)</f>
        <v>849</v>
      </c>
      <c r="G205" s="11">
        <f>VLOOKUP(B205,'ITEMS LIST'!$B$2:$F$19,5,FALSE)</f>
        <v>530</v>
      </c>
      <c r="H205" s="11">
        <f t="shared" si="12"/>
        <v>0</v>
      </c>
      <c r="I205" s="11">
        <f t="shared" si="13"/>
        <v>0</v>
      </c>
      <c r="J205" s="11">
        <f t="shared" si="15"/>
        <v>0</v>
      </c>
    </row>
    <row r="206" spans="1:10" x14ac:dyDescent="0.3">
      <c r="A206" s="7">
        <v>44846.333333333168</v>
      </c>
      <c r="B206" s="8" t="s">
        <v>6</v>
      </c>
      <c r="C206" s="8">
        <v>0</v>
      </c>
      <c r="D206" t="str">
        <f t="shared" si="14"/>
        <v>Wednesday</v>
      </c>
      <c r="E206">
        <v>42</v>
      </c>
      <c r="F206" s="11">
        <f>VLOOKUP(B206,'ITEMS LIST'!$B$2:$F$19,4,FALSE)</f>
        <v>1000</v>
      </c>
      <c r="G206" s="11">
        <f>VLOOKUP(B206,'ITEMS LIST'!$B$2:$F$19,5,FALSE)</f>
        <v>768</v>
      </c>
      <c r="H206" s="11">
        <f t="shared" si="12"/>
        <v>0</v>
      </c>
      <c r="I206" s="11">
        <f t="shared" si="13"/>
        <v>0</v>
      </c>
      <c r="J206" s="11">
        <f t="shared" si="15"/>
        <v>0</v>
      </c>
    </row>
    <row r="207" spans="1:10" x14ac:dyDescent="0.3">
      <c r="A207" s="7">
        <v>44846.388888888723</v>
      </c>
      <c r="B207" s="8" t="s">
        <v>7</v>
      </c>
      <c r="C207" s="8">
        <v>0</v>
      </c>
      <c r="D207" t="str">
        <f t="shared" si="14"/>
        <v>Wednesday</v>
      </c>
      <c r="E207">
        <v>42</v>
      </c>
      <c r="F207" s="11">
        <f>VLOOKUP(B207,'ITEMS LIST'!$B$2:$F$19,4,FALSE)</f>
        <v>680</v>
      </c>
      <c r="G207" s="11">
        <f>VLOOKUP(B207,'ITEMS LIST'!$B$2:$F$19,5,FALSE)</f>
        <v>570</v>
      </c>
      <c r="H207" s="11">
        <f t="shared" si="12"/>
        <v>0</v>
      </c>
      <c r="I207" s="11">
        <f t="shared" si="13"/>
        <v>0</v>
      </c>
      <c r="J207" s="11">
        <f t="shared" si="15"/>
        <v>0</v>
      </c>
    </row>
    <row r="208" spans="1:10" x14ac:dyDescent="0.3">
      <c r="A208" s="7">
        <v>44846.444444444278</v>
      </c>
      <c r="B208" s="8" t="s">
        <v>8</v>
      </c>
      <c r="C208" s="8">
        <v>0</v>
      </c>
      <c r="D208" t="str">
        <f t="shared" si="14"/>
        <v>Wednesday</v>
      </c>
      <c r="E208">
        <v>42</v>
      </c>
      <c r="F208" s="11">
        <f>VLOOKUP(B208,'ITEMS LIST'!$B$2:$F$19,4,FALSE)</f>
        <v>199</v>
      </c>
      <c r="G208" s="11">
        <f>VLOOKUP(B208,'ITEMS LIST'!$B$2:$F$19,5,FALSE)</f>
        <v>140</v>
      </c>
      <c r="H208" s="11">
        <f t="shared" si="12"/>
        <v>0</v>
      </c>
      <c r="I208" s="11">
        <f t="shared" si="13"/>
        <v>0</v>
      </c>
      <c r="J208" s="11">
        <f t="shared" si="15"/>
        <v>0</v>
      </c>
    </row>
    <row r="209" spans="1:10" x14ac:dyDescent="0.3">
      <c r="A209" s="7">
        <v>44846.499999999833</v>
      </c>
      <c r="B209" s="8" t="s">
        <v>9</v>
      </c>
      <c r="C209" s="8">
        <v>0</v>
      </c>
      <c r="D209" t="str">
        <f t="shared" si="14"/>
        <v>Wednesday</v>
      </c>
      <c r="E209">
        <v>42</v>
      </c>
      <c r="F209" s="11">
        <f>VLOOKUP(B209,'ITEMS LIST'!$B$2:$F$19,4,FALSE)</f>
        <v>219</v>
      </c>
      <c r="G209" s="11">
        <f>VLOOKUP(B209,'ITEMS LIST'!$B$2:$F$19,5,FALSE)</f>
        <v>132</v>
      </c>
      <c r="H209" s="11">
        <f t="shared" si="12"/>
        <v>0</v>
      </c>
      <c r="I209" s="11">
        <f t="shared" si="13"/>
        <v>0</v>
      </c>
      <c r="J209" s="11">
        <f t="shared" si="15"/>
        <v>0</v>
      </c>
    </row>
    <row r="210" spans="1:10" x14ac:dyDescent="0.3">
      <c r="A210" s="7">
        <v>44846.555555555387</v>
      </c>
      <c r="B210" s="8" t="s">
        <v>10</v>
      </c>
      <c r="C210" s="8">
        <v>0</v>
      </c>
      <c r="D210" t="str">
        <f t="shared" si="14"/>
        <v>Wednesday</v>
      </c>
      <c r="E210">
        <v>42</v>
      </c>
      <c r="F210" s="11">
        <f>VLOOKUP(B210,'ITEMS LIST'!$B$2:$F$19,4,FALSE)</f>
        <v>1469</v>
      </c>
      <c r="G210" s="11">
        <f>VLOOKUP(B210,'ITEMS LIST'!$B$2:$F$19,5,FALSE)</f>
        <v>1184</v>
      </c>
      <c r="H210" s="11">
        <f t="shared" si="12"/>
        <v>0</v>
      </c>
      <c r="I210" s="11">
        <f t="shared" si="13"/>
        <v>0</v>
      </c>
      <c r="J210" s="11">
        <f t="shared" si="15"/>
        <v>0</v>
      </c>
    </row>
    <row r="211" spans="1:10" x14ac:dyDescent="0.3">
      <c r="A211" s="7">
        <v>44846.611111110942</v>
      </c>
      <c r="B211" s="8" t="s">
        <v>11</v>
      </c>
      <c r="C211" s="8">
        <v>0</v>
      </c>
      <c r="D211" t="str">
        <f t="shared" si="14"/>
        <v>Wednesday</v>
      </c>
      <c r="E211">
        <v>42</v>
      </c>
      <c r="F211" s="11">
        <f>VLOOKUP(B211,'ITEMS LIST'!$B$2:$F$19,4,FALSE)</f>
        <v>89</v>
      </c>
      <c r="G211" s="11">
        <f>VLOOKUP(B211,'ITEMS LIST'!$B$2:$F$19,5,FALSE)</f>
        <v>59</v>
      </c>
      <c r="H211" s="11">
        <f t="shared" si="12"/>
        <v>0</v>
      </c>
      <c r="I211" s="11">
        <f t="shared" si="13"/>
        <v>0</v>
      </c>
      <c r="J211" s="11">
        <f t="shared" si="15"/>
        <v>0</v>
      </c>
    </row>
    <row r="212" spans="1:10" x14ac:dyDescent="0.3">
      <c r="A212" s="7">
        <v>44846.666666666497</v>
      </c>
      <c r="B212" s="8" t="s">
        <v>12</v>
      </c>
      <c r="C212" s="8">
        <v>0</v>
      </c>
      <c r="D212" t="str">
        <f t="shared" si="14"/>
        <v>Wednesday</v>
      </c>
      <c r="E212">
        <v>42</v>
      </c>
      <c r="F212" s="11">
        <f>VLOOKUP(B212,'ITEMS LIST'!$B$2:$F$19,4,FALSE)</f>
        <v>310</v>
      </c>
      <c r="G212" s="11">
        <f>VLOOKUP(B212,'ITEMS LIST'!$B$2:$F$19,5,FALSE)</f>
        <v>206</v>
      </c>
      <c r="H212" s="11">
        <f t="shared" si="12"/>
        <v>0</v>
      </c>
      <c r="I212" s="11">
        <f t="shared" si="13"/>
        <v>0</v>
      </c>
      <c r="J212" s="11">
        <f t="shared" si="15"/>
        <v>0</v>
      </c>
    </row>
    <row r="213" spans="1:10" x14ac:dyDescent="0.3">
      <c r="A213" s="7">
        <v>44846.722222222052</v>
      </c>
      <c r="B213" s="8" t="s">
        <v>13</v>
      </c>
      <c r="C213" s="8">
        <v>0</v>
      </c>
      <c r="D213" t="str">
        <f t="shared" si="14"/>
        <v>Wednesday</v>
      </c>
      <c r="E213">
        <v>42</v>
      </c>
      <c r="F213" s="11">
        <f>VLOOKUP(B213,'ITEMS LIST'!$B$2:$F$19,4,FALSE)</f>
        <v>540</v>
      </c>
      <c r="G213" s="11">
        <f>VLOOKUP(B213,'ITEMS LIST'!$B$2:$F$19,5,FALSE)</f>
        <v>397</v>
      </c>
      <c r="H213" s="11">
        <f t="shared" si="12"/>
        <v>0</v>
      </c>
      <c r="I213" s="11">
        <f t="shared" si="13"/>
        <v>0</v>
      </c>
      <c r="J213" s="11">
        <f t="shared" si="15"/>
        <v>0</v>
      </c>
    </row>
    <row r="214" spans="1:10" x14ac:dyDescent="0.3">
      <c r="A214" s="7">
        <v>44846.777777777606</v>
      </c>
      <c r="B214" s="8" t="s">
        <v>14</v>
      </c>
      <c r="C214" s="8">
        <v>0</v>
      </c>
      <c r="D214" t="str">
        <f t="shared" si="14"/>
        <v>Wednesday</v>
      </c>
      <c r="E214">
        <v>42</v>
      </c>
      <c r="F214" s="11">
        <f>VLOOKUP(B214,'ITEMS LIST'!$B$2:$F$19,4,FALSE)</f>
        <v>360</v>
      </c>
      <c r="G214" s="11">
        <f>VLOOKUP(B214,'ITEMS LIST'!$B$2:$F$19,5,FALSE)</f>
        <v>248</v>
      </c>
      <c r="H214" s="11">
        <f t="shared" si="12"/>
        <v>0</v>
      </c>
      <c r="I214" s="11">
        <f t="shared" si="13"/>
        <v>0</v>
      </c>
      <c r="J214" s="11">
        <f t="shared" si="15"/>
        <v>0</v>
      </c>
    </row>
    <row r="215" spans="1:10" x14ac:dyDescent="0.3">
      <c r="A215" s="7">
        <v>44846.833333333161</v>
      </c>
      <c r="B215" s="8" t="s">
        <v>15</v>
      </c>
      <c r="C215" s="8">
        <v>0</v>
      </c>
      <c r="D215" t="str">
        <f t="shared" si="14"/>
        <v>Wednesday</v>
      </c>
      <c r="E215">
        <v>42</v>
      </c>
      <c r="F215" s="11">
        <f>VLOOKUP(B215,'ITEMS LIST'!$B$2:$F$19,4,FALSE)</f>
        <v>250</v>
      </c>
      <c r="G215" s="11">
        <f>VLOOKUP(B215,'ITEMS LIST'!$B$2:$F$19,5,FALSE)</f>
        <v>190</v>
      </c>
      <c r="H215" s="11">
        <f t="shared" si="12"/>
        <v>0</v>
      </c>
      <c r="I215" s="11">
        <f t="shared" si="13"/>
        <v>0</v>
      </c>
      <c r="J215" s="11">
        <f t="shared" si="15"/>
        <v>0</v>
      </c>
    </row>
    <row r="216" spans="1:10" x14ac:dyDescent="0.3">
      <c r="A216" s="7">
        <v>44846.888888888716</v>
      </c>
      <c r="B216" s="8" t="s">
        <v>16</v>
      </c>
      <c r="C216" s="8">
        <v>0</v>
      </c>
      <c r="D216" t="str">
        <f t="shared" si="14"/>
        <v>Wednesday</v>
      </c>
      <c r="E216">
        <v>42</v>
      </c>
      <c r="F216" s="11">
        <f>VLOOKUP(B216,'ITEMS LIST'!$B$2:$F$19,4,FALSE)</f>
        <v>120</v>
      </c>
      <c r="G216" s="11">
        <f>VLOOKUP(B216,'ITEMS LIST'!$B$2:$F$19,5,FALSE)</f>
        <v>85</v>
      </c>
      <c r="H216" s="11">
        <f t="shared" si="12"/>
        <v>0</v>
      </c>
      <c r="I216" s="11">
        <f t="shared" si="13"/>
        <v>0</v>
      </c>
      <c r="J216" s="11">
        <f t="shared" si="15"/>
        <v>0</v>
      </c>
    </row>
    <row r="217" spans="1:10" x14ac:dyDescent="0.3">
      <c r="A217" s="7">
        <v>44846.944444444271</v>
      </c>
      <c r="B217" s="8" t="s">
        <v>17</v>
      </c>
      <c r="C217" s="8">
        <v>0</v>
      </c>
      <c r="D217" t="str">
        <f t="shared" si="14"/>
        <v>Wednesday</v>
      </c>
      <c r="E217">
        <v>42</v>
      </c>
      <c r="F217" s="11">
        <f>VLOOKUP(B217,'ITEMS LIST'!$B$2:$F$19,4,FALSE)</f>
        <v>80</v>
      </c>
      <c r="G217" s="11">
        <f>VLOOKUP(B217,'ITEMS LIST'!$B$2:$F$19,5,FALSE)</f>
        <v>55</v>
      </c>
      <c r="H217" s="11">
        <f t="shared" si="12"/>
        <v>0</v>
      </c>
      <c r="I217" s="11">
        <f t="shared" si="13"/>
        <v>0</v>
      </c>
      <c r="J217" s="11">
        <f t="shared" si="15"/>
        <v>0</v>
      </c>
    </row>
    <row r="218" spans="1:10" x14ac:dyDescent="0.3">
      <c r="A218" s="7">
        <v>44846.999999999825</v>
      </c>
      <c r="B218" s="8" t="s">
        <v>0</v>
      </c>
      <c r="C218" s="8">
        <v>0</v>
      </c>
      <c r="D218" t="str">
        <f t="shared" si="14"/>
        <v>Thursday</v>
      </c>
      <c r="E218">
        <v>42</v>
      </c>
      <c r="F218" s="11">
        <f>VLOOKUP(B218,'ITEMS LIST'!$B$2:$F$19,4,FALSE)</f>
        <v>549</v>
      </c>
      <c r="G218" s="11">
        <f>VLOOKUP(B218,'ITEMS LIST'!$B$2:$F$19,5,FALSE)</f>
        <v>365</v>
      </c>
      <c r="H218" s="11">
        <f t="shared" si="12"/>
        <v>0</v>
      </c>
      <c r="I218" s="11">
        <f t="shared" si="13"/>
        <v>0</v>
      </c>
      <c r="J218" s="11">
        <f t="shared" si="15"/>
        <v>0</v>
      </c>
    </row>
    <row r="219" spans="1:10" x14ac:dyDescent="0.3">
      <c r="A219" s="7">
        <v>44847.05555555538</v>
      </c>
      <c r="B219" s="8" t="s">
        <v>1</v>
      </c>
      <c r="C219" s="8">
        <v>0</v>
      </c>
      <c r="D219" t="str">
        <f t="shared" si="14"/>
        <v>Thursday</v>
      </c>
      <c r="E219">
        <v>42</v>
      </c>
      <c r="F219" s="11">
        <f>VLOOKUP(B219,'ITEMS LIST'!$B$2:$F$19,4,FALSE)</f>
        <v>699</v>
      </c>
      <c r="G219" s="11">
        <f>VLOOKUP(B219,'ITEMS LIST'!$B$2:$F$19,5,FALSE)</f>
        <v>550</v>
      </c>
      <c r="H219" s="11">
        <f t="shared" si="12"/>
        <v>0</v>
      </c>
      <c r="I219" s="11">
        <f t="shared" si="13"/>
        <v>0</v>
      </c>
      <c r="J219" s="11">
        <f t="shared" si="15"/>
        <v>0</v>
      </c>
    </row>
    <row r="220" spans="1:10" x14ac:dyDescent="0.3">
      <c r="A220" s="7">
        <v>44847.111111110935</v>
      </c>
      <c r="B220" s="8" t="s">
        <v>2</v>
      </c>
      <c r="C220" s="8">
        <v>0</v>
      </c>
      <c r="D220" t="str">
        <f t="shared" si="14"/>
        <v>Thursday</v>
      </c>
      <c r="E220">
        <v>42</v>
      </c>
      <c r="F220" s="11">
        <f>VLOOKUP(B220,'ITEMS LIST'!$B$2:$F$19,4,FALSE)</f>
        <v>739</v>
      </c>
      <c r="G220" s="11">
        <f>VLOOKUP(B220,'ITEMS LIST'!$B$2:$F$19,5,FALSE)</f>
        <v>620</v>
      </c>
      <c r="H220" s="11">
        <f t="shared" si="12"/>
        <v>0</v>
      </c>
      <c r="I220" s="11">
        <f t="shared" si="13"/>
        <v>0</v>
      </c>
      <c r="J220" s="11">
        <f t="shared" si="15"/>
        <v>0</v>
      </c>
    </row>
    <row r="221" spans="1:10" x14ac:dyDescent="0.3">
      <c r="A221" s="7">
        <v>44847.16666666649</v>
      </c>
      <c r="B221" s="8" t="s">
        <v>3</v>
      </c>
      <c r="C221" s="8">
        <v>0</v>
      </c>
      <c r="D221" t="str">
        <f t="shared" si="14"/>
        <v>Thursday</v>
      </c>
      <c r="E221">
        <v>42</v>
      </c>
      <c r="F221" s="11">
        <f>VLOOKUP(B221,'ITEMS LIST'!$B$2:$F$19,4,FALSE)</f>
        <v>899</v>
      </c>
      <c r="G221" s="11">
        <f>VLOOKUP(B221,'ITEMS LIST'!$B$2:$F$19,5,FALSE)</f>
        <v>714</v>
      </c>
      <c r="H221" s="11">
        <f t="shared" si="12"/>
        <v>0</v>
      </c>
      <c r="I221" s="11">
        <f t="shared" si="13"/>
        <v>0</v>
      </c>
      <c r="J221" s="11">
        <f t="shared" si="15"/>
        <v>0</v>
      </c>
    </row>
    <row r="222" spans="1:10" x14ac:dyDescent="0.3">
      <c r="A222" s="7">
        <v>44847.222222222044</v>
      </c>
      <c r="B222" s="8" t="s">
        <v>4</v>
      </c>
      <c r="C222" s="8">
        <v>0</v>
      </c>
      <c r="D222" t="str">
        <f t="shared" si="14"/>
        <v>Thursday</v>
      </c>
      <c r="E222">
        <v>42</v>
      </c>
      <c r="F222" s="11">
        <f>VLOOKUP(B222,'ITEMS LIST'!$B$2:$F$19,4,FALSE)</f>
        <v>1379</v>
      </c>
      <c r="G222" s="11">
        <f>VLOOKUP(B222,'ITEMS LIST'!$B$2:$F$19,5,FALSE)</f>
        <v>890</v>
      </c>
      <c r="H222" s="11">
        <f t="shared" si="12"/>
        <v>0</v>
      </c>
      <c r="I222" s="11">
        <f t="shared" si="13"/>
        <v>0</v>
      </c>
      <c r="J222" s="11">
        <f t="shared" si="15"/>
        <v>0</v>
      </c>
    </row>
    <row r="223" spans="1:10" x14ac:dyDescent="0.3">
      <c r="A223" s="7">
        <v>44847.277777777599</v>
      </c>
      <c r="B223" s="8" t="s">
        <v>5</v>
      </c>
      <c r="C223" s="8">
        <v>0</v>
      </c>
      <c r="D223" t="str">
        <f t="shared" si="14"/>
        <v>Thursday</v>
      </c>
      <c r="E223">
        <v>42</v>
      </c>
      <c r="F223" s="11">
        <f>VLOOKUP(B223,'ITEMS LIST'!$B$2:$F$19,4,FALSE)</f>
        <v>849</v>
      </c>
      <c r="G223" s="11">
        <f>VLOOKUP(B223,'ITEMS LIST'!$B$2:$F$19,5,FALSE)</f>
        <v>530</v>
      </c>
      <c r="H223" s="11">
        <f t="shared" si="12"/>
        <v>0</v>
      </c>
      <c r="I223" s="11">
        <f t="shared" si="13"/>
        <v>0</v>
      </c>
      <c r="J223" s="11">
        <f t="shared" si="15"/>
        <v>0</v>
      </c>
    </row>
    <row r="224" spans="1:10" x14ac:dyDescent="0.3">
      <c r="A224" s="7">
        <v>44847.333333333154</v>
      </c>
      <c r="B224" s="8" t="s">
        <v>6</v>
      </c>
      <c r="C224" s="8">
        <v>0</v>
      </c>
      <c r="D224" t="str">
        <f t="shared" si="14"/>
        <v>Thursday</v>
      </c>
      <c r="E224">
        <v>42</v>
      </c>
      <c r="F224" s="11">
        <f>VLOOKUP(B224,'ITEMS LIST'!$B$2:$F$19,4,FALSE)</f>
        <v>1000</v>
      </c>
      <c r="G224" s="11">
        <f>VLOOKUP(B224,'ITEMS LIST'!$B$2:$F$19,5,FALSE)</f>
        <v>768</v>
      </c>
      <c r="H224" s="11">
        <f t="shared" si="12"/>
        <v>0</v>
      </c>
      <c r="I224" s="11">
        <f t="shared" si="13"/>
        <v>0</v>
      </c>
      <c r="J224" s="11">
        <f t="shared" si="15"/>
        <v>0</v>
      </c>
    </row>
    <row r="225" spans="1:10" x14ac:dyDescent="0.3">
      <c r="A225" s="7">
        <v>44847.388888888709</v>
      </c>
      <c r="B225" s="8" t="s">
        <v>7</v>
      </c>
      <c r="C225" s="8">
        <v>0</v>
      </c>
      <c r="D225" t="str">
        <f t="shared" si="14"/>
        <v>Thursday</v>
      </c>
      <c r="E225">
        <v>42</v>
      </c>
      <c r="F225" s="11">
        <f>VLOOKUP(B225,'ITEMS LIST'!$B$2:$F$19,4,FALSE)</f>
        <v>680</v>
      </c>
      <c r="G225" s="11">
        <f>VLOOKUP(B225,'ITEMS LIST'!$B$2:$F$19,5,FALSE)</f>
        <v>570</v>
      </c>
      <c r="H225" s="11">
        <f t="shared" si="12"/>
        <v>0</v>
      </c>
      <c r="I225" s="11">
        <f t="shared" si="13"/>
        <v>0</v>
      </c>
      <c r="J225" s="11">
        <f t="shared" si="15"/>
        <v>0</v>
      </c>
    </row>
    <row r="226" spans="1:10" x14ac:dyDescent="0.3">
      <c r="A226" s="7">
        <v>44847.444444444263</v>
      </c>
      <c r="B226" s="8" t="s">
        <v>8</v>
      </c>
      <c r="C226" s="8">
        <v>0</v>
      </c>
      <c r="D226" t="str">
        <f t="shared" si="14"/>
        <v>Thursday</v>
      </c>
      <c r="E226">
        <v>42</v>
      </c>
      <c r="F226" s="11">
        <f>VLOOKUP(B226,'ITEMS LIST'!$B$2:$F$19,4,FALSE)</f>
        <v>199</v>
      </c>
      <c r="G226" s="11">
        <f>VLOOKUP(B226,'ITEMS LIST'!$B$2:$F$19,5,FALSE)</f>
        <v>140</v>
      </c>
      <c r="H226" s="11">
        <f t="shared" si="12"/>
        <v>0</v>
      </c>
      <c r="I226" s="11">
        <f t="shared" si="13"/>
        <v>0</v>
      </c>
      <c r="J226" s="11">
        <f t="shared" si="15"/>
        <v>0</v>
      </c>
    </row>
    <row r="227" spans="1:10" x14ac:dyDescent="0.3">
      <c r="A227" s="7">
        <v>44847.499999999818</v>
      </c>
      <c r="B227" s="8" t="s">
        <v>9</v>
      </c>
      <c r="C227" s="8">
        <v>0</v>
      </c>
      <c r="D227" t="str">
        <f t="shared" si="14"/>
        <v>Thursday</v>
      </c>
      <c r="E227">
        <v>42</v>
      </c>
      <c r="F227" s="11">
        <f>VLOOKUP(B227,'ITEMS LIST'!$B$2:$F$19,4,FALSE)</f>
        <v>219</v>
      </c>
      <c r="G227" s="11">
        <f>VLOOKUP(B227,'ITEMS LIST'!$B$2:$F$19,5,FALSE)</f>
        <v>132</v>
      </c>
      <c r="H227" s="11">
        <f t="shared" si="12"/>
        <v>0</v>
      </c>
      <c r="I227" s="11">
        <f t="shared" si="13"/>
        <v>0</v>
      </c>
      <c r="J227" s="11">
        <f t="shared" si="15"/>
        <v>0</v>
      </c>
    </row>
    <row r="228" spans="1:10" x14ac:dyDescent="0.3">
      <c r="A228" s="7">
        <v>44847.555555555373</v>
      </c>
      <c r="B228" s="8" t="s">
        <v>10</v>
      </c>
      <c r="C228" s="8">
        <v>0</v>
      </c>
      <c r="D228" t="str">
        <f t="shared" si="14"/>
        <v>Thursday</v>
      </c>
      <c r="E228">
        <v>42</v>
      </c>
      <c r="F228" s="11">
        <f>VLOOKUP(B228,'ITEMS LIST'!$B$2:$F$19,4,FALSE)</f>
        <v>1469</v>
      </c>
      <c r="G228" s="11">
        <f>VLOOKUP(B228,'ITEMS LIST'!$B$2:$F$19,5,FALSE)</f>
        <v>1184</v>
      </c>
      <c r="H228" s="11">
        <f t="shared" si="12"/>
        <v>0</v>
      </c>
      <c r="I228" s="11">
        <f t="shared" si="13"/>
        <v>0</v>
      </c>
      <c r="J228" s="11">
        <f t="shared" si="15"/>
        <v>0</v>
      </c>
    </row>
    <row r="229" spans="1:10" x14ac:dyDescent="0.3">
      <c r="A229" s="7">
        <v>44847.611111110928</v>
      </c>
      <c r="B229" s="8" t="s">
        <v>11</v>
      </c>
      <c r="C229" s="8">
        <v>0</v>
      </c>
      <c r="D229" t="str">
        <f t="shared" si="14"/>
        <v>Thursday</v>
      </c>
      <c r="E229">
        <v>42</v>
      </c>
      <c r="F229" s="11">
        <f>VLOOKUP(B229,'ITEMS LIST'!$B$2:$F$19,4,FALSE)</f>
        <v>89</v>
      </c>
      <c r="G229" s="11">
        <f>VLOOKUP(B229,'ITEMS LIST'!$B$2:$F$19,5,FALSE)</f>
        <v>59</v>
      </c>
      <c r="H229" s="11">
        <f t="shared" si="12"/>
        <v>0</v>
      </c>
      <c r="I229" s="11">
        <f t="shared" si="13"/>
        <v>0</v>
      </c>
      <c r="J229" s="11">
        <f t="shared" si="15"/>
        <v>0</v>
      </c>
    </row>
    <row r="230" spans="1:10" x14ac:dyDescent="0.3">
      <c r="A230" s="7">
        <v>44847.666666666482</v>
      </c>
      <c r="B230" s="8" t="s">
        <v>12</v>
      </c>
      <c r="C230" s="8">
        <v>0</v>
      </c>
      <c r="D230" t="str">
        <f t="shared" si="14"/>
        <v>Thursday</v>
      </c>
      <c r="E230">
        <v>42</v>
      </c>
      <c r="F230" s="11">
        <f>VLOOKUP(B230,'ITEMS LIST'!$B$2:$F$19,4,FALSE)</f>
        <v>310</v>
      </c>
      <c r="G230" s="11">
        <f>VLOOKUP(B230,'ITEMS LIST'!$B$2:$F$19,5,FALSE)</f>
        <v>206</v>
      </c>
      <c r="H230" s="11">
        <f t="shared" si="12"/>
        <v>0</v>
      </c>
      <c r="I230" s="11">
        <f t="shared" si="13"/>
        <v>0</v>
      </c>
      <c r="J230" s="11">
        <f t="shared" si="15"/>
        <v>0</v>
      </c>
    </row>
    <row r="231" spans="1:10" x14ac:dyDescent="0.3">
      <c r="A231" s="7">
        <v>44847.722222222037</v>
      </c>
      <c r="B231" s="8" t="s">
        <v>13</v>
      </c>
      <c r="C231" s="8">
        <v>0</v>
      </c>
      <c r="D231" t="str">
        <f t="shared" si="14"/>
        <v>Thursday</v>
      </c>
      <c r="E231">
        <v>42</v>
      </c>
      <c r="F231" s="11">
        <f>VLOOKUP(B231,'ITEMS LIST'!$B$2:$F$19,4,FALSE)</f>
        <v>540</v>
      </c>
      <c r="G231" s="11">
        <f>VLOOKUP(B231,'ITEMS LIST'!$B$2:$F$19,5,FALSE)</f>
        <v>397</v>
      </c>
      <c r="H231" s="11">
        <f t="shared" si="12"/>
        <v>0</v>
      </c>
      <c r="I231" s="11">
        <f t="shared" si="13"/>
        <v>0</v>
      </c>
      <c r="J231" s="11">
        <f t="shared" si="15"/>
        <v>0</v>
      </c>
    </row>
    <row r="232" spans="1:10" x14ac:dyDescent="0.3">
      <c r="A232" s="7">
        <v>44847.777777777592</v>
      </c>
      <c r="B232" s="8" t="s">
        <v>14</v>
      </c>
      <c r="C232" s="8">
        <v>0</v>
      </c>
      <c r="D232" t="str">
        <f t="shared" si="14"/>
        <v>Thursday</v>
      </c>
      <c r="E232">
        <v>42</v>
      </c>
      <c r="F232" s="11">
        <f>VLOOKUP(B232,'ITEMS LIST'!$B$2:$F$19,4,FALSE)</f>
        <v>360</v>
      </c>
      <c r="G232" s="11">
        <f>VLOOKUP(B232,'ITEMS LIST'!$B$2:$F$19,5,FALSE)</f>
        <v>248</v>
      </c>
      <c r="H232" s="11">
        <f t="shared" si="12"/>
        <v>0</v>
      </c>
      <c r="I232" s="11">
        <f t="shared" si="13"/>
        <v>0</v>
      </c>
      <c r="J232" s="11">
        <f t="shared" si="15"/>
        <v>0</v>
      </c>
    </row>
    <row r="233" spans="1:10" x14ac:dyDescent="0.3">
      <c r="A233" s="7">
        <v>44847.833333333147</v>
      </c>
      <c r="B233" s="8" t="s">
        <v>15</v>
      </c>
      <c r="C233" s="8">
        <v>0</v>
      </c>
      <c r="D233" t="str">
        <f t="shared" si="14"/>
        <v>Thursday</v>
      </c>
      <c r="E233">
        <v>42</v>
      </c>
      <c r="F233" s="11">
        <f>VLOOKUP(B233,'ITEMS LIST'!$B$2:$F$19,4,FALSE)</f>
        <v>250</v>
      </c>
      <c r="G233" s="11">
        <f>VLOOKUP(B233,'ITEMS LIST'!$B$2:$F$19,5,FALSE)</f>
        <v>190</v>
      </c>
      <c r="H233" s="11">
        <f t="shared" si="12"/>
        <v>0</v>
      </c>
      <c r="I233" s="11">
        <f t="shared" si="13"/>
        <v>0</v>
      </c>
      <c r="J233" s="11">
        <f t="shared" si="15"/>
        <v>0</v>
      </c>
    </row>
    <row r="234" spans="1:10" x14ac:dyDescent="0.3">
      <c r="A234" s="7">
        <v>44847.888888888701</v>
      </c>
      <c r="B234" s="8" t="s">
        <v>16</v>
      </c>
      <c r="C234" s="8">
        <v>0</v>
      </c>
      <c r="D234" t="str">
        <f t="shared" si="14"/>
        <v>Thursday</v>
      </c>
      <c r="E234">
        <v>42</v>
      </c>
      <c r="F234" s="11">
        <f>VLOOKUP(B234,'ITEMS LIST'!$B$2:$F$19,4,FALSE)</f>
        <v>120</v>
      </c>
      <c r="G234" s="11">
        <f>VLOOKUP(B234,'ITEMS LIST'!$B$2:$F$19,5,FALSE)</f>
        <v>85</v>
      </c>
      <c r="H234" s="11">
        <f t="shared" si="12"/>
        <v>0</v>
      </c>
      <c r="I234" s="11">
        <f t="shared" si="13"/>
        <v>0</v>
      </c>
      <c r="J234" s="11">
        <f t="shared" si="15"/>
        <v>0</v>
      </c>
    </row>
    <row r="235" spans="1:10" x14ac:dyDescent="0.3">
      <c r="A235" s="7">
        <v>44847.944444444256</v>
      </c>
      <c r="B235" s="8" t="s">
        <v>17</v>
      </c>
      <c r="C235" s="8">
        <v>0</v>
      </c>
      <c r="D235" t="str">
        <f t="shared" si="14"/>
        <v>Thursday</v>
      </c>
      <c r="E235">
        <v>42</v>
      </c>
      <c r="F235" s="11">
        <f>VLOOKUP(B235,'ITEMS LIST'!$B$2:$F$19,4,FALSE)</f>
        <v>80</v>
      </c>
      <c r="G235" s="11">
        <f>VLOOKUP(B235,'ITEMS LIST'!$B$2:$F$19,5,FALSE)</f>
        <v>55</v>
      </c>
      <c r="H235" s="11">
        <f t="shared" si="12"/>
        <v>0</v>
      </c>
      <c r="I235" s="11">
        <f t="shared" si="13"/>
        <v>0</v>
      </c>
      <c r="J235" s="11">
        <f t="shared" si="15"/>
        <v>0</v>
      </c>
    </row>
    <row r="236" spans="1:10" x14ac:dyDescent="0.3">
      <c r="A236" s="7">
        <v>44847.999999999811</v>
      </c>
      <c r="B236" s="8" t="s">
        <v>0</v>
      </c>
      <c r="C236" s="8">
        <v>0</v>
      </c>
      <c r="D236" t="str">
        <f t="shared" si="14"/>
        <v>Friday</v>
      </c>
      <c r="E236">
        <v>42</v>
      </c>
      <c r="F236" s="11">
        <f>VLOOKUP(B236,'ITEMS LIST'!$B$2:$F$19,4,FALSE)</f>
        <v>549</v>
      </c>
      <c r="G236" s="11">
        <f>VLOOKUP(B236,'ITEMS LIST'!$B$2:$F$19,5,FALSE)</f>
        <v>365</v>
      </c>
      <c r="H236" s="11">
        <f t="shared" si="12"/>
        <v>0</v>
      </c>
      <c r="I236" s="11">
        <f t="shared" si="13"/>
        <v>0</v>
      </c>
      <c r="J236" s="11">
        <f t="shared" si="15"/>
        <v>0</v>
      </c>
    </row>
    <row r="237" spans="1:10" x14ac:dyDescent="0.3">
      <c r="A237" s="7">
        <v>44848.055555555366</v>
      </c>
      <c r="B237" s="8" t="s">
        <v>1</v>
      </c>
      <c r="C237" s="8">
        <v>0</v>
      </c>
      <c r="D237" t="str">
        <f t="shared" si="14"/>
        <v>Friday</v>
      </c>
      <c r="E237">
        <v>42</v>
      </c>
      <c r="F237" s="11">
        <f>VLOOKUP(B237,'ITEMS LIST'!$B$2:$F$19,4,FALSE)</f>
        <v>699</v>
      </c>
      <c r="G237" s="11">
        <f>VLOOKUP(B237,'ITEMS LIST'!$B$2:$F$19,5,FALSE)</f>
        <v>550</v>
      </c>
      <c r="H237" s="11">
        <f t="shared" si="12"/>
        <v>0</v>
      </c>
      <c r="I237" s="11">
        <f t="shared" si="13"/>
        <v>0</v>
      </c>
      <c r="J237" s="11">
        <f t="shared" si="15"/>
        <v>0</v>
      </c>
    </row>
    <row r="238" spans="1:10" x14ac:dyDescent="0.3">
      <c r="A238" s="7">
        <v>44848.11111111092</v>
      </c>
      <c r="B238" s="8" t="s">
        <v>2</v>
      </c>
      <c r="C238" s="8">
        <v>0</v>
      </c>
      <c r="D238" t="str">
        <f t="shared" si="14"/>
        <v>Friday</v>
      </c>
      <c r="E238">
        <v>42</v>
      </c>
      <c r="F238" s="11">
        <f>VLOOKUP(B238,'ITEMS LIST'!$B$2:$F$19,4,FALSE)</f>
        <v>739</v>
      </c>
      <c r="G238" s="11">
        <f>VLOOKUP(B238,'ITEMS LIST'!$B$2:$F$19,5,FALSE)</f>
        <v>620</v>
      </c>
      <c r="H238" s="11">
        <f t="shared" si="12"/>
        <v>0</v>
      </c>
      <c r="I238" s="11">
        <f t="shared" si="13"/>
        <v>0</v>
      </c>
      <c r="J238" s="11">
        <f t="shared" si="15"/>
        <v>0</v>
      </c>
    </row>
    <row r="239" spans="1:10" x14ac:dyDescent="0.3">
      <c r="A239" s="7">
        <v>44848.166666666475</v>
      </c>
      <c r="B239" s="8" t="s">
        <v>3</v>
      </c>
      <c r="C239" s="8">
        <v>0</v>
      </c>
      <c r="D239" t="str">
        <f t="shared" si="14"/>
        <v>Friday</v>
      </c>
      <c r="E239">
        <v>42</v>
      </c>
      <c r="F239" s="11">
        <f>VLOOKUP(B239,'ITEMS LIST'!$B$2:$F$19,4,FALSE)</f>
        <v>899</v>
      </c>
      <c r="G239" s="11">
        <f>VLOOKUP(B239,'ITEMS LIST'!$B$2:$F$19,5,FALSE)</f>
        <v>714</v>
      </c>
      <c r="H239" s="11">
        <f t="shared" si="12"/>
        <v>0</v>
      </c>
      <c r="I239" s="11">
        <f t="shared" si="13"/>
        <v>0</v>
      </c>
      <c r="J239" s="11">
        <f t="shared" si="15"/>
        <v>0</v>
      </c>
    </row>
    <row r="240" spans="1:10" x14ac:dyDescent="0.3">
      <c r="A240" s="7">
        <v>44848.22222222203</v>
      </c>
      <c r="B240" s="8" t="s">
        <v>4</v>
      </c>
      <c r="C240" s="8">
        <v>0</v>
      </c>
      <c r="D240" t="str">
        <f t="shared" si="14"/>
        <v>Friday</v>
      </c>
      <c r="E240">
        <v>42</v>
      </c>
      <c r="F240" s="11">
        <f>VLOOKUP(B240,'ITEMS LIST'!$B$2:$F$19,4,FALSE)</f>
        <v>1379</v>
      </c>
      <c r="G240" s="11">
        <f>VLOOKUP(B240,'ITEMS LIST'!$B$2:$F$19,5,FALSE)</f>
        <v>890</v>
      </c>
      <c r="H240" s="11">
        <f t="shared" si="12"/>
        <v>0</v>
      </c>
      <c r="I240" s="11">
        <f t="shared" si="13"/>
        <v>0</v>
      </c>
      <c r="J240" s="11">
        <f t="shared" si="15"/>
        <v>0</v>
      </c>
    </row>
    <row r="241" spans="1:10" x14ac:dyDescent="0.3">
      <c r="A241" s="7">
        <v>44848.277777777585</v>
      </c>
      <c r="B241" s="8" t="s">
        <v>5</v>
      </c>
      <c r="C241" s="8">
        <v>0</v>
      </c>
      <c r="D241" t="str">
        <f t="shared" si="14"/>
        <v>Friday</v>
      </c>
      <c r="E241">
        <v>42</v>
      </c>
      <c r="F241" s="11">
        <f>VLOOKUP(B241,'ITEMS LIST'!$B$2:$F$19,4,FALSE)</f>
        <v>849</v>
      </c>
      <c r="G241" s="11">
        <f>VLOOKUP(B241,'ITEMS LIST'!$B$2:$F$19,5,FALSE)</f>
        <v>530</v>
      </c>
      <c r="H241" s="11">
        <f t="shared" si="12"/>
        <v>0</v>
      </c>
      <c r="I241" s="11">
        <f t="shared" si="13"/>
        <v>0</v>
      </c>
      <c r="J241" s="11">
        <f t="shared" si="15"/>
        <v>0</v>
      </c>
    </row>
    <row r="242" spans="1:10" x14ac:dyDescent="0.3">
      <c r="A242" s="7">
        <v>44848.333333333139</v>
      </c>
      <c r="B242" s="8" t="s">
        <v>6</v>
      </c>
      <c r="C242" s="8">
        <v>0</v>
      </c>
      <c r="D242" t="str">
        <f t="shared" si="14"/>
        <v>Friday</v>
      </c>
      <c r="E242">
        <v>42</v>
      </c>
      <c r="F242" s="11">
        <f>VLOOKUP(B242,'ITEMS LIST'!$B$2:$F$19,4,FALSE)</f>
        <v>1000</v>
      </c>
      <c r="G242" s="11">
        <f>VLOOKUP(B242,'ITEMS LIST'!$B$2:$F$19,5,FALSE)</f>
        <v>768</v>
      </c>
      <c r="H242" s="11">
        <f t="shared" si="12"/>
        <v>0</v>
      </c>
      <c r="I242" s="11">
        <f t="shared" si="13"/>
        <v>0</v>
      </c>
      <c r="J242" s="11">
        <f t="shared" si="15"/>
        <v>0</v>
      </c>
    </row>
    <row r="243" spans="1:10" x14ac:dyDescent="0.3">
      <c r="A243" s="7">
        <v>44848.388888888694</v>
      </c>
      <c r="B243" s="8" t="s">
        <v>7</v>
      </c>
      <c r="C243" s="8">
        <v>0</v>
      </c>
      <c r="D243" t="str">
        <f t="shared" si="14"/>
        <v>Friday</v>
      </c>
      <c r="E243">
        <v>42</v>
      </c>
      <c r="F243" s="11">
        <f>VLOOKUP(B243,'ITEMS LIST'!$B$2:$F$19,4,FALSE)</f>
        <v>680</v>
      </c>
      <c r="G243" s="11">
        <f>VLOOKUP(B243,'ITEMS LIST'!$B$2:$F$19,5,FALSE)</f>
        <v>570</v>
      </c>
      <c r="H243" s="11">
        <f t="shared" si="12"/>
        <v>0</v>
      </c>
      <c r="I243" s="11">
        <f t="shared" si="13"/>
        <v>0</v>
      </c>
      <c r="J243" s="11">
        <f t="shared" si="15"/>
        <v>0</v>
      </c>
    </row>
    <row r="244" spans="1:10" x14ac:dyDescent="0.3">
      <c r="A244" s="7">
        <v>44848.444444444249</v>
      </c>
      <c r="B244" s="8" t="s">
        <v>8</v>
      </c>
      <c r="C244" s="8">
        <v>0</v>
      </c>
      <c r="D244" t="str">
        <f t="shared" si="14"/>
        <v>Friday</v>
      </c>
      <c r="E244">
        <v>42</v>
      </c>
      <c r="F244" s="11">
        <f>VLOOKUP(B244,'ITEMS LIST'!$B$2:$F$19,4,FALSE)</f>
        <v>199</v>
      </c>
      <c r="G244" s="11">
        <f>VLOOKUP(B244,'ITEMS LIST'!$B$2:$F$19,5,FALSE)</f>
        <v>140</v>
      </c>
      <c r="H244" s="11">
        <f t="shared" si="12"/>
        <v>0</v>
      </c>
      <c r="I244" s="11">
        <f t="shared" si="13"/>
        <v>0</v>
      </c>
      <c r="J244" s="11">
        <f t="shared" si="15"/>
        <v>0</v>
      </c>
    </row>
    <row r="245" spans="1:10" x14ac:dyDescent="0.3">
      <c r="A245" s="7">
        <v>44848.499999999804</v>
      </c>
      <c r="B245" s="8" t="s">
        <v>9</v>
      </c>
      <c r="C245" s="8">
        <v>0</v>
      </c>
      <c r="D245" t="str">
        <f t="shared" si="14"/>
        <v>Friday</v>
      </c>
      <c r="E245">
        <v>42</v>
      </c>
      <c r="F245" s="11">
        <f>VLOOKUP(B245,'ITEMS LIST'!$B$2:$F$19,4,FALSE)</f>
        <v>219</v>
      </c>
      <c r="G245" s="11">
        <f>VLOOKUP(B245,'ITEMS LIST'!$B$2:$F$19,5,FALSE)</f>
        <v>132</v>
      </c>
      <c r="H245" s="11">
        <f t="shared" si="12"/>
        <v>0</v>
      </c>
      <c r="I245" s="11">
        <f t="shared" si="13"/>
        <v>0</v>
      </c>
      <c r="J245" s="11">
        <f t="shared" si="15"/>
        <v>0</v>
      </c>
    </row>
    <row r="246" spans="1:10" x14ac:dyDescent="0.3">
      <c r="A246" s="7">
        <v>44848.555555555358</v>
      </c>
      <c r="B246" s="8" t="s">
        <v>10</v>
      </c>
      <c r="C246" s="8">
        <v>0</v>
      </c>
      <c r="D246" t="str">
        <f t="shared" si="14"/>
        <v>Friday</v>
      </c>
      <c r="E246">
        <v>42</v>
      </c>
      <c r="F246" s="11">
        <f>VLOOKUP(B246,'ITEMS LIST'!$B$2:$F$19,4,FALSE)</f>
        <v>1469</v>
      </c>
      <c r="G246" s="11">
        <f>VLOOKUP(B246,'ITEMS LIST'!$B$2:$F$19,5,FALSE)</f>
        <v>1184</v>
      </c>
      <c r="H246" s="11">
        <f t="shared" si="12"/>
        <v>0</v>
      </c>
      <c r="I246" s="11">
        <f t="shared" si="13"/>
        <v>0</v>
      </c>
      <c r="J246" s="11">
        <f t="shared" si="15"/>
        <v>0</v>
      </c>
    </row>
    <row r="247" spans="1:10" x14ac:dyDescent="0.3">
      <c r="A247" s="7">
        <v>44848.611111110913</v>
      </c>
      <c r="B247" s="8" t="s">
        <v>11</v>
      </c>
      <c r="C247" s="8">
        <v>0</v>
      </c>
      <c r="D247" t="str">
        <f t="shared" si="14"/>
        <v>Friday</v>
      </c>
      <c r="E247">
        <v>42</v>
      </c>
      <c r="F247" s="11">
        <f>VLOOKUP(B247,'ITEMS LIST'!$B$2:$F$19,4,FALSE)</f>
        <v>89</v>
      </c>
      <c r="G247" s="11">
        <f>VLOOKUP(B247,'ITEMS LIST'!$B$2:$F$19,5,FALSE)</f>
        <v>59</v>
      </c>
      <c r="H247" s="11">
        <f t="shared" si="12"/>
        <v>0</v>
      </c>
      <c r="I247" s="11">
        <f t="shared" si="13"/>
        <v>0</v>
      </c>
      <c r="J247" s="11">
        <f t="shared" si="15"/>
        <v>0</v>
      </c>
    </row>
    <row r="248" spans="1:10" x14ac:dyDescent="0.3">
      <c r="A248" s="7">
        <v>44848.666666666468</v>
      </c>
      <c r="B248" s="8" t="s">
        <v>12</v>
      </c>
      <c r="C248" s="8">
        <v>0</v>
      </c>
      <c r="D248" t="str">
        <f t="shared" si="14"/>
        <v>Friday</v>
      </c>
      <c r="E248">
        <v>42</v>
      </c>
      <c r="F248" s="11">
        <f>VLOOKUP(B248,'ITEMS LIST'!$B$2:$F$19,4,FALSE)</f>
        <v>310</v>
      </c>
      <c r="G248" s="11">
        <f>VLOOKUP(B248,'ITEMS LIST'!$B$2:$F$19,5,FALSE)</f>
        <v>206</v>
      </c>
      <c r="H248" s="11">
        <f t="shared" si="12"/>
        <v>0</v>
      </c>
      <c r="I248" s="11">
        <f t="shared" si="13"/>
        <v>0</v>
      </c>
      <c r="J248" s="11">
        <f t="shared" si="15"/>
        <v>0</v>
      </c>
    </row>
    <row r="249" spans="1:10" x14ac:dyDescent="0.3">
      <c r="A249" s="7">
        <v>44848.722222222023</v>
      </c>
      <c r="B249" s="8" t="s">
        <v>13</v>
      </c>
      <c r="C249" s="8">
        <v>0</v>
      </c>
      <c r="D249" t="str">
        <f t="shared" si="14"/>
        <v>Friday</v>
      </c>
      <c r="E249">
        <v>42</v>
      </c>
      <c r="F249" s="11">
        <f>VLOOKUP(B249,'ITEMS LIST'!$B$2:$F$19,4,FALSE)</f>
        <v>540</v>
      </c>
      <c r="G249" s="11">
        <f>VLOOKUP(B249,'ITEMS LIST'!$B$2:$F$19,5,FALSE)</f>
        <v>397</v>
      </c>
      <c r="H249" s="11">
        <f t="shared" si="12"/>
        <v>0</v>
      </c>
      <c r="I249" s="11">
        <f t="shared" si="13"/>
        <v>0</v>
      </c>
      <c r="J249" s="11">
        <f t="shared" si="15"/>
        <v>0</v>
      </c>
    </row>
    <row r="250" spans="1:10" x14ac:dyDescent="0.3">
      <c r="A250" s="7">
        <v>44848.777777777577</v>
      </c>
      <c r="B250" s="8" t="s">
        <v>14</v>
      </c>
      <c r="C250" s="8">
        <v>0</v>
      </c>
      <c r="D250" t="str">
        <f t="shared" si="14"/>
        <v>Friday</v>
      </c>
      <c r="E250">
        <v>42</v>
      </c>
      <c r="F250" s="11">
        <f>VLOOKUP(B250,'ITEMS LIST'!$B$2:$F$19,4,FALSE)</f>
        <v>360</v>
      </c>
      <c r="G250" s="11">
        <f>VLOOKUP(B250,'ITEMS LIST'!$B$2:$F$19,5,FALSE)</f>
        <v>248</v>
      </c>
      <c r="H250" s="11">
        <f t="shared" si="12"/>
        <v>0</v>
      </c>
      <c r="I250" s="11">
        <f t="shared" si="13"/>
        <v>0</v>
      </c>
      <c r="J250" s="11">
        <f t="shared" si="15"/>
        <v>0</v>
      </c>
    </row>
    <row r="251" spans="1:10" x14ac:dyDescent="0.3">
      <c r="A251" s="7">
        <v>44848.833333333132</v>
      </c>
      <c r="B251" s="8" t="s">
        <v>15</v>
      </c>
      <c r="C251" s="8">
        <v>0</v>
      </c>
      <c r="D251" t="str">
        <f t="shared" si="14"/>
        <v>Friday</v>
      </c>
      <c r="E251">
        <v>42</v>
      </c>
      <c r="F251" s="11">
        <f>VLOOKUP(B251,'ITEMS LIST'!$B$2:$F$19,4,FALSE)</f>
        <v>250</v>
      </c>
      <c r="G251" s="11">
        <f>VLOOKUP(B251,'ITEMS LIST'!$B$2:$F$19,5,FALSE)</f>
        <v>190</v>
      </c>
      <c r="H251" s="11">
        <f t="shared" si="12"/>
        <v>0</v>
      </c>
      <c r="I251" s="11">
        <f t="shared" si="13"/>
        <v>0</v>
      </c>
      <c r="J251" s="11">
        <f t="shared" si="15"/>
        <v>0</v>
      </c>
    </row>
    <row r="252" spans="1:10" x14ac:dyDescent="0.3">
      <c r="A252" s="7">
        <v>44848.888888888687</v>
      </c>
      <c r="B252" s="8" t="s">
        <v>16</v>
      </c>
      <c r="C252" s="8">
        <v>0</v>
      </c>
      <c r="D252" t="str">
        <f t="shared" si="14"/>
        <v>Friday</v>
      </c>
      <c r="E252">
        <v>42</v>
      </c>
      <c r="F252" s="11">
        <f>VLOOKUP(B252,'ITEMS LIST'!$B$2:$F$19,4,FALSE)</f>
        <v>120</v>
      </c>
      <c r="G252" s="11">
        <f>VLOOKUP(B252,'ITEMS LIST'!$B$2:$F$19,5,FALSE)</f>
        <v>85</v>
      </c>
      <c r="H252" s="11">
        <f t="shared" si="12"/>
        <v>0</v>
      </c>
      <c r="I252" s="11">
        <f t="shared" si="13"/>
        <v>0</v>
      </c>
      <c r="J252" s="11">
        <f t="shared" si="15"/>
        <v>0</v>
      </c>
    </row>
    <row r="253" spans="1:10" x14ac:dyDescent="0.3">
      <c r="A253" s="7">
        <v>44848.944444444242</v>
      </c>
      <c r="B253" s="8" t="s">
        <v>17</v>
      </c>
      <c r="C253" s="8">
        <v>0</v>
      </c>
      <c r="D253" t="str">
        <f t="shared" si="14"/>
        <v>Friday</v>
      </c>
      <c r="E253">
        <v>42</v>
      </c>
      <c r="F253" s="11">
        <f>VLOOKUP(B253,'ITEMS LIST'!$B$2:$F$19,4,FALSE)</f>
        <v>80</v>
      </c>
      <c r="G253" s="11">
        <f>VLOOKUP(B253,'ITEMS LIST'!$B$2:$F$19,5,FALSE)</f>
        <v>55</v>
      </c>
      <c r="H253" s="11">
        <f t="shared" si="12"/>
        <v>0</v>
      </c>
      <c r="I253" s="11">
        <f t="shared" si="13"/>
        <v>0</v>
      </c>
      <c r="J253" s="11">
        <f t="shared" si="15"/>
        <v>0</v>
      </c>
    </row>
    <row r="254" spans="1:10" x14ac:dyDescent="0.3">
      <c r="A254" s="7">
        <v>44848.999999999796</v>
      </c>
      <c r="B254" s="8" t="s">
        <v>0</v>
      </c>
      <c r="C254" s="8">
        <v>0</v>
      </c>
      <c r="D254" t="str">
        <f t="shared" si="14"/>
        <v>Saturday</v>
      </c>
      <c r="E254">
        <v>42</v>
      </c>
      <c r="F254" s="11">
        <f>VLOOKUP(B254,'ITEMS LIST'!$B$2:$F$19,4,FALSE)</f>
        <v>549</v>
      </c>
      <c r="G254" s="11">
        <f>VLOOKUP(B254,'ITEMS LIST'!$B$2:$F$19,5,FALSE)</f>
        <v>365</v>
      </c>
      <c r="H254" s="11">
        <f t="shared" si="12"/>
        <v>0</v>
      </c>
      <c r="I254" s="11">
        <f t="shared" si="13"/>
        <v>0</v>
      </c>
      <c r="J254" s="11">
        <f t="shared" si="15"/>
        <v>0</v>
      </c>
    </row>
    <row r="255" spans="1:10" x14ac:dyDescent="0.3">
      <c r="A255" s="7">
        <v>44849.055555555351</v>
      </c>
      <c r="B255" s="8" t="s">
        <v>1</v>
      </c>
      <c r="C255" s="8">
        <v>0</v>
      </c>
      <c r="D255" t="str">
        <f t="shared" si="14"/>
        <v>Saturday</v>
      </c>
      <c r="E255">
        <v>42</v>
      </c>
      <c r="F255" s="11">
        <f>VLOOKUP(B255,'ITEMS LIST'!$B$2:$F$19,4,FALSE)</f>
        <v>699</v>
      </c>
      <c r="G255" s="11">
        <f>VLOOKUP(B255,'ITEMS LIST'!$B$2:$F$19,5,FALSE)</f>
        <v>550</v>
      </c>
      <c r="H255" s="11">
        <f t="shared" si="12"/>
        <v>0</v>
      </c>
      <c r="I255" s="11">
        <f t="shared" si="13"/>
        <v>0</v>
      </c>
      <c r="J255" s="11">
        <f t="shared" si="15"/>
        <v>0</v>
      </c>
    </row>
    <row r="256" spans="1:10" x14ac:dyDescent="0.3">
      <c r="A256" s="7">
        <v>44849.111111110906</v>
      </c>
      <c r="B256" s="8" t="s">
        <v>2</v>
      </c>
      <c r="C256" s="8">
        <v>0</v>
      </c>
      <c r="D256" t="str">
        <f t="shared" si="14"/>
        <v>Saturday</v>
      </c>
      <c r="E256">
        <v>42</v>
      </c>
      <c r="F256" s="11">
        <f>VLOOKUP(B256,'ITEMS LIST'!$B$2:$F$19,4,FALSE)</f>
        <v>739</v>
      </c>
      <c r="G256" s="11">
        <f>VLOOKUP(B256,'ITEMS LIST'!$B$2:$F$19,5,FALSE)</f>
        <v>620</v>
      </c>
      <c r="H256" s="11">
        <f t="shared" si="12"/>
        <v>0</v>
      </c>
      <c r="I256" s="11">
        <f t="shared" si="13"/>
        <v>0</v>
      </c>
      <c r="J256" s="11">
        <f t="shared" si="15"/>
        <v>0</v>
      </c>
    </row>
    <row r="257" spans="1:10" x14ac:dyDescent="0.3">
      <c r="A257" s="7">
        <v>44849.166666666461</v>
      </c>
      <c r="B257" s="8" t="s">
        <v>3</v>
      </c>
      <c r="C257" s="8">
        <v>0</v>
      </c>
      <c r="D257" t="str">
        <f t="shared" si="14"/>
        <v>Saturday</v>
      </c>
      <c r="E257">
        <v>42</v>
      </c>
      <c r="F257" s="11">
        <f>VLOOKUP(B257,'ITEMS LIST'!$B$2:$F$19,4,FALSE)</f>
        <v>899</v>
      </c>
      <c r="G257" s="11">
        <f>VLOOKUP(B257,'ITEMS LIST'!$B$2:$F$19,5,FALSE)</f>
        <v>714</v>
      </c>
      <c r="H257" s="11">
        <f t="shared" si="12"/>
        <v>0</v>
      </c>
      <c r="I257" s="11">
        <f t="shared" si="13"/>
        <v>0</v>
      </c>
      <c r="J257" s="11">
        <f t="shared" si="15"/>
        <v>0</v>
      </c>
    </row>
    <row r="258" spans="1:10" x14ac:dyDescent="0.3">
      <c r="A258" s="7">
        <v>44849.222222222015</v>
      </c>
      <c r="B258" s="8" t="s">
        <v>4</v>
      </c>
      <c r="C258" s="8">
        <v>0</v>
      </c>
      <c r="D258" t="str">
        <f t="shared" si="14"/>
        <v>Saturday</v>
      </c>
      <c r="E258">
        <v>42</v>
      </c>
      <c r="F258" s="11">
        <f>VLOOKUP(B258,'ITEMS LIST'!$B$2:$F$19,4,FALSE)</f>
        <v>1379</v>
      </c>
      <c r="G258" s="11">
        <f>VLOOKUP(B258,'ITEMS LIST'!$B$2:$F$19,5,FALSE)</f>
        <v>890</v>
      </c>
      <c r="H258" s="11">
        <f t="shared" ref="H258:H321" si="16">C258*F258</f>
        <v>0</v>
      </c>
      <c r="I258" s="11">
        <f t="shared" ref="I258:I321" si="17">C258*G258</f>
        <v>0</v>
      </c>
      <c r="J258" s="11">
        <f t="shared" si="15"/>
        <v>0</v>
      </c>
    </row>
    <row r="259" spans="1:10" x14ac:dyDescent="0.3">
      <c r="A259" s="7">
        <v>44849.27777777757</v>
      </c>
      <c r="B259" s="8" t="s">
        <v>5</v>
      </c>
      <c r="C259" s="8">
        <v>0</v>
      </c>
      <c r="D259" t="str">
        <f t="shared" ref="D259:D322" si="18">TEXT(A259,"dddd")</f>
        <v>Saturday</v>
      </c>
      <c r="E259">
        <v>42</v>
      </c>
      <c r="F259" s="11">
        <f>VLOOKUP(B259,'ITEMS LIST'!$B$2:$F$19,4,FALSE)</f>
        <v>849</v>
      </c>
      <c r="G259" s="11">
        <f>VLOOKUP(B259,'ITEMS LIST'!$B$2:$F$19,5,FALSE)</f>
        <v>530</v>
      </c>
      <c r="H259" s="11">
        <f t="shared" si="16"/>
        <v>0</v>
      </c>
      <c r="I259" s="11">
        <f t="shared" si="17"/>
        <v>0</v>
      </c>
      <c r="J259" s="11">
        <f t="shared" ref="J259:J322" si="19">H259-I259</f>
        <v>0</v>
      </c>
    </row>
    <row r="260" spans="1:10" x14ac:dyDescent="0.3">
      <c r="A260" s="7">
        <v>44849.333333333125</v>
      </c>
      <c r="B260" s="8" t="s">
        <v>6</v>
      </c>
      <c r="C260" s="8">
        <v>0</v>
      </c>
      <c r="D260" t="str">
        <f t="shared" si="18"/>
        <v>Saturday</v>
      </c>
      <c r="E260">
        <v>42</v>
      </c>
      <c r="F260" s="11">
        <f>VLOOKUP(B260,'ITEMS LIST'!$B$2:$F$19,4,FALSE)</f>
        <v>1000</v>
      </c>
      <c r="G260" s="11">
        <f>VLOOKUP(B260,'ITEMS LIST'!$B$2:$F$19,5,FALSE)</f>
        <v>768</v>
      </c>
      <c r="H260" s="11">
        <f t="shared" si="16"/>
        <v>0</v>
      </c>
      <c r="I260" s="11">
        <f t="shared" si="17"/>
        <v>0</v>
      </c>
      <c r="J260" s="11">
        <f t="shared" si="19"/>
        <v>0</v>
      </c>
    </row>
    <row r="261" spans="1:10" x14ac:dyDescent="0.3">
      <c r="A261" s="7">
        <v>44849.38888888868</v>
      </c>
      <c r="B261" s="8" t="s">
        <v>7</v>
      </c>
      <c r="C261" s="8">
        <v>0</v>
      </c>
      <c r="D261" t="str">
        <f t="shared" si="18"/>
        <v>Saturday</v>
      </c>
      <c r="E261">
        <v>42</v>
      </c>
      <c r="F261" s="11">
        <f>VLOOKUP(B261,'ITEMS LIST'!$B$2:$F$19,4,FALSE)</f>
        <v>680</v>
      </c>
      <c r="G261" s="11">
        <f>VLOOKUP(B261,'ITEMS LIST'!$B$2:$F$19,5,FALSE)</f>
        <v>570</v>
      </c>
      <c r="H261" s="11">
        <f t="shared" si="16"/>
        <v>0</v>
      </c>
      <c r="I261" s="11">
        <f t="shared" si="17"/>
        <v>0</v>
      </c>
      <c r="J261" s="11">
        <f t="shared" si="19"/>
        <v>0</v>
      </c>
    </row>
    <row r="262" spans="1:10" x14ac:dyDescent="0.3">
      <c r="A262" s="7">
        <v>44849.444444444234</v>
      </c>
      <c r="B262" s="8" t="s">
        <v>8</v>
      </c>
      <c r="C262" s="8">
        <v>0</v>
      </c>
      <c r="D262" t="str">
        <f t="shared" si="18"/>
        <v>Saturday</v>
      </c>
      <c r="E262">
        <v>42</v>
      </c>
      <c r="F262" s="11">
        <f>VLOOKUP(B262,'ITEMS LIST'!$B$2:$F$19,4,FALSE)</f>
        <v>199</v>
      </c>
      <c r="G262" s="11">
        <f>VLOOKUP(B262,'ITEMS LIST'!$B$2:$F$19,5,FALSE)</f>
        <v>140</v>
      </c>
      <c r="H262" s="11">
        <f t="shared" si="16"/>
        <v>0</v>
      </c>
      <c r="I262" s="11">
        <f t="shared" si="17"/>
        <v>0</v>
      </c>
      <c r="J262" s="11">
        <f t="shared" si="19"/>
        <v>0</v>
      </c>
    </row>
    <row r="263" spans="1:10" x14ac:dyDescent="0.3">
      <c r="A263" s="7">
        <v>44849.499999999789</v>
      </c>
      <c r="B263" s="8" t="s">
        <v>9</v>
      </c>
      <c r="C263" s="8">
        <v>0</v>
      </c>
      <c r="D263" t="str">
        <f t="shared" si="18"/>
        <v>Saturday</v>
      </c>
      <c r="E263">
        <v>42</v>
      </c>
      <c r="F263" s="11">
        <f>VLOOKUP(B263,'ITEMS LIST'!$B$2:$F$19,4,FALSE)</f>
        <v>219</v>
      </c>
      <c r="G263" s="11">
        <f>VLOOKUP(B263,'ITEMS LIST'!$B$2:$F$19,5,FALSE)</f>
        <v>132</v>
      </c>
      <c r="H263" s="11">
        <f t="shared" si="16"/>
        <v>0</v>
      </c>
      <c r="I263" s="11">
        <f t="shared" si="17"/>
        <v>0</v>
      </c>
      <c r="J263" s="11">
        <f t="shared" si="19"/>
        <v>0</v>
      </c>
    </row>
    <row r="264" spans="1:10" x14ac:dyDescent="0.3">
      <c r="A264" s="7">
        <v>44849.555555555344</v>
      </c>
      <c r="B264" s="8" t="s">
        <v>10</v>
      </c>
      <c r="C264" s="8">
        <v>0</v>
      </c>
      <c r="D264" t="str">
        <f t="shared" si="18"/>
        <v>Saturday</v>
      </c>
      <c r="E264">
        <v>42</v>
      </c>
      <c r="F264" s="11">
        <f>VLOOKUP(B264,'ITEMS LIST'!$B$2:$F$19,4,FALSE)</f>
        <v>1469</v>
      </c>
      <c r="G264" s="11">
        <f>VLOOKUP(B264,'ITEMS LIST'!$B$2:$F$19,5,FALSE)</f>
        <v>1184</v>
      </c>
      <c r="H264" s="11">
        <f t="shared" si="16"/>
        <v>0</v>
      </c>
      <c r="I264" s="11">
        <f t="shared" si="17"/>
        <v>0</v>
      </c>
      <c r="J264" s="11">
        <f t="shared" si="19"/>
        <v>0</v>
      </c>
    </row>
    <row r="265" spans="1:10" x14ac:dyDescent="0.3">
      <c r="A265" s="7">
        <v>44849.611111110898</v>
      </c>
      <c r="B265" s="8" t="s">
        <v>11</v>
      </c>
      <c r="C265" s="8">
        <v>0</v>
      </c>
      <c r="D265" t="str">
        <f t="shared" si="18"/>
        <v>Saturday</v>
      </c>
      <c r="E265">
        <v>42</v>
      </c>
      <c r="F265" s="11">
        <f>VLOOKUP(B265,'ITEMS LIST'!$B$2:$F$19,4,FALSE)</f>
        <v>89</v>
      </c>
      <c r="G265" s="11">
        <f>VLOOKUP(B265,'ITEMS LIST'!$B$2:$F$19,5,FALSE)</f>
        <v>59</v>
      </c>
      <c r="H265" s="11">
        <f t="shared" si="16"/>
        <v>0</v>
      </c>
      <c r="I265" s="11">
        <f t="shared" si="17"/>
        <v>0</v>
      </c>
      <c r="J265" s="11">
        <f t="shared" si="19"/>
        <v>0</v>
      </c>
    </row>
    <row r="266" spans="1:10" x14ac:dyDescent="0.3">
      <c r="A266" s="7">
        <v>44849.666666666453</v>
      </c>
      <c r="B266" s="8" t="s">
        <v>12</v>
      </c>
      <c r="C266" s="8">
        <v>0</v>
      </c>
      <c r="D266" t="str">
        <f t="shared" si="18"/>
        <v>Saturday</v>
      </c>
      <c r="E266">
        <v>42</v>
      </c>
      <c r="F266" s="11">
        <f>VLOOKUP(B266,'ITEMS LIST'!$B$2:$F$19,4,FALSE)</f>
        <v>310</v>
      </c>
      <c r="G266" s="11">
        <f>VLOOKUP(B266,'ITEMS LIST'!$B$2:$F$19,5,FALSE)</f>
        <v>206</v>
      </c>
      <c r="H266" s="11">
        <f t="shared" si="16"/>
        <v>0</v>
      </c>
      <c r="I266" s="11">
        <f t="shared" si="17"/>
        <v>0</v>
      </c>
      <c r="J266" s="11">
        <f t="shared" si="19"/>
        <v>0</v>
      </c>
    </row>
    <row r="267" spans="1:10" x14ac:dyDescent="0.3">
      <c r="A267" s="7">
        <v>44849.722222222008</v>
      </c>
      <c r="B267" s="8" t="s">
        <v>13</v>
      </c>
      <c r="C267" s="8">
        <v>0</v>
      </c>
      <c r="D267" t="str">
        <f t="shared" si="18"/>
        <v>Saturday</v>
      </c>
      <c r="E267">
        <v>42</v>
      </c>
      <c r="F267" s="11">
        <f>VLOOKUP(B267,'ITEMS LIST'!$B$2:$F$19,4,FALSE)</f>
        <v>540</v>
      </c>
      <c r="G267" s="11">
        <f>VLOOKUP(B267,'ITEMS LIST'!$B$2:$F$19,5,FALSE)</f>
        <v>397</v>
      </c>
      <c r="H267" s="11">
        <f t="shared" si="16"/>
        <v>0</v>
      </c>
      <c r="I267" s="11">
        <f t="shared" si="17"/>
        <v>0</v>
      </c>
      <c r="J267" s="11">
        <f t="shared" si="19"/>
        <v>0</v>
      </c>
    </row>
    <row r="268" spans="1:10" x14ac:dyDescent="0.3">
      <c r="A268" s="7">
        <v>44849.777777777563</v>
      </c>
      <c r="B268" s="8" t="s">
        <v>14</v>
      </c>
      <c r="C268" s="8">
        <v>0</v>
      </c>
      <c r="D268" t="str">
        <f t="shared" si="18"/>
        <v>Saturday</v>
      </c>
      <c r="E268">
        <v>42</v>
      </c>
      <c r="F268" s="11">
        <f>VLOOKUP(B268,'ITEMS LIST'!$B$2:$F$19,4,FALSE)</f>
        <v>360</v>
      </c>
      <c r="G268" s="11">
        <f>VLOOKUP(B268,'ITEMS LIST'!$B$2:$F$19,5,FALSE)</f>
        <v>248</v>
      </c>
      <c r="H268" s="11">
        <f t="shared" si="16"/>
        <v>0</v>
      </c>
      <c r="I268" s="11">
        <f t="shared" si="17"/>
        <v>0</v>
      </c>
      <c r="J268" s="11">
        <f t="shared" si="19"/>
        <v>0</v>
      </c>
    </row>
    <row r="269" spans="1:10" x14ac:dyDescent="0.3">
      <c r="A269" s="7">
        <v>44849.833333333117</v>
      </c>
      <c r="B269" s="8" t="s">
        <v>15</v>
      </c>
      <c r="C269" s="8">
        <v>0</v>
      </c>
      <c r="D269" t="str">
        <f t="shared" si="18"/>
        <v>Saturday</v>
      </c>
      <c r="E269">
        <v>42</v>
      </c>
      <c r="F269" s="11">
        <f>VLOOKUP(B269,'ITEMS LIST'!$B$2:$F$19,4,FALSE)</f>
        <v>250</v>
      </c>
      <c r="G269" s="11">
        <f>VLOOKUP(B269,'ITEMS LIST'!$B$2:$F$19,5,FALSE)</f>
        <v>190</v>
      </c>
      <c r="H269" s="11">
        <f t="shared" si="16"/>
        <v>0</v>
      </c>
      <c r="I269" s="11">
        <f t="shared" si="17"/>
        <v>0</v>
      </c>
      <c r="J269" s="11">
        <f t="shared" si="19"/>
        <v>0</v>
      </c>
    </row>
    <row r="270" spans="1:10" x14ac:dyDescent="0.3">
      <c r="A270" s="7">
        <v>44849.888888888672</v>
      </c>
      <c r="B270" s="8" t="s">
        <v>16</v>
      </c>
      <c r="C270" s="8">
        <v>0</v>
      </c>
      <c r="D270" t="str">
        <f t="shared" si="18"/>
        <v>Saturday</v>
      </c>
      <c r="E270">
        <v>42</v>
      </c>
      <c r="F270" s="11">
        <f>VLOOKUP(B270,'ITEMS LIST'!$B$2:$F$19,4,FALSE)</f>
        <v>120</v>
      </c>
      <c r="G270" s="11">
        <f>VLOOKUP(B270,'ITEMS LIST'!$B$2:$F$19,5,FALSE)</f>
        <v>85</v>
      </c>
      <c r="H270" s="11">
        <f t="shared" si="16"/>
        <v>0</v>
      </c>
      <c r="I270" s="11">
        <f t="shared" si="17"/>
        <v>0</v>
      </c>
      <c r="J270" s="11">
        <f t="shared" si="19"/>
        <v>0</v>
      </c>
    </row>
    <row r="271" spans="1:10" x14ac:dyDescent="0.3">
      <c r="A271" s="7">
        <v>44849.944444444227</v>
      </c>
      <c r="B271" s="8" t="s">
        <v>17</v>
      </c>
      <c r="C271" s="8">
        <v>0</v>
      </c>
      <c r="D271" t="str">
        <f t="shared" si="18"/>
        <v>Saturday</v>
      </c>
      <c r="E271">
        <v>42</v>
      </c>
      <c r="F271" s="11">
        <f>VLOOKUP(B271,'ITEMS LIST'!$B$2:$F$19,4,FALSE)</f>
        <v>80</v>
      </c>
      <c r="G271" s="11">
        <f>VLOOKUP(B271,'ITEMS LIST'!$B$2:$F$19,5,FALSE)</f>
        <v>55</v>
      </c>
      <c r="H271" s="11">
        <f t="shared" si="16"/>
        <v>0</v>
      </c>
      <c r="I271" s="11">
        <f t="shared" si="17"/>
        <v>0</v>
      </c>
      <c r="J271" s="11">
        <f t="shared" si="19"/>
        <v>0</v>
      </c>
    </row>
    <row r="272" spans="1:10" x14ac:dyDescent="0.3">
      <c r="A272" s="7">
        <v>44849.999999999782</v>
      </c>
      <c r="B272" s="8" t="s">
        <v>0</v>
      </c>
      <c r="C272" s="8">
        <v>0</v>
      </c>
      <c r="D272" t="str">
        <f t="shared" si="18"/>
        <v>Sunday</v>
      </c>
      <c r="E272">
        <v>43</v>
      </c>
      <c r="F272" s="11">
        <f>VLOOKUP(B272,'ITEMS LIST'!$B$2:$F$19,4,FALSE)</f>
        <v>549</v>
      </c>
      <c r="G272" s="11">
        <f>VLOOKUP(B272,'ITEMS LIST'!$B$2:$F$19,5,FALSE)</f>
        <v>365</v>
      </c>
      <c r="H272" s="11">
        <f t="shared" si="16"/>
        <v>0</v>
      </c>
      <c r="I272" s="11">
        <f t="shared" si="17"/>
        <v>0</v>
      </c>
      <c r="J272" s="11">
        <f t="shared" si="19"/>
        <v>0</v>
      </c>
    </row>
    <row r="273" spans="1:10" x14ac:dyDescent="0.3">
      <c r="A273" s="7">
        <v>44850.055555555336</v>
      </c>
      <c r="B273" s="8" t="s">
        <v>1</v>
      </c>
      <c r="C273" s="8">
        <v>0</v>
      </c>
      <c r="D273" t="str">
        <f t="shared" si="18"/>
        <v>Sunday</v>
      </c>
      <c r="E273">
        <v>43</v>
      </c>
      <c r="F273" s="11">
        <f>VLOOKUP(B273,'ITEMS LIST'!$B$2:$F$19,4,FALSE)</f>
        <v>699</v>
      </c>
      <c r="G273" s="11">
        <f>VLOOKUP(B273,'ITEMS LIST'!$B$2:$F$19,5,FALSE)</f>
        <v>550</v>
      </c>
      <c r="H273" s="11">
        <f t="shared" si="16"/>
        <v>0</v>
      </c>
      <c r="I273" s="11">
        <f t="shared" si="17"/>
        <v>0</v>
      </c>
      <c r="J273" s="11">
        <f t="shared" si="19"/>
        <v>0</v>
      </c>
    </row>
    <row r="274" spans="1:10" x14ac:dyDescent="0.3">
      <c r="A274" s="7">
        <v>44850.111111110891</v>
      </c>
      <c r="B274" s="8" t="s">
        <v>2</v>
      </c>
      <c r="C274" s="8">
        <v>0</v>
      </c>
      <c r="D274" t="str">
        <f t="shared" si="18"/>
        <v>Sunday</v>
      </c>
      <c r="E274">
        <v>43</v>
      </c>
      <c r="F274" s="11">
        <f>VLOOKUP(B274,'ITEMS LIST'!$B$2:$F$19,4,FALSE)</f>
        <v>739</v>
      </c>
      <c r="G274" s="11">
        <f>VLOOKUP(B274,'ITEMS LIST'!$B$2:$F$19,5,FALSE)</f>
        <v>620</v>
      </c>
      <c r="H274" s="11">
        <f t="shared" si="16"/>
        <v>0</v>
      </c>
      <c r="I274" s="11">
        <f t="shared" si="17"/>
        <v>0</v>
      </c>
      <c r="J274" s="11">
        <f t="shared" si="19"/>
        <v>0</v>
      </c>
    </row>
    <row r="275" spans="1:10" x14ac:dyDescent="0.3">
      <c r="A275" s="7">
        <v>44850.166666666446</v>
      </c>
      <c r="B275" s="8" t="s">
        <v>3</v>
      </c>
      <c r="C275" s="8">
        <v>0</v>
      </c>
      <c r="D275" t="str">
        <f t="shared" si="18"/>
        <v>Sunday</v>
      </c>
      <c r="E275">
        <v>43</v>
      </c>
      <c r="F275" s="11">
        <f>VLOOKUP(B275,'ITEMS LIST'!$B$2:$F$19,4,FALSE)</f>
        <v>899</v>
      </c>
      <c r="G275" s="11">
        <f>VLOOKUP(B275,'ITEMS LIST'!$B$2:$F$19,5,FALSE)</f>
        <v>714</v>
      </c>
      <c r="H275" s="11">
        <f t="shared" si="16"/>
        <v>0</v>
      </c>
      <c r="I275" s="11">
        <f t="shared" si="17"/>
        <v>0</v>
      </c>
      <c r="J275" s="11">
        <f t="shared" si="19"/>
        <v>0</v>
      </c>
    </row>
    <row r="276" spans="1:10" x14ac:dyDescent="0.3">
      <c r="A276" s="7">
        <v>44850.222222222001</v>
      </c>
      <c r="B276" s="8" t="s">
        <v>4</v>
      </c>
      <c r="C276" s="8">
        <v>0</v>
      </c>
      <c r="D276" t="str">
        <f t="shared" si="18"/>
        <v>Sunday</v>
      </c>
      <c r="E276">
        <v>43</v>
      </c>
      <c r="F276" s="11">
        <f>VLOOKUP(B276,'ITEMS LIST'!$B$2:$F$19,4,FALSE)</f>
        <v>1379</v>
      </c>
      <c r="G276" s="11">
        <f>VLOOKUP(B276,'ITEMS LIST'!$B$2:$F$19,5,FALSE)</f>
        <v>890</v>
      </c>
      <c r="H276" s="11">
        <f t="shared" si="16"/>
        <v>0</v>
      </c>
      <c r="I276" s="11">
        <f t="shared" si="17"/>
        <v>0</v>
      </c>
      <c r="J276" s="11">
        <f t="shared" si="19"/>
        <v>0</v>
      </c>
    </row>
    <row r="277" spans="1:10" x14ac:dyDescent="0.3">
      <c r="A277" s="7">
        <v>44850.277777777555</v>
      </c>
      <c r="B277" s="8" t="s">
        <v>5</v>
      </c>
      <c r="C277" s="8">
        <v>0</v>
      </c>
      <c r="D277" t="str">
        <f t="shared" si="18"/>
        <v>Sunday</v>
      </c>
      <c r="E277">
        <v>43</v>
      </c>
      <c r="F277" s="11">
        <f>VLOOKUP(B277,'ITEMS LIST'!$B$2:$F$19,4,FALSE)</f>
        <v>849</v>
      </c>
      <c r="G277" s="11">
        <f>VLOOKUP(B277,'ITEMS LIST'!$B$2:$F$19,5,FALSE)</f>
        <v>530</v>
      </c>
      <c r="H277" s="11">
        <f t="shared" si="16"/>
        <v>0</v>
      </c>
      <c r="I277" s="11">
        <f t="shared" si="17"/>
        <v>0</v>
      </c>
      <c r="J277" s="11">
        <f t="shared" si="19"/>
        <v>0</v>
      </c>
    </row>
    <row r="278" spans="1:10" x14ac:dyDescent="0.3">
      <c r="A278" s="7">
        <v>44850.33333333311</v>
      </c>
      <c r="B278" s="8" t="s">
        <v>6</v>
      </c>
      <c r="C278" s="8">
        <v>0</v>
      </c>
      <c r="D278" t="str">
        <f t="shared" si="18"/>
        <v>Sunday</v>
      </c>
      <c r="E278">
        <v>43</v>
      </c>
      <c r="F278" s="11">
        <f>VLOOKUP(B278,'ITEMS LIST'!$B$2:$F$19,4,FALSE)</f>
        <v>1000</v>
      </c>
      <c r="G278" s="11">
        <f>VLOOKUP(B278,'ITEMS LIST'!$B$2:$F$19,5,FALSE)</f>
        <v>768</v>
      </c>
      <c r="H278" s="11">
        <f t="shared" si="16"/>
        <v>0</v>
      </c>
      <c r="I278" s="11">
        <f t="shared" si="17"/>
        <v>0</v>
      </c>
      <c r="J278" s="11">
        <f t="shared" si="19"/>
        <v>0</v>
      </c>
    </row>
    <row r="279" spans="1:10" x14ac:dyDescent="0.3">
      <c r="A279" s="7">
        <v>44850.388888888665</v>
      </c>
      <c r="B279" s="8" t="s">
        <v>7</v>
      </c>
      <c r="C279" s="8">
        <v>0</v>
      </c>
      <c r="D279" t="str">
        <f t="shared" si="18"/>
        <v>Sunday</v>
      </c>
      <c r="E279">
        <v>43</v>
      </c>
      <c r="F279" s="11">
        <f>VLOOKUP(B279,'ITEMS LIST'!$B$2:$F$19,4,FALSE)</f>
        <v>680</v>
      </c>
      <c r="G279" s="11">
        <f>VLOOKUP(B279,'ITEMS LIST'!$B$2:$F$19,5,FALSE)</f>
        <v>570</v>
      </c>
      <c r="H279" s="11">
        <f t="shared" si="16"/>
        <v>0</v>
      </c>
      <c r="I279" s="11">
        <f t="shared" si="17"/>
        <v>0</v>
      </c>
      <c r="J279" s="11">
        <f t="shared" si="19"/>
        <v>0</v>
      </c>
    </row>
    <row r="280" spans="1:10" x14ac:dyDescent="0.3">
      <c r="A280" s="7">
        <v>44850.44444444422</v>
      </c>
      <c r="B280" s="8" t="s">
        <v>8</v>
      </c>
      <c r="C280" s="8">
        <v>0</v>
      </c>
      <c r="D280" t="str">
        <f t="shared" si="18"/>
        <v>Sunday</v>
      </c>
      <c r="E280">
        <v>43</v>
      </c>
      <c r="F280" s="11">
        <f>VLOOKUP(B280,'ITEMS LIST'!$B$2:$F$19,4,FALSE)</f>
        <v>199</v>
      </c>
      <c r="G280" s="11">
        <f>VLOOKUP(B280,'ITEMS LIST'!$B$2:$F$19,5,FALSE)</f>
        <v>140</v>
      </c>
      <c r="H280" s="11">
        <f t="shared" si="16"/>
        <v>0</v>
      </c>
      <c r="I280" s="11">
        <f t="shared" si="17"/>
        <v>0</v>
      </c>
      <c r="J280" s="11">
        <f t="shared" si="19"/>
        <v>0</v>
      </c>
    </row>
    <row r="281" spans="1:10" x14ac:dyDescent="0.3">
      <c r="A281" s="7">
        <v>44850.499999999774</v>
      </c>
      <c r="B281" s="8" t="s">
        <v>9</v>
      </c>
      <c r="C281" s="8">
        <v>0</v>
      </c>
      <c r="D281" t="str">
        <f t="shared" si="18"/>
        <v>Sunday</v>
      </c>
      <c r="E281">
        <v>43</v>
      </c>
      <c r="F281" s="11">
        <f>VLOOKUP(B281,'ITEMS LIST'!$B$2:$F$19,4,FALSE)</f>
        <v>219</v>
      </c>
      <c r="G281" s="11">
        <f>VLOOKUP(B281,'ITEMS LIST'!$B$2:$F$19,5,FALSE)</f>
        <v>132</v>
      </c>
      <c r="H281" s="11">
        <f t="shared" si="16"/>
        <v>0</v>
      </c>
      <c r="I281" s="11">
        <f t="shared" si="17"/>
        <v>0</v>
      </c>
      <c r="J281" s="11">
        <f t="shared" si="19"/>
        <v>0</v>
      </c>
    </row>
    <row r="282" spans="1:10" x14ac:dyDescent="0.3">
      <c r="A282" s="7">
        <v>44850.555555555329</v>
      </c>
      <c r="B282" s="8" t="s">
        <v>10</v>
      </c>
      <c r="C282" s="8">
        <v>0</v>
      </c>
      <c r="D282" t="str">
        <f t="shared" si="18"/>
        <v>Sunday</v>
      </c>
      <c r="E282">
        <v>43</v>
      </c>
      <c r="F282" s="11">
        <f>VLOOKUP(B282,'ITEMS LIST'!$B$2:$F$19,4,FALSE)</f>
        <v>1469</v>
      </c>
      <c r="G282" s="11">
        <f>VLOOKUP(B282,'ITEMS LIST'!$B$2:$F$19,5,FALSE)</f>
        <v>1184</v>
      </c>
      <c r="H282" s="11">
        <f t="shared" si="16"/>
        <v>0</v>
      </c>
      <c r="I282" s="11">
        <f t="shared" si="17"/>
        <v>0</v>
      </c>
      <c r="J282" s="11">
        <f t="shared" si="19"/>
        <v>0</v>
      </c>
    </row>
    <row r="283" spans="1:10" x14ac:dyDescent="0.3">
      <c r="A283" s="7">
        <v>44850.611111110884</v>
      </c>
      <c r="B283" s="8" t="s">
        <v>11</v>
      </c>
      <c r="C283" s="8">
        <v>0</v>
      </c>
      <c r="D283" t="str">
        <f t="shared" si="18"/>
        <v>Sunday</v>
      </c>
      <c r="E283">
        <v>43</v>
      </c>
      <c r="F283" s="11">
        <f>VLOOKUP(B283,'ITEMS LIST'!$B$2:$F$19,4,FALSE)</f>
        <v>89</v>
      </c>
      <c r="G283" s="11">
        <f>VLOOKUP(B283,'ITEMS LIST'!$B$2:$F$19,5,FALSE)</f>
        <v>59</v>
      </c>
      <c r="H283" s="11">
        <f t="shared" si="16"/>
        <v>0</v>
      </c>
      <c r="I283" s="11">
        <f t="shared" si="17"/>
        <v>0</v>
      </c>
      <c r="J283" s="11">
        <f t="shared" si="19"/>
        <v>0</v>
      </c>
    </row>
    <row r="284" spans="1:10" x14ac:dyDescent="0.3">
      <c r="A284" s="7">
        <v>44850.666666666439</v>
      </c>
      <c r="B284" s="8" t="s">
        <v>12</v>
      </c>
      <c r="C284" s="8">
        <v>0</v>
      </c>
      <c r="D284" t="str">
        <f t="shared" si="18"/>
        <v>Sunday</v>
      </c>
      <c r="E284">
        <v>43</v>
      </c>
      <c r="F284" s="11">
        <f>VLOOKUP(B284,'ITEMS LIST'!$B$2:$F$19,4,FALSE)</f>
        <v>310</v>
      </c>
      <c r="G284" s="11">
        <f>VLOOKUP(B284,'ITEMS LIST'!$B$2:$F$19,5,FALSE)</f>
        <v>206</v>
      </c>
      <c r="H284" s="11">
        <f t="shared" si="16"/>
        <v>0</v>
      </c>
      <c r="I284" s="11">
        <f t="shared" si="17"/>
        <v>0</v>
      </c>
      <c r="J284" s="11">
        <f t="shared" si="19"/>
        <v>0</v>
      </c>
    </row>
    <row r="285" spans="1:10" x14ac:dyDescent="0.3">
      <c r="A285" s="7">
        <v>44850.722222221993</v>
      </c>
      <c r="B285" s="8" t="s">
        <v>13</v>
      </c>
      <c r="C285" s="8">
        <v>0</v>
      </c>
      <c r="D285" t="str">
        <f t="shared" si="18"/>
        <v>Sunday</v>
      </c>
      <c r="E285">
        <v>43</v>
      </c>
      <c r="F285" s="11">
        <f>VLOOKUP(B285,'ITEMS LIST'!$B$2:$F$19,4,FALSE)</f>
        <v>540</v>
      </c>
      <c r="G285" s="11">
        <f>VLOOKUP(B285,'ITEMS LIST'!$B$2:$F$19,5,FALSE)</f>
        <v>397</v>
      </c>
      <c r="H285" s="11">
        <f t="shared" si="16"/>
        <v>0</v>
      </c>
      <c r="I285" s="11">
        <f t="shared" si="17"/>
        <v>0</v>
      </c>
      <c r="J285" s="11">
        <f t="shared" si="19"/>
        <v>0</v>
      </c>
    </row>
    <row r="286" spans="1:10" x14ac:dyDescent="0.3">
      <c r="A286" s="7">
        <v>44850.777777777548</v>
      </c>
      <c r="B286" s="8" t="s">
        <v>14</v>
      </c>
      <c r="C286" s="8">
        <v>0</v>
      </c>
      <c r="D286" t="str">
        <f t="shared" si="18"/>
        <v>Sunday</v>
      </c>
      <c r="E286">
        <v>43</v>
      </c>
      <c r="F286" s="11">
        <f>VLOOKUP(B286,'ITEMS LIST'!$B$2:$F$19,4,FALSE)</f>
        <v>360</v>
      </c>
      <c r="G286" s="11">
        <f>VLOOKUP(B286,'ITEMS LIST'!$B$2:$F$19,5,FALSE)</f>
        <v>248</v>
      </c>
      <c r="H286" s="11">
        <f t="shared" si="16"/>
        <v>0</v>
      </c>
      <c r="I286" s="11">
        <f t="shared" si="17"/>
        <v>0</v>
      </c>
      <c r="J286" s="11">
        <f t="shared" si="19"/>
        <v>0</v>
      </c>
    </row>
    <row r="287" spans="1:10" x14ac:dyDescent="0.3">
      <c r="A287" s="7">
        <v>44850.833333333103</v>
      </c>
      <c r="B287" s="8" t="s">
        <v>15</v>
      </c>
      <c r="C287" s="8">
        <v>0</v>
      </c>
      <c r="D287" t="str">
        <f t="shared" si="18"/>
        <v>Sunday</v>
      </c>
      <c r="E287">
        <v>43</v>
      </c>
      <c r="F287" s="11">
        <f>VLOOKUP(B287,'ITEMS LIST'!$B$2:$F$19,4,FALSE)</f>
        <v>250</v>
      </c>
      <c r="G287" s="11">
        <f>VLOOKUP(B287,'ITEMS LIST'!$B$2:$F$19,5,FALSE)</f>
        <v>190</v>
      </c>
      <c r="H287" s="11">
        <f t="shared" si="16"/>
        <v>0</v>
      </c>
      <c r="I287" s="11">
        <f t="shared" si="17"/>
        <v>0</v>
      </c>
      <c r="J287" s="11">
        <f t="shared" si="19"/>
        <v>0</v>
      </c>
    </row>
    <row r="288" spans="1:10" x14ac:dyDescent="0.3">
      <c r="A288" s="7">
        <v>44850.888888888658</v>
      </c>
      <c r="B288" s="8" t="s">
        <v>16</v>
      </c>
      <c r="C288" s="8">
        <v>0</v>
      </c>
      <c r="D288" t="str">
        <f t="shared" si="18"/>
        <v>Sunday</v>
      </c>
      <c r="E288">
        <v>43</v>
      </c>
      <c r="F288" s="11">
        <f>VLOOKUP(B288,'ITEMS LIST'!$B$2:$F$19,4,FALSE)</f>
        <v>120</v>
      </c>
      <c r="G288" s="11">
        <f>VLOOKUP(B288,'ITEMS LIST'!$B$2:$F$19,5,FALSE)</f>
        <v>85</v>
      </c>
      <c r="H288" s="11">
        <f t="shared" si="16"/>
        <v>0</v>
      </c>
      <c r="I288" s="11">
        <f t="shared" si="17"/>
        <v>0</v>
      </c>
      <c r="J288" s="11">
        <f t="shared" si="19"/>
        <v>0</v>
      </c>
    </row>
    <row r="289" spans="1:10" x14ac:dyDescent="0.3">
      <c r="A289" s="7">
        <v>44850.944444444212</v>
      </c>
      <c r="B289" s="8" t="s">
        <v>17</v>
      </c>
      <c r="C289" s="8">
        <v>0</v>
      </c>
      <c r="D289" t="str">
        <f t="shared" si="18"/>
        <v>Sunday</v>
      </c>
      <c r="E289">
        <v>43</v>
      </c>
      <c r="F289" s="11">
        <f>VLOOKUP(B289,'ITEMS LIST'!$B$2:$F$19,4,FALSE)</f>
        <v>80</v>
      </c>
      <c r="G289" s="11">
        <f>VLOOKUP(B289,'ITEMS LIST'!$B$2:$F$19,5,FALSE)</f>
        <v>55</v>
      </c>
      <c r="H289" s="11">
        <f t="shared" si="16"/>
        <v>0</v>
      </c>
      <c r="I289" s="11">
        <f t="shared" si="17"/>
        <v>0</v>
      </c>
      <c r="J289" s="11">
        <f t="shared" si="19"/>
        <v>0</v>
      </c>
    </row>
    <row r="290" spans="1:10" x14ac:dyDescent="0.3">
      <c r="A290" s="7">
        <v>44850.999999999767</v>
      </c>
      <c r="B290" s="8" t="s">
        <v>0</v>
      </c>
      <c r="C290" s="8">
        <v>0</v>
      </c>
      <c r="D290" t="str">
        <f t="shared" si="18"/>
        <v>Monday</v>
      </c>
      <c r="E290">
        <v>43</v>
      </c>
      <c r="F290" s="11">
        <f>VLOOKUP(B290,'ITEMS LIST'!$B$2:$F$19,4,FALSE)</f>
        <v>549</v>
      </c>
      <c r="G290" s="11">
        <f>VLOOKUP(B290,'ITEMS LIST'!$B$2:$F$19,5,FALSE)</f>
        <v>365</v>
      </c>
      <c r="H290" s="11">
        <f t="shared" si="16"/>
        <v>0</v>
      </c>
      <c r="I290" s="11">
        <f t="shared" si="17"/>
        <v>0</v>
      </c>
      <c r="J290" s="11">
        <f t="shared" si="19"/>
        <v>0</v>
      </c>
    </row>
    <row r="291" spans="1:10" x14ac:dyDescent="0.3">
      <c r="A291" s="7">
        <v>44851.055555555322</v>
      </c>
      <c r="B291" s="8" t="s">
        <v>1</v>
      </c>
      <c r="C291" s="8">
        <v>1</v>
      </c>
      <c r="D291" t="str">
        <f t="shared" si="18"/>
        <v>Monday</v>
      </c>
      <c r="E291">
        <v>43</v>
      </c>
      <c r="F291" s="11">
        <f>VLOOKUP(B291,'ITEMS LIST'!$B$2:$F$19,4,FALSE)</f>
        <v>699</v>
      </c>
      <c r="G291" s="11">
        <f>VLOOKUP(B291,'ITEMS LIST'!$B$2:$F$19,5,FALSE)</f>
        <v>550</v>
      </c>
      <c r="H291" s="11">
        <f t="shared" si="16"/>
        <v>699</v>
      </c>
      <c r="I291" s="11">
        <f t="shared" si="17"/>
        <v>550</v>
      </c>
      <c r="J291" s="11">
        <f t="shared" si="19"/>
        <v>149</v>
      </c>
    </row>
    <row r="292" spans="1:10" x14ac:dyDescent="0.3">
      <c r="A292" s="7">
        <v>44851.111111110877</v>
      </c>
      <c r="B292" s="8" t="s">
        <v>2</v>
      </c>
      <c r="C292" s="8">
        <v>2</v>
      </c>
      <c r="D292" t="str">
        <f t="shared" si="18"/>
        <v>Monday</v>
      </c>
      <c r="E292">
        <v>43</v>
      </c>
      <c r="F292" s="11">
        <f>VLOOKUP(B292,'ITEMS LIST'!$B$2:$F$19,4,FALSE)</f>
        <v>739</v>
      </c>
      <c r="G292" s="11">
        <f>VLOOKUP(B292,'ITEMS LIST'!$B$2:$F$19,5,FALSE)</f>
        <v>620</v>
      </c>
      <c r="H292" s="11">
        <f t="shared" si="16"/>
        <v>1478</v>
      </c>
      <c r="I292" s="11">
        <f t="shared" si="17"/>
        <v>1240</v>
      </c>
      <c r="J292" s="11">
        <f t="shared" si="19"/>
        <v>238</v>
      </c>
    </row>
    <row r="293" spans="1:10" x14ac:dyDescent="0.3">
      <c r="A293" s="7">
        <v>44851.166666666431</v>
      </c>
      <c r="B293" s="8" t="s">
        <v>3</v>
      </c>
      <c r="C293" s="8">
        <v>0</v>
      </c>
      <c r="D293" t="str">
        <f t="shared" si="18"/>
        <v>Monday</v>
      </c>
      <c r="E293">
        <v>43</v>
      </c>
      <c r="F293" s="11">
        <f>VLOOKUP(B293,'ITEMS LIST'!$B$2:$F$19,4,FALSE)</f>
        <v>899</v>
      </c>
      <c r="G293" s="11">
        <f>VLOOKUP(B293,'ITEMS LIST'!$B$2:$F$19,5,FALSE)</f>
        <v>714</v>
      </c>
      <c r="H293" s="11">
        <f t="shared" si="16"/>
        <v>0</v>
      </c>
      <c r="I293" s="11">
        <f t="shared" si="17"/>
        <v>0</v>
      </c>
      <c r="J293" s="11">
        <f t="shared" si="19"/>
        <v>0</v>
      </c>
    </row>
    <row r="294" spans="1:10" x14ac:dyDescent="0.3">
      <c r="A294" s="7">
        <v>44851.222222221986</v>
      </c>
      <c r="B294" s="8" t="s">
        <v>4</v>
      </c>
      <c r="C294" s="8">
        <v>0</v>
      </c>
      <c r="D294" t="str">
        <f t="shared" si="18"/>
        <v>Monday</v>
      </c>
      <c r="E294">
        <v>43</v>
      </c>
      <c r="F294" s="11">
        <f>VLOOKUP(B294,'ITEMS LIST'!$B$2:$F$19,4,FALSE)</f>
        <v>1379</v>
      </c>
      <c r="G294" s="11">
        <f>VLOOKUP(B294,'ITEMS LIST'!$B$2:$F$19,5,FALSE)</f>
        <v>890</v>
      </c>
      <c r="H294" s="11">
        <f t="shared" si="16"/>
        <v>0</v>
      </c>
      <c r="I294" s="11">
        <f t="shared" si="17"/>
        <v>0</v>
      </c>
      <c r="J294" s="11">
        <f t="shared" si="19"/>
        <v>0</v>
      </c>
    </row>
    <row r="295" spans="1:10" x14ac:dyDescent="0.3">
      <c r="A295" s="7">
        <v>44851.277777777541</v>
      </c>
      <c r="B295" s="8" t="s">
        <v>5</v>
      </c>
      <c r="C295" s="8">
        <v>2</v>
      </c>
      <c r="D295" t="str">
        <f t="shared" si="18"/>
        <v>Monday</v>
      </c>
      <c r="E295">
        <v>43</v>
      </c>
      <c r="F295" s="11">
        <f>VLOOKUP(B295,'ITEMS LIST'!$B$2:$F$19,4,FALSE)</f>
        <v>849</v>
      </c>
      <c r="G295" s="11">
        <f>VLOOKUP(B295,'ITEMS LIST'!$B$2:$F$19,5,FALSE)</f>
        <v>530</v>
      </c>
      <c r="H295" s="11">
        <f t="shared" si="16"/>
        <v>1698</v>
      </c>
      <c r="I295" s="11">
        <f t="shared" si="17"/>
        <v>1060</v>
      </c>
      <c r="J295" s="11">
        <f t="shared" si="19"/>
        <v>638</v>
      </c>
    </row>
    <row r="296" spans="1:10" x14ac:dyDescent="0.3">
      <c r="A296" s="7">
        <v>44851.333333333096</v>
      </c>
      <c r="B296" s="8" t="s">
        <v>6</v>
      </c>
      <c r="C296" s="8">
        <v>0</v>
      </c>
      <c r="D296" t="str">
        <f t="shared" si="18"/>
        <v>Monday</v>
      </c>
      <c r="E296">
        <v>43</v>
      </c>
      <c r="F296" s="11">
        <f>VLOOKUP(B296,'ITEMS LIST'!$B$2:$F$19,4,FALSE)</f>
        <v>1000</v>
      </c>
      <c r="G296" s="11">
        <f>VLOOKUP(B296,'ITEMS LIST'!$B$2:$F$19,5,FALSE)</f>
        <v>768</v>
      </c>
      <c r="H296" s="11">
        <f t="shared" si="16"/>
        <v>0</v>
      </c>
      <c r="I296" s="11">
        <f t="shared" si="17"/>
        <v>0</v>
      </c>
      <c r="J296" s="11">
        <f t="shared" si="19"/>
        <v>0</v>
      </c>
    </row>
    <row r="297" spans="1:10" x14ac:dyDescent="0.3">
      <c r="A297" s="7">
        <v>44851.38888888865</v>
      </c>
      <c r="B297" s="8" t="s">
        <v>7</v>
      </c>
      <c r="C297" s="8">
        <v>0</v>
      </c>
      <c r="D297" t="str">
        <f t="shared" si="18"/>
        <v>Monday</v>
      </c>
      <c r="E297">
        <v>43</v>
      </c>
      <c r="F297" s="11">
        <f>VLOOKUP(B297,'ITEMS LIST'!$B$2:$F$19,4,FALSE)</f>
        <v>680</v>
      </c>
      <c r="G297" s="11">
        <f>VLOOKUP(B297,'ITEMS LIST'!$B$2:$F$19,5,FALSE)</f>
        <v>570</v>
      </c>
      <c r="H297" s="11">
        <f t="shared" si="16"/>
        <v>0</v>
      </c>
      <c r="I297" s="11">
        <f t="shared" si="17"/>
        <v>0</v>
      </c>
      <c r="J297" s="11">
        <f t="shared" si="19"/>
        <v>0</v>
      </c>
    </row>
    <row r="298" spans="1:10" x14ac:dyDescent="0.3">
      <c r="A298" s="7">
        <v>44851.444444444205</v>
      </c>
      <c r="B298" s="8" t="s">
        <v>8</v>
      </c>
      <c r="C298" s="8">
        <v>0</v>
      </c>
      <c r="D298" t="str">
        <f t="shared" si="18"/>
        <v>Monday</v>
      </c>
      <c r="E298">
        <v>43</v>
      </c>
      <c r="F298" s="11">
        <f>VLOOKUP(B298,'ITEMS LIST'!$B$2:$F$19,4,FALSE)</f>
        <v>199</v>
      </c>
      <c r="G298" s="11">
        <f>VLOOKUP(B298,'ITEMS LIST'!$B$2:$F$19,5,FALSE)</f>
        <v>140</v>
      </c>
      <c r="H298" s="11">
        <f t="shared" si="16"/>
        <v>0</v>
      </c>
      <c r="I298" s="11">
        <f t="shared" si="17"/>
        <v>0</v>
      </c>
      <c r="J298" s="11">
        <f t="shared" si="19"/>
        <v>0</v>
      </c>
    </row>
    <row r="299" spans="1:10" x14ac:dyDescent="0.3">
      <c r="A299" s="7">
        <v>44851.49999999976</v>
      </c>
      <c r="B299" s="8" t="s">
        <v>9</v>
      </c>
      <c r="C299" s="8">
        <v>0</v>
      </c>
      <c r="D299" t="str">
        <f t="shared" si="18"/>
        <v>Monday</v>
      </c>
      <c r="E299">
        <v>43</v>
      </c>
      <c r="F299" s="11">
        <f>VLOOKUP(B299,'ITEMS LIST'!$B$2:$F$19,4,FALSE)</f>
        <v>219</v>
      </c>
      <c r="G299" s="11">
        <f>VLOOKUP(B299,'ITEMS LIST'!$B$2:$F$19,5,FALSE)</f>
        <v>132</v>
      </c>
      <c r="H299" s="11">
        <f t="shared" si="16"/>
        <v>0</v>
      </c>
      <c r="I299" s="11">
        <f t="shared" si="17"/>
        <v>0</v>
      </c>
      <c r="J299" s="11">
        <f t="shared" si="19"/>
        <v>0</v>
      </c>
    </row>
    <row r="300" spans="1:10" x14ac:dyDescent="0.3">
      <c r="A300" s="7">
        <v>44851.555555555315</v>
      </c>
      <c r="B300" s="8" t="s">
        <v>10</v>
      </c>
      <c r="C300" s="8">
        <v>1</v>
      </c>
      <c r="D300" t="str">
        <f t="shared" si="18"/>
        <v>Monday</v>
      </c>
      <c r="E300">
        <v>43</v>
      </c>
      <c r="F300" s="11">
        <f>VLOOKUP(B300,'ITEMS LIST'!$B$2:$F$19,4,FALSE)</f>
        <v>1469</v>
      </c>
      <c r="G300" s="11">
        <f>VLOOKUP(B300,'ITEMS LIST'!$B$2:$F$19,5,FALSE)</f>
        <v>1184</v>
      </c>
      <c r="H300" s="11">
        <f t="shared" si="16"/>
        <v>1469</v>
      </c>
      <c r="I300" s="11">
        <f t="shared" si="17"/>
        <v>1184</v>
      </c>
      <c r="J300" s="11">
        <f t="shared" si="19"/>
        <v>285</v>
      </c>
    </row>
    <row r="301" spans="1:10" x14ac:dyDescent="0.3">
      <c r="A301" s="7">
        <v>44851.611111110869</v>
      </c>
      <c r="B301" s="8" t="s">
        <v>11</v>
      </c>
      <c r="C301" s="8">
        <v>0</v>
      </c>
      <c r="D301" t="str">
        <f t="shared" si="18"/>
        <v>Monday</v>
      </c>
      <c r="E301">
        <v>43</v>
      </c>
      <c r="F301" s="11">
        <f>VLOOKUP(B301,'ITEMS LIST'!$B$2:$F$19,4,FALSE)</f>
        <v>89</v>
      </c>
      <c r="G301" s="11">
        <f>VLOOKUP(B301,'ITEMS LIST'!$B$2:$F$19,5,FALSE)</f>
        <v>59</v>
      </c>
      <c r="H301" s="11">
        <f t="shared" si="16"/>
        <v>0</v>
      </c>
      <c r="I301" s="11">
        <f t="shared" si="17"/>
        <v>0</v>
      </c>
      <c r="J301" s="11">
        <f t="shared" si="19"/>
        <v>0</v>
      </c>
    </row>
    <row r="302" spans="1:10" x14ac:dyDescent="0.3">
      <c r="A302" s="7">
        <v>44851.666666666424</v>
      </c>
      <c r="B302" s="8" t="s">
        <v>12</v>
      </c>
      <c r="C302" s="8">
        <v>0</v>
      </c>
      <c r="D302" t="str">
        <f t="shared" si="18"/>
        <v>Monday</v>
      </c>
      <c r="E302">
        <v>43</v>
      </c>
      <c r="F302" s="11">
        <f>VLOOKUP(B302,'ITEMS LIST'!$B$2:$F$19,4,FALSE)</f>
        <v>310</v>
      </c>
      <c r="G302" s="11">
        <f>VLOOKUP(B302,'ITEMS LIST'!$B$2:$F$19,5,FALSE)</f>
        <v>206</v>
      </c>
      <c r="H302" s="11">
        <f t="shared" si="16"/>
        <v>0</v>
      </c>
      <c r="I302" s="11">
        <f t="shared" si="17"/>
        <v>0</v>
      </c>
      <c r="J302" s="11">
        <f t="shared" si="19"/>
        <v>0</v>
      </c>
    </row>
    <row r="303" spans="1:10" x14ac:dyDescent="0.3">
      <c r="A303" s="7">
        <v>44851.722222221979</v>
      </c>
      <c r="B303" s="8" t="s">
        <v>13</v>
      </c>
      <c r="C303" s="8">
        <v>0</v>
      </c>
      <c r="D303" t="str">
        <f t="shared" si="18"/>
        <v>Monday</v>
      </c>
      <c r="E303">
        <v>43</v>
      </c>
      <c r="F303" s="11">
        <f>VLOOKUP(B303,'ITEMS LIST'!$B$2:$F$19,4,FALSE)</f>
        <v>540</v>
      </c>
      <c r="G303" s="11">
        <f>VLOOKUP(B303,'ITEMS LIST'!$B$2:$F$19,5,FALSE)</f>
        <v>397</v>
      </c>
      <c r="H303" s="11">
        <f t="shared" si="16"/>
        <v>0</v>
      </c>
      <c r="I303" s="11">
        <f t="shared" si="17"/>
        <v>0</v>
      </c>
      <c r="J303" s="11">
        <f t="shared" si="19"/>
        <v>0</v>
      </c>
    </row>
    <row r="304" spans="1:10" x14ac:dyDescent="0.3">
      <c r="A304" s="7">
        <v>44851.777777777534</v>
      </c>
      <c r="B304" s="8" t="s">
        <v>14</v>
      </c>
      <c r="C304" s="8">
        <v>0</v>
      </c>
      <c r="D304" t="str">
        <f t="shared" si="18"/>
        <v>Monday</v>
      </c>
      <c r="E304">
        <v>43</v>
      </c>
      <c r="F304" s="11">
        <f>VLOOKUP(B304,'ITEMS LIST'!$B$2:$F$19,4,FALSE)</f>
        <v>360</v>
      </c>
      <c r="G304" s="11">
        <f>VLOOKUP(B304,'ITEMS LIST'!$B$2:$F$19,5,FALSE)</f>
        <v>248</v>
      </c>
      <c r="H304" s="11">
        <f t="shared" si="16"/>
        <v>0</v>
      </c>
      <c r="I304" s="11">
        <f t="shared" si="17"/>
        <v>0</v>
      </c>
      <c r="J304" s="11">
        <f t="shared" si="19"/>
        <v>0</v>
      </c>
    </row>
    <row r="305" spans="1:10" x14ac:dyDescent="0.3">
      <c r="A305" s="7">
        <v>44851.833333333088</v>
      </c>
      <c r="B305" s="8" t="s">
        <v>15</v>
      </c>
      <c r="C305" s="8">
        <v>0</v>
      </c>
      <c r="D305" t="str">
        <f t="shared" si="18"/>
        <v>Monday</v>
      </c>
      <c r="E305">
        <v>43</v>
      </c>
      <c r="F305" s="11">
        <f>VLOOKUP(B305,'ITEMS LIST'!$B$2:$F$19,4,FALSE)</f>
        <v>250</v>
      </c>
      <c r="G305" s="11">
        <f>VLOOKUP(B305,'ITEMS LIST'!$B$2:$F$19,5,FALSE)</f>
        <v>190</v>
      </c>
      <c r="H305" s="11">
        <f t="shared" si="16"/>
        <v>0</v>
      </c>
      <c r="I305" s="11">
        <f t="shared" si="17"/>
        <v>0</v>
      </c>
      <c r="J305" s="11">
        <f t="shared" si="19"/>
        <v>0</v>
      </c>
    </row>
    <row r="306" spans="1:10" x14ac:dyDescent="0.3">
      <c r="A306" s="7">
        <v>44851.888888888643</v>
      </c>
      <c r="B306" s="8" t="s">
        <v>16</v>
      </c>
      <c r="C306" s="8">
        <v>0</v>
      </c>
      <c r="D306" t="str">
        <f t="shared" si="18"/>
        <v>Monday</v>
      </c>
      <c r="E306">
        <v>43</v>
      </c>
      <c r="F306" s="11">
        <f>VLOOKUP(B306,'ITEMS LIST'!$B$2:$F$19,4,FALSE)</f>
        <v>120</v>
      </c>
      <c r="G306" s="11">
        <f>VLOOKUP(B306,'ITEMS LIST'!$B$2:$F$19,5,FALSE)</f>
        <v>85</v>
      </c>
      <c r="H306" s="11">
        <f t="shared" si="16"/>
        <v>0</v>
      </c>
      <c r="I306" s="11">
        <f t="shared" si="17"/>
        <v>0</v>
      </c>
      <c r="J306" s="11">
        <f t="shared" si="19"/>
        <v>0</v>
      </c>
    </row>
    <row r="307" spans="1:10" x14ac:dyDescent="0.3">
      <c r="A307" s="7">
        <v>44851.944444444198</v>
      </c>
      <c r="B307" s="8" t="s">
        <v>17</v>
      </c>
      <c r="C307" s="8">
        <v>0</v>
      </c>
      <c r="D307" t="str">
        <f t="shared" si="18"/>
        <v>Monday</v>
      </c>
      <c r="E307">
        <v>43</v>
      </c>
      <c r="F307" s="11">
        <f>VLOOKUP(B307,'ITEMS LIST'!$B$2:$F$19,4,FALSE)</f>
        <v>80</v>
      </c>
      <c r="G307" s="11">
        <f>VLOOKUP(B307,'ITEMS LIST'!$B$2:$F$19,5,FALSE)</f>
        <v>55</v>
      </c>
      <c r="H307" s="11">
        <f t="shared" si="16"/>
        <v>0</v>
      </c>
      <c r="I307" s="11">
        <f t="shared" si="17"/>
        <v>0</v>
      </c>
      <c r="J307" s="11">
        <f t="shared" si="19"/>
        <v>0</v>
      </c>
    </row>
    <row r="308" spans="1:10" x14ac:dyDescent="0.3">
      <c r="A308" s="7">
        <v>44851.999999999753</v>
      </c>
      <c r="B308" s="8" t="s">
        <v>0</v>
      </c>
      <c r="C308" s="8">
        <v>0</v>
      </c>
      <c r="D308" t="str">
        <f t="shared" si="18"/>
        <v>Tuesday</v>
      </c>
      <c r="E308">
        <v>43</v>
      </c>
      <c r="F308" s="11">
        <f>VLOOKUP(B308,'ITEMS LIST'!$B$2:$F$19,4,FALSE)</f>
        <v>549</v>
      </c>
      <c r="G308" s="11">
        <f>VLOOKUP(B308,'ITEMS LIST'!$B$2:$F$19,5,FALSE)</f>
        <v>365</v>
      </c>
      <c r="H308" s="11">
        <f t="shared" si="16"/>
        <v>0</v>
      </c>
      <c r="I308" s="11">
        <f t="shared" si="17"/>
        <v>0</v>
      </c>
      <c r="J308" s="11">
        <f t="shared" si="19"/>
        <v>0</v>
      </c>
    </row>
    <row r="309" spans="1:10" x14ac:dyDescent="0.3">
      <c r="A309" s="7">
        <v>44852.055555555307</v>
      </c>
      <c r="B309" s="8" t="s">
        <v>1</v>
      </c>
      <c r="C309" s="8">
        <v>0</v>
      </c>
      <c r="D309" t="str">
        <f t="shared" si="18"/>
        <v>Tuesday</v>
      </c>
      <c r="E309">
        <v>43</v>
      </c>
      <c r="F309" s="11">
        <f>VLOOKUP(B309,'ITEMS LIST'!$B$2:$F$19,4,FALSE)</f>
        <v>699</v>
      </c>
      <c r="G309" s="11">
        <f>VLOOKUP(B309,'ITEMS LIST'!$B$2:$F$19,5,FALSE)</f>
        <v>550</v>
      </c>
      <c r="H309" s="11">
        <f t="shared" si="16"/>
        <v>0</v>
      </c>
      <c r="I309" s="11">
        <f t="shared" si="17"/>
        <v>0</v>
      </c>
      <c r="J309" s="11">
        <f t="shared" si="19"/>
        <v>0</v>
      </c>
    </row>
    <row r="310" spans="1:10" x14ac:dyDescent="0.3">
      <c r="A310" s="7">
        <v>44852.111111110862</v>
      </c>
      <c r="B310" s="8" t="s">
        <v>2</v>
      </c>
      <c r="C310" s="8">
        <v>0</v>
      </c>
      <c r="D310" t="str">
        <f t="shared" si="18"/>
        <v>Tuesday</v>
      </c>
      <c r="E310">
        <v>43</v>
      </c>
      <c r="F310" s="11">
        <f>VLOOKUP(B310,'ITEMS LIST'!$B$2:$F$19,4,FALSE)</f>
        <v>739</v>
      </c>
      <c r="G310" s="11">
        <f>VLOOKUP(B310,'ITEMS LIST'!$B$2:$F$19,5,FALSE)</f>
        <v>620</v>
      </c>
      <c r="H310" s="11">
        <f t="shared" si="16"/>
        <v>0</v>
      </c>
      <c r="I310" s="11">
        <f t="shared" si="17"/>
        <v>0</v>
      </c>
      <c r="J310" s="11">
        <f t="shared" si="19"/>
        <v>0</v>
      </c>
    </row>
    <row r="311" spans="1:10" x14ac:dyDescent="0.3">
      <c r="A311" s="7">
        <v>44852.166666666417</v>
      </c>
      <c r="B311" s="8" t="s">
        <v>3</v>
      </c>
      <c r="C311" s="8">
        <v>0</v>
      </c>
      <c r="D311" t="str">
        <f t="shared" si="18"/>
        <v>Tuesday</v>
      </c>
      <c r="E311">
        <v>43</v>
      </c>
      <c r="F311" s="11">
        <f>VLOOKUP(B311,'ITEMS LIST'!$B$2:$F$19,4,FALSE)</f>
        <v>899</v>
      </c>
      <c r="G311" s="11">
        <f>VLOOKUP(B311,'ITEMS LIST'!$B$2:$F$19,5,FALSE)</f>
        <v>714</v>
      </c>
      <c r="H311" s="11">
        <f t="shared" si="16"/>
        <v>0</v>
      </c>
      <c r="I311" s="11">
        <f t="shared" si="17"/>
        <v>0</v>
      </c>
      <c r="J311" s="11">
        <f t="shared" si="19"/>
        <v>0</v>
      </c>
    </row>
    <row r="312" spans="1:10" x14ac:dyDescent="0.3">
      <c r="A312" s="7">
        <v>44852.222222221972</v>
      </c>
      <c r="B312" s="8" t="s">
        <v>4</v>
      </c>
      <c r="C312" s="8">
        <v>0</v>
      </c>
      <c r="D312" t="str">
        <f t="shared" si="18"/>
        <v>Tuesday</v>
      </c>
      <c r="E312">
        <v>43</v>
      </c>
      <c r="F312" s="11">
        <f>VLOOKUP(B312,'ITEMS LIST'!$B$2:$F$19,4,FALSE)</f>
        <v>1379</v>
      </c>
      <c r="G312" s="11">
        <f>VLOOKUP(B312,'ITEMS LIST'!$B$2:$F$19,5,FALSE)</f>
        <v>890</v>
      </c>
      <c r="H312" s="11">
        <f t="shared" si="16"/>
        <v>0</v>
      </c>
      <c r="I312" s="11">
        <f t="shared" si="17"/>
        <v>0</v>
      </c>
      <c r="J312" s="11">
        <f t="shared" si="19"/>
        <v>0</v>
      </c>
    </row>
    <row r="313" spans="1:10" x14ac:dyDescent="0.3">
      <c r="A313" s="7">
        <v>44852.277777777526</v>
      </c>
      <c r="B313" s="8" t="s">
        <v>5</v>
      </c>
      <c r="C313" s="8">
        <v>0</v>
      </c>
      <c r="D313" t="str">
        <f t="shared" si="18"/>
        <v>Tuesday</v>
      </c>
      <c r="E313">
        <v>43</v>
      </c>
      <c r="F313" s="11">
        <f>VLOOKUP(B313,'ITEMS LIST'!$B$2:$F$19,4,FALSE)</f>
        <v>849</v>
      </c>
      <c r="G313" s="11">
        <f>VLOOKUP(B313,'ITEMS LIST'!$B$2:$F$19,5,FALSE)</f>
        <v>530</v>
      </c>
      <c r="H313" s="11">
        <f t="shared" si="16"/>
        <v>0</v>
      </c>
      <c r="I313" s="11">
        <f t="shared" si="17"/>
        <v>0</v>
      </c>
      <c r="J313" s="11">
        <f t="shared" si="19"/>
        <v>0</v>
      </c>
    </row>
    <row r="314" spans="1:10" x14ac:dyDescent="0.3">
      <c r="A314" s="7">
        <v>44852.333333333081</v>
      </c>
      <c r="B314" s="8" t="s">
        <v>6</v>
      </c>
      <c r="C314" s="8">
        <v>0</v>
      </c>
      <c r="D314" t="str">
        <f t="shared" si="18"/>
        <v>Tuesday</v>
      </c>
      <c r="E314">
        <v>43</v>
      </c>
      <c r="F314" s="11">
        <f>VLOOKUP(B314,'ITEMS LIST'!$B$2:$F$19,4,FALSE)</f>
        <v>1000</v>
      </c>
      <c r="G314" s="11">
        <f>VLOOKUP(B314,'ITEMS LIST'!$B$2:$F$19,5,FALSE)</f>
        <v>768</v>
      </c>
      <c r="H314" s="11">
        <f t="shared" si="16"/>
        <v>0</v>
      </c>
      <c r="I314" s="11">
        <f t="shared" si="17"/>
        <v>0</v>
      </c>
      <c r="J314" s="11">
        <f t="shared" si="19"/>
        <v>0</v>
      </c>
    </row>
    <row r="315" spans="1:10" x14ac:dyDescent="0.3">
      <c r="A315" s="7">
        <v>44852.388888888636</v>
      </c>
      <c r="B315" s="8" t="s">
        <v>7</v>
      </c>
      <c r="C315" s="8">
        <v>0</v>
      </c>
      <c r="D315" t="str">
        <f t="shared" si="18"/>
        <v>Tuesday</v>
      </c>
      <c r="E315">
        <v>43</v>
      </c>
      <c r="F315" s="11">
        <f>VLOOKUP(B315,'ITEMS LIST'!$B$2:$F$19,4,FALSE)</f>
        <v>680</v>
      </c>
      <c r="G315" s="11">
        <f>VLOOKUP(B315,'ITEMS LIST'!$B$2:$F$19,5,FALSE)</f>
        <v>570</v>
      </c>
      <c r="H315" s="11">
        <f t="shared" si="16"/>
        <v>0</v>
      </c>
      <c r="I315" s="11">
        <f t="shared" si="17"/>
        <v>0</v>
      </c>
      <c r="J315" s="11">
        <f t="shared" si="19"/>
        <v>0</v>
      </c>
    </row>
    <row r="316" spans="1:10" x14ac:dyDescent="0.3">
      <c r="A316" s="7">
        <v>44852.444444444191</v>
      </c>
      <c r="B316" s="8" t="s">
        <v>8</v>
      </c>
      <c r="C316" s="8">
        <v>0</v>
      </c>
      <c r="D316" t="str">
        <f t="shared" si="18"/>
        <v>Tuesday</v>
      </c>
      <c r="E316">
        <v>43</v>
      </c>
      <c r="F316" s="11">
        <f>VLOOKUP(B316,'ITEMS LIST'!$B$2:$F$19,4,FALSE)</f>
        <v>199</v>
      </c>
      <c r="G316" s="11">
        <f>VLOOKUP(B316,'ITEMS LIST'!$B$2:$F$19,5,FALSE)</f>
        <v>140</v>
      </c>
      <c r="H316" s="11">
        <f t="shared" si="16"/>
        <v>0</v>
      </c>
      <c r="I316" s="11">
        <f t="shared" si="17"/>
        <v>0</v>
      </c>
      <c r="J316" s="11">
        <f t="shared" si="19"/>
        <v>0</v>
      </c>
    </row>
    <row r="317" spans="1:10" x14ac:dyDescent="0.3">
      <c r="A317" s="7">
        <v>44852.499999999745</v>
      </c>
      <c r="B317" s="8" t="s">
        <v>9</v>
      </c>
      <c r="C317" s="8">
        <v>0</v>
      </c>
      <c r="D317" t="str">
        <f t="shared" si="18"/>
        <v>Tuesday</v>
      </c>
      <c r="E317">
        <v>43</v>
      </c>
      <c r="F317" s="11">
        <f>VLOOKUP(B317,'ITEMS LIST'!$B$2:$F$19,4,FALSE)</f>
        <v>219</v>
      </c>
      <c r="G317" s="11">
        <f>VLOOKUP(B317,'ITEMS LIST'!$B$2:$F$19,5,FALSE)</f>
        <v>132</v>
      </c>
      <c r="H317" s="11">
        <f t="shared" si="16"/>
        <v>0</v>
      </c>
      <c r="I317" s="11">
        <f t="shared" si="17"/>
        <v>0</v>
      </c>
      <c r="J317" s="11">
        <f t="shared" si="19"/>
        <v>0</v>
      </c>
    </row>
    <row r="318" spans="1:10" x14ac:dyDescent="0.3">
      <c r="A318" s="7">
        <v>44852.5555555553</v>
      </c>
      <c r="B318" s="8" t="s">
        <v>10</v>
      </c>
      <c r="C318" s="8">
        <v>0</v>
      </c>
      <c r="D318" t="str">
        <f t="shared" si="18"/>
        <v>Tuesday</v>
      </c>
      <c r="E318">
        <v>43</v>
      </c>
      <c r="F318" s="11">
        <f>VLOOKUP(B318,'ITEMS LIST'!$B$2:$F$19,4,FALSE)</f>
        <v>1469</v>
      </c>
      <c r="G318" s="11">
        <f>VLOOKUP(B318,'ITEMS LIST'!$B$2:$F$19,5,FALSE)</f>
        <v>1184</v>
      </c>
      <c r="H318" s="11">
        <f t="shared" si="16"/>
        <v>0</v>
      </c>
      <c r="I318" s="11">
        <f t="shared" si="17"/>
        <v>0</v>
      </c>
      <c r="J318" s="11">
        <f t="shared" si="19"/>
        <v>0</v>
      </c>
    </row>
    <row r="319" spans="1:10" x14ac:dyDescent="0.3">
      <c r="A319" s="7">
        <v>44852.611111110855</v>
      </c>
      <c r="B319" s="8" t="s">
        <v>11</v>
      </c>
      <c r="C319" s="8">
        <v>0</v>
      </c>
      <c r="D319" t="str">
        <f t="shared" si="18"/>
        <v>Tuesday</v>
      </c>
      <c r="E319">
        <v>43</v>
      </c>
      <c r="F319" s="11">
        <f>VLOOKUP(B319,'ITEMS LIST'!$B$2:$F$19,4,FALSE)</f>
        <v>89</v>
      </c>
      <c r="G319" s="11">
        <f>VLOOKUP(B319,'ITEMS LIST'!$B$2:$F$19,5,FALSE)</f>
        <v>59</v>
      </c>
      <c r="H319" s="11">
        <f t="shared" si="16"/>
        <v>0</v>
      </c>
      <c r="I319" s="11">
        <f t="shared" si="17"/>
        <v>0</v>
      </c>
      <c r="J319" s="11">
        <f t="shared" si="19"/>
        <v>0</v>
      </c>
    </row>
    <row r="320" spans="1:10" x14ac:dyDescent="0.3">
      <c r="A320" s="7">
        <v>44852.66666666641</v>
      </c>
      <c r="B320" s="8" t="s">
        <v>12</v>
      </c>
      <c r="C320" s="8">
        <v>0</v>
      </c>
      <c r="D320" t="str">
        <f t="shared" si="18"/>
        <v>Tuesday</v>
      </c>
      <c r="E320">
        <v>43</v>
      </c>
      <c r="F320" s="11">
        <f>VLOOKUP(B320,'ITEMS LIST'!$B$2:$F$19,4,FALSE)</f>
        <v>310</v>
      </c>
      <c r="G320" s="11">
        <f>VLOOKUP(B320,'ITEMS LIST'!$B$2:$F$19,5,FALSE)</f>
        <v>206</v>
      </c>
      <c r="H320" s="11">
        <f t="shared" si="16"/>
        <v>0</v>
      </c>
      <c r="I320" s="11">
        <f t="shared" si="17"/>
        <v>0</v>
      </c>
      <c r="J320" s="11">
        <f t="shared" si="19"/>
        <v>0</v>
      </c>
    </row>
    <row r="321" spans="1:10" x14ac:dyDescent="0.3">
      <c r="A321" s="7">
        <v>44852.722222221964</v>
      </c>
      <c r="B321" s="8" t="s">
        <v>13</v>
      </c>
      <c r="C321" s="8">
        <v>0</v>
      </c>
      <c r="D321" t="str">
        <f t="shared" si="18"/>
        <v>Tuesday</v>
      </c>
      <c r="E321">
        <v>43</v>
      </c>
      <c r="F321" s="11">
        <f>VLOOKUP(B321,'ITEMS LIST'!$B$2:$F$19,4,FALSE)</f>
        <v>540</v>
      </c>
      <c r="G321" s="11">
        <f>VLOOKUP(B321,'ITEMS LIST'!$B$2:$F$19,5,FALSE)</f>
        <v>397</v>
      </c>
      <c r="H321" s="11">
        <f t="shared" si="16"/>
        <v>0</v>
      </c>
      <c r="I321" s="11">
        <f t="shared" si="17"/>
        <v>0</v>
      </c>
      <c r="J321" s="11">
        <f t="shared" si="19"/>
        <v>0</v>
      </c>
    </row>
    <row r="322" spans="1:10" x14ac:dyDescent="0.3">
      <c r="A322" s="7">
        <v>44852.777777777519</v>
      </c>
      <c r="B322" s="8" t="s">
        <v>14</v>
      </c>
      <c r="C322" s="8">
        <v>0</v>
      </c>
      <c r="D322" t="str">
        <f t="shared" si="18"/>
        <v>Tuesday</v>
      </c>
      <c r="E322">
        <v>43</v>
      </c>
      <c r="F322" s="11">
        <f>VLOOKUP(B322,'ITEMS LIST'!$B$2:$F$19,4,FALSE)</f>
        <v>360</v>
      </c>
      <c r="G322" s="11">
        <f>VLOOKUP(B322,'ITEMS LIST'!$B$2:$F$19,5,FALSE)</f>
        <v>248</v>
      </c>
      <c r="H322" s="11">
        <f t="shared" ref="H322:H385" si="20">C322*F322</f>
        <v>0</v>
      </c>
      <c r="I322" s="11">
        <f t="shared" ref="I322:I385" si="21">C322*G322</f>
        <v>0</v>
      </c>
      <c r="J322" s="11">
        <f t="shared" si="19"/>
        <v>0</v>
      </c>
    </row>
    <row r="323" spans="1:10" x14ac:dyDescent="0.3">
      <c r="A323" s="7">
        <v>44852.833333333074</v>
      </c>
      <c r="B323" s="8" t="s">
        <v>15</v>
      </c>
      <c r="C323" s="8">
        <v>0</v>
      </c>
      <c r="D323" t="str">
        <f t="shared" ref="D323:D386" si="22">TEXT(A323,"dddd")</f>
        <v>Tuesday</v>
      </c>
      <c r="E323">
        <v>43</v>
      </c>
      <c r="F323" s="11">
        <f>VLOOKUP(B323,'ITEMS LIST'!$B$2:$F$19,4,FALSE)</f>
        <v>250</v>
      </c>
      <c r="G323" s="11">
        <f>VLOOKUP(B323,'ITEMS LIST'!$B$2:$F$19,5,FALSE)</f>
        <v>190</v>
      </c>
      <c r="H323" s="11">
        <f t="shared" si="20"/>
        <v>0</v>
      </c>
      <c r="I323" s="11">
        <f t="shared" si="21"/>
        <v>0</v>
      </c>
      <c r="J323" s="11">
        <f t="shared" ref="J323:J386" si="23">H323-I323</f>
        <v>0</v>
      </c>
    </row>
    <row r="324" spans="1:10" x14ac:dyDescent="0.3">
      <c r="A324" s="7">
        <v>44852.888888888629</v>
      </c>
      <c r="B324" s="8" t="s">
        <v>16</v>
      </c>
      <c r="C324" s="8">
        <v>0</v>
      </c>
      <c r="D324" t="str">
        <f t="shared" si="22"/>
        <v>Tuesday</v>
      </c>
      <c r="E324">
        <v>43</v>
      </c>
      <c r="F324" s="11">
        <f>VLOOKUP(B324,'ITEMS LIST'!$B$2:$F$19,4,FALSE)</f>
        <v>120</v>
      </c>
      <c r="G324" s="11">
        <f>VLOOKUP(B324,'ITEMS LIST'!$B$2:$F$19,5,FALSE)</f>
        <v>85</v>
      </c>
      <c r="H324" s="11">
        <f t="shared" si="20"/>
        <v>0</v>
      </c>
      <c r="I324" s="11">
        <f t="shared" si="21"/>
        <v>0</v>
      </c>
      <c r="J324" s="11">
        <f t="shared" si="23"/>
        <v>0</v>
      </c>
    </row>
    <row r="325" spans="1:10" x14ac:dyDescent="0.3">
      <c r="A325" s="7">
        <v>44852.944444444183</v>
      </c>
      <c r="B325" s="8" t="s">
        <v>17</v>
      </c>
      <c r="C325" s="8">
        <v>0</v>
      </c>
      <c r="D325" t="str">
        <f t="shared" si="22"/>
        <v>Tuesday</v>
      </c>
      <c r="E325">
        <v>43</v>
      </c>
      <c r="F325" s="11">
        <f>VLOOKUP(B325,'ITEMS LIST'!$B$2:$F$19,4,FALSE)</f>
        <v>80</v>
      </c>
      <c r="G325" s="11">
        <f>VLOOKUP(B325,'ITEMS LIST'!$B$2:$F$19,5,FALSE)</f>
        <v>55</v>
      </c>
      <c r="H325" s="11">
        <f t="shared" si="20"/>
        <v>0</v>
      </c>
      <c r="I325" s="11">
        <f t="shared" si="21"/>
        <v>0</v>
      </c>
      <c r="J325" s="11">
        <f t="shared" si="23"/>
        <v>0</v>
      </c>
    </row>
    <row r="326" spans="1:10" x14ac:dyDescent="0.3">
      <c r="A326" s="7">
        <v>44852.999999999738</v>
      </c>
      <c r="B326" s="8" t="s">
        <v>0</v>
      </c>
      <c r="C326" s="8">
        <v>0</v>
      </c>
      <c r="D326" t="str">
        <f t="shared" si="22"/>
        <v>Wednesday</v>
      </c>
      <c r="E326">
        <v>43</v>
      </c>
      <c r="F326" s="11">
        <f>VLOOKUP(B326,'ITEMS LIST'!$B$2:$F$19,4,FALSE)</f>
        <v>549</v>
      </c>
      <c r="G326" s="11">
        <f>VLOOKUP(B326,'ITEMS LIST'!$B$2:$F$19,5,FALSE)</f>
        <v>365</v>
      </c>
      <c r="H326" s="11">
        <f t="shared" si="20"/>
        <v>0</v>
      </c>
      <c r="I326" s="11">
        <f t="shared" si="21"/>
        <v>0</v>
      </c>
      <c r="J326" s="11">
        <f t="shared" si="23"/>
        <v>0</v>
      </c>
    </row>
    <row r="327" spans="1:10" x14ac:dyDescent="0.3">
      <c r="A327" s="7">
        <v>44853.055555555293</v>
      </c>
      <c r="B327" s="8" t="s">
        <v>1</v>
      </c>
      <c r="C327" s="8">
        <v>0</v>
      </c>
      <c r="D327" t="str">
        <f t="shared" si="22"/>
        <v>Wednesday</v>
      </c>
      <c r="E327">
        <v>43</v>
      </c>
      <c r="F327" s="11">
        <f>VLOOKUP(B327,'ITEMS LIST'!$B$2:$F$19,4,FALSE)</f>
        <v>699</v>
      </c>
      <c r="G327" s="11">
        <f>VLOOKUP(B327,'ITEMS LIST'!$B$2:$F$19,5,FALSE)</f>
        <v>550</v>
      </c>
      <c r="H327" s="11">
        <f t="shared" si="20"/>
        <v>0</v>
      </c>
      <c r="I327" s="11">
        <f t="shared" si="21"/>
        <v>0</v>
      </c>
      <c r="J327" s="11">
        <f t="shared" si="23"/>
        <v>0</v>
      </c>
    </row>
    <row r="328" spans="1:10" x14ac:dyDescent="0.3">
      <c r="A328" s="7">
        <v>44853.111111110848</v>
      </c>
      <c r="B328" s="8" t="s">
        <v>2</v>
      </c>
      <c r="C328" s="8">
        <v>0</v>
      </c>
      <c r="D328" t="str">
        <f t="shared" si="22"/>
        <v>Wednesday</v>
      </c>
      <c r="E328">
        <v>43</v>
      </c>
      <c r="F328" s="11">
        <f>VLOOKUP(B328,'ITEMS LIST'!$B$2:$F$19,4,FALSE)</f>
        <v>739</v>
      </c>
      <c r="G328" s="11">
        <f>VLOOKUP(B328,'ITEMS LIST'!$B$2:$F$19,5,FALSE)</f>
        <v>620</v>
      </c>
      <c r="H328" s="11">
        <f t="shared" si="20"/>
        <v>0</v>
      </c>
      <c r="I328" s="11">
        <f t="shared" si="21"/>
        <v>0</v>
      </c>
      <c r="J328" s="11">
        <f t="shared" si="23"/>
        <v>0</v>
      </c>
    </row>
    <row r="329" spans="1:10" x14ac:dyDescent="0.3">
      <c r="A329" s="7">
        <v>44853.166666666402</v>
      </c>
      <c r="B329" s="8" t="s">
        <v>3</v>
      </c>
      <c r="C329" s="8">
        <v>0</v>
      </c>
      <c r="D329" t="str">
        <f t="shared" si="22"/>
        <v>Wednesday</v>
      </c>
      <c r="E329">
        <v>43</v>
      </c>
      <c r="F329" s="11">
        <f>VLOOKUP(B329,'ITEMS LIST'!$B$2:$F$19,4,FALSE)</f>
        <v>899</v>
      </c>
      <c r="G329" s="11">
        <f>VLOOKUP(B329,'ITEMS LIST'!$B$2:$F$19,5,FALSE)</f>
        <v>714</v>
      </c>
      <c r="H329" s="11">
        <f t="shared" si="20"/>
        <v>0</v>
      </c>
      <c r="I329" s="11">
        <f t="shared" si="21"/>
        <v>0</v>
      </c>
      <c r="J329" s="11">
        <f t="shared" si="23"/>
        <v>0</v>
      </c>
    </row>
    <row r="330" spans="1:10" x14ac:dyDescent="0.3">
      <c r="A330" s="7">
        <v>44853.222222221957</v>
      </c>
      <c r="B330" s="8" t="s">
        <v>4</v>
      </c>
      <c r="C330" s="8">
        <v>0</v>
      </c>
      <c r="D330" t="str">
        <f t="shared" si="22"/>
        <v>Wednesday</v>
      </c>
      <c r="E330">
        <v>43</v>
      </c>
      <c r="F330" s="11">
        <f>VLOOKUP(B330,'ITEMS LIST'!$B$2:$F$19,4,FALSE)</f>
        <v>1379</v>
      </c>
      <c r="G330" s="11">
        <f>VLOOKUP(B330,'ITEMS LIST'!$B$2:$F$19,5,FALSE)</f>
        <v>890</v>
      </c>
      <c r="H330" s="11">
        <f t="shared" si="20"/>
        <v>0</v>
      </c>
      <c r="I330" s="11">
        <f t="shared" si="21"/>
        <v>0</v>
      </c>
      <c r="J330" s="11">
        <f t="shared" si="23"/>
        <v>0</v>
      </c>
    </row>
    <row r="331" spans="1:10" x14ac:dyDescent="0.3">
      <c r="A331" s="7">
        <v>44853.277777777512</v>
      </c>
      <c r="B331" s="8" t="s">
        <v>5</v>
      </c>
      <c r="C331" s="8">
        <v>0</v>
      </c>
      <c r="D331" t="str">
        <f t="shared" si="22"/>
        <v>Wednesday</v>
      </c>
      <c r="E331">
        <v>43</v>
      </c>
      <c r="F331" s="11">
        <f>VLOOKUP(B331,'ITEMS LIST'!$B$2:$F$19,4,FALSE)</f>
        <v>849</v>
      </c>
      <c r="G331" s="11">
        <f>VLOOKUP(B331,'ITEMS LIST'!$B$2:$F$19,5,FALSE)</f>
        <v>530</v>
      </c>
      <c r="H331" s="11">
        <f t="shared" si="20"/>
        <v>0</v>
      </c>
      <c r="I331" s="11">
        <f t="shared" si="21"/>
        <v>0</v>
      </c>
      <c r="J331" s="11">
        <f t="shared" si="23"/>
        <v>0</v>
      </c>
    </row>
    <row r="332" spans="1:10" x14ac:dyDescent="0.3">
      <c r="A332" s="7">
        <v>44853.333333333067</v>
      </c>
      <c r="B332" s="8" t="s">
        <v>6</v>
      </c>
      <c r="C332" s="8">
        <v>0</v>
      </c>
      <c r="D332" t="str">
        <f t="shared" si="22"/>
        <v>Wednesday</v>
      </c>
      <c r="E332">
        <v>43</v>
      </c>
      <c r="F332" s="11">
        <f>VLOOKUP(B332,'ITEMS LIST'!$B$2:$F$19,4,FALSE)</f>
        <v>1000</v>
      </c>
      <c r="G332" s="11">
        <f>VLOOKUP(B332,'ITEMS LIST'!$B$2:$F$19,5,FALSE)</f>
        <v>768</v>
      </c>
      <c r="H332" s="11">
        <f t="shared" si="20"/>
        <v>0</v>
      </c>
      <c r="I332" s="11">
        <f t="shared" si="21"/>
        <v>0</v>
      </c>
      <c r="J332" s="11">
        <f t="shared" si="23"/>
        <v>0</v>
      </c>
    </row>
    <row r="333" spans="1:10" x14ac:dyDescent="0.3">
      <c r="A333" s="7">
        <v>44853.388888888621</v>
      </c>
      <c r="B333" s="8" t="s">
        <v>7</v>
      </c>
      <c r="C333" s="8">
        <v>0</v>
      </c>
      <c r="D333" t="str">
        <f t="shared" si="22"/>
        <v>Wednesday</v>
      </c>
      <c r="E333">
        <v>43</v>
      </c>
      <c r="F333" s="11">
        <f>VLOOKUP(B333,'ITEMS LIST'!$B$2:$F$19,4,FALSE)</f>
        <v>680</v>
      </c>
      <c r="G333" s="11">
        <f>VLOOKUP(B333,'ITEMS LIST'!$B$2:$F$19,5,FALSE)</f>
        <v>570</v>
      </c>
      <c r="H333" s="11">
        <f t="shared" si="20"/>
        <v>0</v>
      </c>
      <c r="I333" s="11">
        <f t="shared" si="21"/>
        <v>0</v>
      </c>
      <c r="J333" s="11">
        <f t="shared" si="23"/>
        <v>0</v>
      </c>
    </row>
    <row r="334" spans="1:10" x14ac:dyDescent="0.3">
      <c r="A334" s="7">
        <v>44853.444444444176</v>
      </c>
      <c r="B334" s="8" t="s">
        <v>8</v>
      </c>
      <c r="C334" s="8">
        <v>0</v>
      </c>
      <c r="D334" t="str">
        <f t="shared" si="22"/>
        <v>Wednesday</v>
      </c>
      <c r="E334">
        <v>43</v>
      </c>
      <c r="F334" s="11">
        <f>VLOOKUP(B334,'ITEMS LIST'!$B$2:$F$19,4,FALSE)</f>
        <v>199</v>
      </c>
      <c r="G334" s="11">
        <f>VLOOKUP(B334,'ITEMS LIST'!$B$2:$F$19,5,FALSE)</f>
        <v>140</v>
      </c>
      <c r="H334" s="11">
        <f t="shared" si="20"/>
        <v>0</v>
      </c>
      <c r="I334" s="11">
        <f t="shared" si="21"/>
        <v>0</v>
      </c>
      <c r="J334" s="11">
        <f t="shared" si="23"/>
        <v>0</v>
      </c>
    </row>
    <row r="335" spans="1:10" x14ac:dyDescent="0.3">
      <c r="A335" s="7">
        <v>44853.499999999731</v>
      </c>
      <c r="B335" s="8" t="s">
        <v>9</v>
      </c>
      <c r="C335" s="8">
        <v>0</v>
      </c>
      <c r="D335" t="str">
        <f t="shared" si="22"/>
        <v>Wednesday</v>
      </c>
      <c r="E335">
        <v>43</v>
      </c>
      <c r="F335" s="11">
        <f>VLOOKUP(B335,'ITEMS LIST'!$B$2:$F$19,4,FALSE)</f>
        <v>219</v>
      </c>
      <c r="G335" s="11">
        <f>VLOOKUP(B335,'ITEMS LIST'!$B$2:$F$19,5,FALSE)</f>
        <v>132</v>
      </c>
      <c r="H335" s="11">
        <f t="shared" si="20"/>
        <v>0</v>
      </c>
      <c r="I335" s="11">
        <f t="shared" si="21"/>
        <v>0</v>
      </c>
      <c r="J335" s="11">
        <f t="shared" si="23"/>
        <v>0</v>
      </c>
    </row>
    <row r="336" spans="1:10" x14ac:dyDescent="0.3">
      <c r="A336" s="7">
        <v>44853.555555555286</v>
      </c>
      <c r="B336" s="8" t="s">
        <v>10</v>
      </c>
      <c r="C336" s="8">
        <v>0</v>
      </c>
      <c r="D336" t="str">
        <f t="shared" si="22"/>
        <v>Wednesday</v>
      </c>
      <c r="E336">
        <v>43</v>
      </c>
      <c r="F336" s="11">
        <f>VLOOKUP(B336,'ITEMS LIST'!$B$2:$F$19,4,FALSE)</f>
        <v>1469</v>
      </c>
      <c r="G336" s="11">
        <f>VLOOKUP(B336,'ITEMS LIST'!$B$2:$F$19,5,FALSE)</f>
        <v>1184</v>
      </c>
      <c r="H336" s="11">
        <f t="shared" si="20"/>
        <v>0</v>
      </c>
      <c r="I336" s="11">
        <f t="shared" si="21"/>
        <v>0</v>
      </c>
      <c r="J336" s="11">
        <f t="shared" si="23"/>
        <v>0</v>
      </c>
    </row>
    <row r="337" spans="1:10" x14ac:dyDescent="0.3">
      <c r="A337" s="7">
        <v>44853.61111111084</v>
      </c>
      <c r="B337" s="8" t="s">
        <v>11</v>
      </c>
      <c r="C337" s="8">
        <v>0</v>
      </c>
      <c r="D337" t="str">
        <f t="shared" si="22"/>
        <v>Wednesday</v>
      </c>
      <c r="E337">
        <v>43</v>
      </c>
      <c r="F337" s="11">
        <f>VLOOKUP(B337,'ITEMS LIST'!$B$2:$F$19,4,FALSE)</f>
        <v>89</v>
      </c>
      <c r="G337" s="11">
        <f>VLOOKUP(B337,'ITEMS LIST'!$B$2:$F$19,5,FALSE)</f>
        <v>59</v>
      </c>
      <c r="H337" s="11">
        <f t="shared" si="20"/>
        <v>0</v>
      </c>
      <c r="I337" s="11">
        <f t="shared" si="21"/>
        <v>0</v>
      </c>
      <c r="J337" s="11">
        <f t="shared" si="23"/>
        <v>0</v>
      </c>
    </row>
    <row r="338" spans="1:10" x14ac:dyDescent="0.3">
      <c r="A338" s="7">
        <v>44853.666666666395</v>
      </c>
      <c r="B338" s="8" t="s">
        <v>12</v>
      </c>
      <c r="C338" s="8">
        <v>0</v>
      </c>
      <c r="D338" t="str">
        <f t="shared" si="22"/>
        <v>Wednesday</v>
      </c>
      <c r="E338">
        <v>43</v>
      </c>
      <c r="F338" s="11">
        <f>VLOOKUP(B338,'ITEMS LIST'!$B$2:$F$19,4,FALSE)</f>
        <v>310</v>
      </c>
      <c r="G338" s="11">
        <f>VLOOKUP(B338,'ITEMS LIST'!$B$2:$F$19,5,FALSE)</f>
        <v>206</v>
      </c>
      <c r="H338" s="11">
        <f t="shared" si="20"/>
        <v>0</v>
      </c>
      <c r="I338" s="11">
        <f t="shared" si="21"/>
        <v>0</v>
      </c>
      <c r="J338" s="11">
        <f t="shared" si="23"/>
        <v>0</v>
      </c>
    </row>
    <row r="339" spans="1:10" x14ac:dyDescent="0.3">
      <c r="A339" s="7">
        <v>44853.72222222195</v>
      </c>
      <c r="B339" s="8" t="s">
        <v>13</v>
      </c>
      <c r="C339" s="8">
        <v>0</v>
      </c>
      <c r="D339" t="str">
        <f t="shared" si="22"/>
        <v>Wednesday</v>
      </c>
      <c r="E339">
        <v>43</v>
      </c>
      <c r="F339" s="11">
        <f>VLOOKUP(B339,'ITEMS LIST'!$B$2:$F$19,4,FALSE)</f>
        <v>540</v>
      </c>
      <c r="G339" s="11">
        <f>VLOOKUP(B339,'ITEMS LIST'!$B$2:$F$19,5,FALSE)</f>
        <v>397</v>
      </c>
      <c r="H339" s="11">
        <f t="shared" si="20"/>
        <v>0</v>
      </c>
      <c r="I339" s="11">
        <f t="shared" si="21"/>
        <v>0</v>
      </c>
      <c r="J339" s="11">
        <f t="shared" si="23"/>
        <v>0</v>
      </c>
    </row>
    <row r="340" spans="1:10" x14ac:dyDescent="0.3">
      <c r="A340" s="7">
        <v>44853.777777777505</v>
      </c>
      <c r="B340" s="8" t="s">
        <v>14</v>
      </c>
      <c r="C340" s="8">
        <v>0</v>
      </c>
      <c r="D340" t="str">
        <f t="shared" si="22"/>
        <v>Wednesday</v>
      </c>
      <c r="E340">
        <v>43</v>
      </c>
      <c r="F340" s="11">
        <f>VLOOKUP(B340,'ITEMS LIST'!$B$2:$F$19,4,FALSE)</f>
        <v>360</v>
      </c>
      <c r="G340" s="11">
        <f>VLOOKUP(B340,'ITEMS LIST'!$B$2:$F$19,5,FALSE)</f>
        <v>248</v>
      </c>
      <c r="H340" s="11">
        <f t="shared" si="20"/>
        <v>0</v>
      </c>
      <c r="I340" s="11">
        <f t="shared" si="21"/>
        <v>0</v>
      </c>
      <c r="J340" s="11">
        <f t="shared" si="23"/>
        <v>0</v>
      </c>
    </row>
    <row r="341" spans="1:10" x14ac:dyDescent="0.3">
      <c r="A341" s="7">
        <v>44853.833333333059</v>
      </c>
      <c r="B341" s="8" t="s">
        <v>15</v>
      </c>
      <c r="C341" s="8">
        <v>0</v>
      </c>
      <c r="D341" t="str">
        <f t="shared" si="22"/>
        <v>Wednesday</v>
      </c>
      <c r="E341">
        <v>43</v>
      </c>
      <c r="F341" s="11">
        <f>VLOOKUP(B341,'ITEMS LIST'!$B$2:$F$19,4,FALSE)</f>
        <v>250</v>
      </c>
      <c r="G341" s="11">
        <f>VLOOKUP(B341,'ITEMS LIST'!$B$2:$F$19,5,FALSE)</f>
        <v>190</v>
      </c>
      <c r="H341" s="11">
        <f t="shared" si="20"/>
        <v>0</v>
      </c>
      <c r="I341" s="11">
        <f t="shared" si="21"/>
        <v>0</v>
      </c>
      <c r="J341" s="11">
        <f t="shared" si="23"/>
        <v>0</v>
      </c>
    </row>
    <row r="342" spans="1:10" x14ac:dyDescent="0.3">
      <c r="A342" s="7">
        <v>44853.888888888614</v>
      </c>
      <c r="B342" s="8" t="s">
        <v>16</v>
      </c>
      <c r="C342" s="8">
        <v>0</v>
      </c>
      <c r="D342" t="str">
        <f t="shared" si="22"/>
        <v>Wednesday</v>
      </c>
      <c r="E342">
        <v>43</v>
      </c>
      <c r="F342" s="11">
        <f>VLOOKUP(B342,'ITEMS LIST'!$B$2:$F$19,4,FALSE)</f>
        <v>120</v>
      </c>
      <c r="G342" s="11">
        <f>VLOOKUP(B342,'ITEMS LIST'!$B$2:$F$19,5,FALSE)</f>
        <v>85</v>
      </c>
      <c r="H342" s="11">
        <f t="shared" si="20"/>
        <v>0</v>
      </c>
      <c r="I342" s="11">
        <f t="shared" si="21"/>
        <v>0</v>
      </c>
      <c r="J342" s="11">
        <f t="shared" si="23"/>
        <v>0</v>
      </c>
    </row>
    <row r="343" spans="1:10" x14ac:dyDescent="0.3">
      <c r="A343" s="7">
        <v>44853.944444444169</v>
      </c>
      <c r="B343" s="8" t="s">
        <v>17</v>
      </c>
      <c r="C343" s="8">
        <v>0</v>
      </c>
      <c r="D343" t="str">
        <f t="shared" si="22"/>
        <v>Wednesday</v>
      </c>
      <c r="E343">
        <v>43</v>
      </c>
      <c r="F343" s="11">
        <f>VLOOKUP(B343,'ITEMS LIST'!$B$2:$F$19,4,FALSE)</f>
        <v>80</v>
      </c>
      <c r="G343" s="11">
        <f>VLOOKUP(B343,'ITEMS LIST'!$B$2:$F$19,5,FALSE)</f>
        <v>55</v>
      </c>
      <c r="H343" s="11">
        <f t="shared" si="20"/>
        <v>0</v>
      </c>
      <c r="I343" s="11">
        <f t="shared" si="21"/>
        <v>0</v>
      </c>
      <c r="J343" s="11">
        <f t="shared" si="23"/>
        <v>0</v>
      </c>
    </row>
    <row r="344" spans="1:10" x14ac:dyDescent="0.3">
      <c r="A344" s="7">
        <v>44853.999999999724</v>
      </c>
      <c r="B344" s="8" t="s">
        <v>0</v>
      </c>
      <c r="C344" s="8">
        <v>0</v>
      </c>
      <c r="D344" t="str">
        <f t="shared" si="22"/>
        <v>Thursday</v>
      </c>
      <c r="E344">
        <v>43</v>
      </c>
      <c r="F344" s="11">
        <f>VLOOKUP(B344,'ITEMS LIST'!$B$2:$F$19,4,FALSE)</f>
        <v>549</v>
      </c>
      <c r="G344" s="11">
        <f>VLOOKUP(B344,'ITEMS LIST'!$B$2:$F$19,5,FALSE)</f>
        <v>365</v>
      </c>
      <c r="H344" s="11">
        <f t="shared" si="20"/>
        <v>0</v>
      </c>
      <c r="I344" s="11">
        <f t="shared" si="21"/>
        <v>0</v>
      </c>
      <c r="J344" s="11">
        <f t="shared" si="23"/>
        <v>0</v>
      </c>
    </row>
    <row r="345" spans="1:10" x14ac:dyDescent="0.3">
      <c r="A345" s="7">
        <v>44854.055555555278</v>
      </c>
      <c r="B345" s="8" t="s">
        <v>1</v>
      </c>
      <c r="C345" s="8">
        <v>0</v>
      </c>
      <c r="D345" t="str">
        <f t="shared" si="22"/>
        <v>Thursday</v>
      </c>
      <c r="E345">
        <v>43</v>
      </c>
      <c r="F345" s="11">
        <f>VLOOKUP(B345,'ITEMS LIST'!$B$2:$F$19,4,FALSE)</f>
        <v>699</v>
      </c>
      <c r="G345" s="11">
        <f>VLOOKUP(B345,'ITEMS LIST'!$B$2:$F$19,5,FALSE)</f>
        <v>550</v>
      </c>
      <c r="H345" s="11">
        <f t="shared" si="20"/>
        <v>0</v>
      </c>
      <c r="I345" s="11">
        <f t="shared" si="21"/>
        <v>0</v>
      </c>
      <c r="J345" s="11">
        <f t="shared" si="23"/>
        <v>0</v>
      </c>
    </row>
    <row r="346" spans="1:10" x14ac:dyDescent="0.3">
      <c r="A346" s="7">
        <v>44854.111111110833</v>
      </c>
      <c r="B346" s="8" t="s">
        <v>2</v>
      </c>
      <c r="C346" s="8">
        <v>0</v>
      </c>
      <c r="D346" t="str">
        <f t="shared" si="22"/>
        <v>Thursday</v>
      </c>
      <c r="E346">
        <v>43</v>
      </c>
      <c r="F346" s="11">
        <f>VLOOKUP(B346,'ITEMS LIST'!$B$2:$F$19,4,FALSE)</f>
        <v>739</v>
      </c>
      <c r="G346" s="11">
        <f>VLOOKUP(B346,'ITEMS LIST'!$B$2:$F$19,5,FALSE)</f>
        <v>620</v>
      </c>
      <c r="H346" s="11">
        <f t="shared" si="20"/>
        <v>0</v>
      </c>
      <c r="I346" s="11">
        <f t="shared" si="21"/>
        <v>0</v>
      </c>
      <c r="J346" s="11">
        <f t="shared" si="23"/>
        <v>0</v>
      </c>
    </row>
    <row r="347" spans="1:10" x14ac:dyDescent="0.3">
      <c r="A347" s="7">
        <v>44854.166666666388</v>
      </c>
      <c r="B347" s="8" t="s">
        <v>3</v>
      </c>
      <c r="C347" s="8">
        <v>0</v>
      </c>
      <c r="D347" t="str">
        <f t="shared" si="22"/>
        <v>Thursday</v>
      </c>
      <c r="E347">
        <v>43</v>
      </c>
      <c r="F347" s="11">
        <f>VLOOKUP(B347,'ITEMS LIST'!$B$2:$F$19,4,FALSE)</f>
        <v>899</v>
      </c>
      <c r="G347" s="11">
        <f>VLOOKUP(B347,'ITEMS LIST'!$B$2:$F$19,5,FALSE)</f>
        <v>714</v>
      </c>
      <c r="H347" s="11">
        <f t="shared" si="20"/>
        <v>0</v>
      </c>
      <c r="I347" s="11">
        <f t="shared" si="21"/>
        <v>0</v>
      </c>
      <c r="J347" s="11">
        <f t="shared" si="23"/>
        <v>0</v>
      </c>
    </row>
    <row r="348" spans="1:10" x14ac:dyDescent="0.3">
      <c r="A348" s="7">
        <v>44854.222222221943</v>
      </c>
      <c r="B348" s="8" t="s">
        <v>4</v>
      </c>
      <c r="C348" s="8">
        <v>0</v>
      </c>
      <c r="D348" t="str">
        <f t="shared" si="22"/>
        <v>Thursday</v>
      </c>
      <c r="E348">
        <v>43</v>
      </c>
      <c r="F348" s="11">
        <f>VLOOKUP(B348,'ITEMS LIST'!$B$2:$F$19,4,FALSE)</f>
        <v>1379</v>
      </c>
      <c r="G348" s="11">
        <f>VLOOKUP(B348,'ITEMS LIST'!$B$2:$F$19,5,FALSE)</f>
        <v>890</v>
      </c>
      <c r="H348" s="11">
        <f t="shared" si="20"/>
        <v>0</v>
      </c>
      <c r="I348" s="11">
        <f t="shared" si="21"/>
        <v>0</v>
      </c>
      <c r="J348" s="11">
        <f t="shared" si="23"/>
        <v>0</v>
      </c>
    </row>
    <row r="349" spans="1:10" x14ac:dyDescent="0.3">
      <c r="A349" s="7">
        <v>44854.277777777497</v>
      </c>
      <c r="B349" s="8" t="s">
        <v>5</v>
      </c>
      <c r="C349" s="8">
        <v>0</v>
      </c>
      <c r="D349" t="str">
        <f t="shared" si="22"/>
        <v>Thursday</v>
      </c>
      <c r="E349">
        <v>43</v>
      </c>
      <c r="F349" s="11">
        <f>VLOOKUP(B349,'ITEMS LIST'!$B$2:$F$19,4,FALSE)</f>
        <v>849</v>
      </c>
      <c r="G349" s="11">
        <f>VLOOKUP(B349,'ITEMS LIST'!$B$2:$F$19,5,FALSE)</f>
        <v>530</v>
      </c>
      <c r="H349" s="11">
        <f t="shared" si="20"/>
        <v>0</v>
      </c>
      <c r="I349" s="11">
        <f t="shared" si="21"/>
        <v>0</v>
      </c>
      <c r="J349" s="11">
        <f t="shared" si="23"/>
        <v>0</v>
      </c>
    </row>
    <row r="350" spans="1:10" x14ac:dyDescent="0.3">
      <c r="A350" s="7">
        <v>44854.333333333052</v>
      </c>
      <c r="B350" s="8" t="s">
        <v>6</v>
      </c>
      <c r="C350" s="8">
        <v>0</v>
      </c>
      <c r="D350" t="str">
        <f t="shared" si="22"/>
        <v>Thursday</v>
      </c>
      <c r="E350">
        <v>43</v>
      </c>
      <c r="F350" s="11">
        <f>VLOOKUP(B350,'ITEMS LIST'!$B$2:$F$19,4,FALSE)</f>
        <v>1000</v>
      </c>
      <c r="G350" s="11">
        <f>VLOOKUP(B350,'ITEMS LIST'!$B$2:$F$19,5,FALSE)</f>
        <v>768</v>
      </c>
      <c r="H350" s="11">
        <f t="shared" si="20"/>
        <v>0</v>
      </c>
      <c r="I350" s="11">
        <f t="shared" si="21"/>
        <v>0</v>
      </c>
      <c r="J350" s="11">
        <f t="shared" si="23"/>
        <v>0</v>
      </c>
    </row>
    <row r="351" spans="1:10" x14ac:dyDescent="0.3">
      <c r="A351" s="7">
        <v>44854.388888888607</v>
      </c>
      <c r="B351" s="8" t="s">
        <v>7</v>
      </c>
      <c r="C351" s="8">
        <v>0</v>
      </c>
      <c r="D351" t="str">
        <f t="shared" si="22"/>
        <v>Thursday</v>
      </c>
      <c r="E351">
        <v>43</v>
      </c>
      <c r="F351" s="11">
        <f>VLOOKUP(B351,'ITEMS LIST'!$B$2:$F$19,4,FALSE)</f>
        <v>680</v>
      </c>
      <c r="G351" s="11">
        <f>VLOOKUP(B351,'ITEMS LIST'!$B$2:$F$19,5,FALSE)</f>
        <v>570</v>
      </c>
      <c r="H351" s="11">
        <f t="shared" si="20"/>
        <v>0</v>
      </c>
      <c r="I351" s="11">
        <f t="shared" si="21"/>
        <v>0</v>
      </c>
      <c r="J351" s="11">
        <f t="shared" si="23"/>
        <v>0</v>
      </c>
    </row>
    <row r="352" spans="1:10" x14ac:dyDescent="0.3">
      <c r="A352" s="7">
        <v>44854.444444444161</v>
      </c>
      <c r="B352" s="8" t="s">
        <v>8</v>
      </c>
      <c r="C352" s="8">
        <v>0</v>
      </c>
      <c r="D352" t="str">
        <f t="shared" si="22"/>
        <v>Thursday</v>
      </c>
      <c r="E352">
        <v>43</v>
      </c>
      <c r="F352" s="11">
        <f>VLOOKUP(B352,'ITEMS LIST'!$B$2:$F$19,4,FALSE)</f>
        <v>199</v>
      </c>
      <c r="G352" s="11">
        <f>VLOOKUP(B352,'ITEMS LIST'!$B$2:$F$19,5,FALSE)</f>
        <v>140</v>
      </c>
      <c r="H352" s="11">
        <f t="shared" si="20"/>
        <v>0</v>
      </c>
      <c r="I352" s="11">
        <f t="shared" si="21"/>
        <v>0</v>
      </c>
      <c r="J352" s="11">
        <f t="shared" si="23"/>
        <v>0</v>
      </c>
    </row>
    <row r="353" spans="1:10" x14ac:dyDescent="0.3">
      <c r="A353" s="7">
        <v>44854.499999999716</v>
      </c>
      <c r="B353" s="8" t="s">
        <v>9</v>
      </c>
      <c r="C353" s="8">
        <v>0</v>
      </c>
      <c r="D353" t="str">
        <f t="shared" si="22"/>
        <v>Thursday</v>
      </c>
      <c r="E353">
        <v>43</v>
      </c>
      <c r="F353" s="11">
        <f>VLOOKUP(B353,'ITEMS LIST'!$B$2:$F$19,4,FALSE)</f>
        <v>219</v>
      </c>
      <c r="G353" s="11">
        <f>VLOOKUP(B353,'ITEMS LIST'!$B$2:$F$19,5,FALSE)</f>
        <v>132</v>
      </c>
      <c r="H353" s="11">
        <f t="shared" si="20"/>
        <v>0</v>
      </c>
      <c r="I353" s="11">
        <f t="shared" si="21"/>
        <v>0</v>
      </c>
      <c r="J353" s="11">
        <f t="shared" si="23"/>
        <v>0</v>
      </c>
    </row>
    <row r="354" spans="1:10" x14ac:dyDescent="0.3">
      <c r="A354" s="7">
        <v>44854.555555555271</v>
      </c>
      <c r="B354" s="8" t="s">
        <v>10</v>
      </c>
      <c r="C354" s="8">
        <v>0</v>
      </c>
      <c r="D354" t="str">
        <f t="shared" si="22"/>
        <v>Thursday</v>
      </c>
      <c r="E354">
        <v>43</v>
      </c>
      <c r="F354" s="11">
        <f>VLOOKUP(B354,'ITEMS LIST'!$B$2:$F$19,4,FALSE)</f>
        <v>1469</v>
      </c>
      <c r="G354" s="11">
        <f>VLOOKUP(B354,'ITEMS LIST'!$B$2:$F$19,5,FALSE)</f>
        <v>1184</v>
      </c>
      <c r="H354" s="11">
        <f t="shared" si="20"/>
        <v>0</v>
      </c>
      <c r="I354" s="11">
        <f t="shared" si="21"/>
        <v>0</v>
      </c>
      <c r="J354" s="11">
        <f t="shared" si="23"/>
        <v>0</v>
      </c>
    </row>
    <row r="355" spans="1:10" x14ac:dyDescent="0.3">
      <c r="A355" s="7">
        <v>44854.611111110826</v>
      </c>
      <c r="B355" s="8" t="s">
        <v>11</v>
      </c>
      <c r="C355" s="8">
        <v>0</v>
      </c>
      <c r="D355" t="str">
        <f t="shared" si="22"/>
        <v>Thursday</v>
      </c>
      <c r="E355">
        <v>43</v>
      </c>
      <c r="F355" s="11">
        <f>VLOOKUP(B355,'ITEMS LIST'!$B$2:$F$19,4,FALSE)</f>
        <v>89</v>
      </c>
      <c r="G355" s="11">
        <f>VLOOKUP(B355,'ITEMS LIST'!$B$2:$F$19,5,FALSE)</f>
        <v>59</v>
      </c>
      <c r="H355" s="11">
        <f t="shared" si="20"/>
        <v>0</v>
      </c>
      <c r="I355" s="11">
        <f t="shared" si="21"/>
        <v>0</v>
      </c>
      <c r="J355" s="11">
        <f t="shared" si="23"/>
        <v>0</v>
      </c>
    </row>
    <row r="356" spans="1:10" x14ac:dyDescent="0.3">
      <c r="A356" s="7">
        <v>44854.66666666638</v>
      </c>
      <c r="B356" s="8" t="s">
        <v>12</v>
      </c>
      <c r="C356" s="8">
        <v>0</v>
      </c>
      <c r="D356" t="str">
        <f t="shared" si="22"/>
        <v>Thursday</v>
      </c>
      <c r="E356">
        <v>43</v>
      </c>
      <c r="F356" s="11">
        <f>VLOOKUP(B356,'ITEMS LIST'!$B$2:$F$19,4,FALSE)</f>
        <v>310</v>
      </c>
      <c r="G356" s="11">
        <f>VLOOKUP(B356,'ITEMS LIST'!$B$2:$F$19,5,FALSE)</f>
        <v>206</v>
      </c>
      <c r="H356" s="11">
        <f t="shared" si="20"/>
        <v>0</v>
      </c>
      <c r="I356" s="11">
        <f t="shared" si="21"/>
        <v>0</v>
      </c>
      <c r="J356" s="11">
        <f t="shared" si="23"/>
        <v>0</v>
      </c>
    </row>
    <row r="357" spans="1:10" x14ac:dyDescent="0.3">
      <c r="A357" s="7">
        <v>44854.722222221935</v>
      </c>
      <c r="B357" s="8" t="s">
        <v>13</v>
      </c>
      <c r="C357" s="8">
        <v>0</v>
      </c>
      <c r="D357" t="str">
        <f t="shared" si="22"/>
        <v>Thursday</v>
      </c>
      <c r="E357">
        <v>43</v>
      </c>
      <c r="F357" s="11">
        <f>VLOOKUP(B357,'ITEMS LIST'!$B$2:$F$19,4,FALSE)</f>
        <v>540</v>
      </c>
      <c r="G357" s="11">
        <f>VLOOKUP(B357,'ITEMS LIST'!$B$2:$F$19,5,FALSE)</f>
        <v>397</v>
      </c>
      <c r="H357" s="11">
        <f t="shared" si="20"/>
        <v>0</v>
      </c>
      <c r="I357" s="11">
        <f t="shared" si="21"/>
        <v>0</v>
      </c>
      <c r="J357" s="11">
        <f t="shared" si="23"/>
        <v>0</v>
      </c>
    </row>
    <row r="358" spans="1:10" x14ac:dyDescent="0.3">
      <c r="A358" s="7">
        <v>44854.77777777749</v>
      </c>
      <c r="B358" s="8" t="s">
        <v>14</v>
      </c>
      <c r="C358" s="8">
        <v>0</v>
      </c>
      <c r="D358" t="str">
        <f t="shared" si="22"/>
        <v>Thursday</v>
      </c>
      <c r="E358">
        <v>43</v>
      </c>
      <c r="F358" s="11">
        <f>VLOOKUP(B358,'ITEMS LIST'!$B$2:$F$19,4,FALSE)</f>
        <v>360</v>
      </c>
      <c r="G358" s="11">
        <f>VLOOKUP(B358,'ITEMS LIST'!$B$2:$F$19,5,FALSE)</f>
        <v>248</v>
      </c>
      <c r="H358" s="11">
        <f t="shared" si="20"/>
        <v>0</v>
      </c>
      <c r="I358" s="11">
        <f t="shared" si="21"/>
        <v>0</v>
      </c>
      <c r="J358" s="11">
        <f t="shared" si="23"/>
        <v>0</v>
      </c>
    </row>
    <row r="359" spans="1:10" x14ac:dyDescent="0.3">
      <c r="A359" s="7">
        <v>44854.833333333045</v>
      </c>
      <c r="B359" s="8" t="s">
        <v>15</v>
      </c>
      <c r="C359" s="8">
        <v>0</v>
      </c>
      <c r="D359" t="str">
        <f t="shared" si="22"/>
        <v>Thursday</v>
      </c>
      <c r="E359">
        <v>43</v>
      </c>
      <c r="F359" s="11">
        <f>VLOOKUP(B359,'ITEMS LIST'!$B$2:$F$19,4,FALSE)</f>
        <v>250</v>
      </c>
      <c r="G359" s="11">
        <f>VLOOKUP(B359,'ITEMS LIST'!$B$2:$F$19,5,FALSE)</f>
        <v>190</v>
      </c>
      <c r="H359" s="11">
        <f t="shared" si="20"/>
        <v>0</v>
      </c>
      <c r="I359" s="11">
        <f t="shared" si="21"/>
        <v>0</v>
      </c>
      <c r="J359" s="11">
        <f t="shared" si="23"/>
        <v>0</v>
      </c>
    </row>
    <row r="360" spans="1:10" x14ac:dyDescent="0.3">
      <c r="A360" s="7">
        <v>44854.888888888599</v>
      </c>
      <c r="B360" s="8" t="s">
        <v>16</v>
      </c>
      <c r="C360" s="8">
        <v>0</v>
      </c>
      <c r="D360" t="str">
        <f t="shared" si="22"/>
        <v>Thursday</v>
      </c>
      <c r="E360">
        <v>43</v>
      </c>
      <c r="F360" s="11">
        <f>VLOOKUP(B360,'ITEMS LIST'!$B$2:$F$19,4,FALSE)</f>
        <v>120</v>
      </c>
      <c r="G360" s="11">
        <f>VLOOKUP(B360,'ITEMS LIST'!$B$2:$F$19,5,FALSE)</f>
        <v>85</v>
      </c>
      <c r="H360" s="11">
        <f t="shared" si="20"/>
        <v>0</v>
      </c>
      <c r="I360" s="11">
        <f t="shared" si="21"/>
        <v>0</v>
      </c>
      <c r="J360" s="11">
        <f t="shared" si="23"/>
        <v>0</v>
      </c>
    </row>
    <row r="361" spans="1:10" x14ac:dyDescent="0.3">
      <c r="A361" s="7">
        <v>44854.944444444154</v>
      </c>
      <c r="B361" s="8" t="s">
        <v>17</v>
      </c>
      <c r="C361" s="8">
        <v>0</v>
      </c>
      <c r="D361" t="str">
        <f t="shared" si="22"/>
        <v>Thursday</v>
      </c>
      <c r="E361">
        <v>43</v>
      </c>
      <c r="F361" s="11">
        <f>VLOOKUP(B361,'ITEMS LIST'!$B$2:$F$19,4,FALSE)</f>
        <v>80</v>
      </c>
      <c r="G361" s="11">
        <f>VLOOKUP(B361,'ITEMS LIST'!$B$2:$F$19,5,FALSE)</f>
        <v>55</v>
      </c>
      <c r="H361" s="11">
        <f t="shared" si="20"/>
        <v>0</v>
      </c>
      <c r="I361" s="11">
        <f t="shared" si="21"/>
        <v>0</v>
      </c>
      <c r="J361" s="11">
        <f t="shared" si="23"/>
        <v>0</v>
      </c>
    </row>
    <row r="362" spans="1:10" x14ac:dyDescent="0.3">
      <c r="A362" s="7">
        <v>44854.999999999709</v>
      </c>
      <c r="B362" s="8" t="s">
        <v>0</v>
      </c>
      <c r="C362" s="8">
        <v>0</v>
      </c>
      <c r="D362" t="str">
        <f t="shared" si="22"/>
        <v>Friday</v>
      </c>
      <c r="E362">
        <v>43</v>
      </c>
      <c r="F362" s="11">
        <f>VLOOKUP(B362,'ITEMS LIST'!$B$2:$F$19,4,FALSE)</f>
        <v>549</v>
      </c>
      <c r="G362" s="11">
        <f>VLOOKUP(B362,'ITEMS LIST'!$B$2:$F$19,5,FALSE)</f>
        <v>365</v>
      </c>
      <c r="H362" s="11">
        <f t="shared" si="20"/>
        <v>0</v>
      </c>
      <c r="I362" s="11">
        <f t="shared" si="21"/>
        <v>0</v>
      </c>
      <c r="J362" s="11">
        <f t="shared" si="23"/>
        <v>0</v>
      </c>
    </row>
    <row r="363" spans="1:10" x14ac:dyDescent="0.3">
      <c r="A363" s="7">
        <v>44855.055555555264</v>
      </c>
      <c r="B363" s="8" t="s">
        <v>1</v>
      </c>
      <c r="C363" s="8">
        <v>2</v>
      </c>
      <c r="D363" t="str">
        <f t="shared" si="22"/>
        <v>Friday</v>
      </c>
      <c r="E363">
        <v>43</v>
      </c>
      <c r="F363" s="11">
        <f>VLOOKUP(B363,'ITEMS LIST'!$B$2:$F$19,4,FALSE)</f>
        <v>699</v>
      </c>
      <c r="G363" s="11">
        <f>VLOOKUP(B363,'ITEMS LIST'!$B$2:$F$19,5,FALSE)</f>
        <v>550</v>
      </c>
      <c r="H363" s="11">
        <f t="shared" si="20"/>
        <v>1398</v>
      </c>
      <c r="I363" s="11">
        <f t="shared" si="21"/>
        <v>1100</v>
      </c>
      <c r="J363" s="11">
        <f t="shared" si="23"/>
        <v>298</v>
      </c>
    </row>
    <row r="364" spans="1:10" x14ac:dyDescent="0.3">
      <c r="A364" s="7">
        <v>44855.111111110818</v>
      </c>
      <c r="B364" s="8" t="s">
        <v>2</v>
      </c>
      <c r="C364" s="8">
        <v>4</v>
      </c>
      <c r="D364" t="str">
        <f t="shared" si="22"/>
        <v>Friday</v>
      </c>
      <c r="E364">
        <v>43</v>
      </c>
      <c r="F364" s="11">
        <f>VLOOKUP(B364,'ITEMS LIST'!$B$2:$F$19,4,FALSE)</f>
        <v>739</v>
      </c>
      <c r="G364" s="11">
        <f>VLOOKUP(B364,'ITEMS LIST'!$B$2:$F$19,5,FALSE)</f>
        <v>620</v>
      </c>
      <c r="H364" s="11">
        <f t="shared" si="20"/>
        <v>2956</v>
      </c>
      <c r="I364" s="11">
        <f t="shared" si="21"/>
        <v>2480</v>
      </c>
      <c r="J364" s="11">
        <f t="shared" si="23"/>
        <v>476</v>
      </c>
    </row>
    <row r="365" spans="1:10" x14ac:dyDescent="0.3">
      <c r="A365" s="7">
        <v>44855.166666666373</v>
      </c>
      <c r="B365" s="8" t="s">
        <v>3</v>
      </c>
      <c r="C365" s="8">
        <v>0</v>
      </c>
      <c r="D365" t="str">
        <f t="shared" si="22"/>
        <v>Friday</v>
      </c>
      <c r="E365">
        <v>43</v>
      </c>
      <c r="F365" s="11">
        <f>VLOOKUP(B365,'ITEMS LIST'!$B$2:$F$19,4,FALSE)</f>
        <v>899</v>
      </c>
      <c r="G365" s="11">
        <f>VLOOKUP(B365,'ITEMS LIST'!$B$2:$F$19,5,FALSE)</f>
        <v>714</v>
      </c>
      <c r="H365" s="11">
        <f t="shared" si="20"/>
        <v>0</v>
      </c>
      <c r="I365" s="11">
        <f t="shared" si="21"/>
        <v>0</v>
      </c>
      <c r="J365" s="11">
        <f t="shared" si="23"/>
        <v>0</v>
      </c>
    </row>
    <row r="366" spans="1:10" x14ac:dyDescent="0.3">
      <c r="A366" s="7">
        <v>44855.222222221928</v>
      </c>
      <c r="B366" s="8" t="s">
        <v>4</v>
      </c>
      <c r="C366" s="8">
        <v>0</v>
      </c>
      <c r="D366" t="str">
        <f t="shared" si="22"/>
        <v>Friday</v>
      </c>
      <c r="E366">
        <v>43</v>
      </c>
      <c r="F366" s="11">
        <f>VLOOKUP(B366,'ITEMS LIST'!$B$2:$F$19,4,FALSE)</f>
        <v>1379</v>
      </c>
      <c r="G366" s="11">
        <f>VLOOKUP(B366,'ITEMS LIST'!$B$2:$F$19,5,FALSE)</f>
        <v>890</v>
      </c>
      <c r="H366" s="11">
        <f t="shared" si="20"/>
        <v>0</v>
      </c>
      <c r="I366" s="11">
        <f t="shared" si="21"/>
        <v>0</v>
      </c>
      <c r="J366" s="11">
        <f t="shared" si="23"/>
        <v>0</v>
      </c>
    </row>
    <row r="367" spans="1:10" x14ac:dyDescent="0.3">
      <c r="A367" s="7">
        <v>44855.277777777483</v>
      </c>
      <c r="B367" s="8" t="s">
        <v>5</v>
      </c>
      <c r="C367" s="8">
        <v>6</v>
      </c>
      <c r="D367" t="str">
        <f t="shared" si="22"/>
        <v>Friday</v>
      </c>
      <c r="E367">
        <v>43</v>
      </c>
      <c r="F367" s="11">
        <f>VLOOKUP(B367,'ITEMS LIST'!$B$2:$F$19,4,FALSE)</f>
        <v>849</v>
      </c>
      <c r="G367" s="11">
        <f>VLOOKUP(B367,'ITEMS LIST'!$B$2:$F$19,5,FALSE)</f>
        <v>530</v>
      </c>
      <c r="H367" s="11">
        <f t="shared" si="20"/>
        <v>5094</v>
      </c>
      <c r="I367" s="11">
        <f t="shared" si="21"/>
        <v>3180</v>
      </c>
      <c r="J367" s="11">
        <f t="shared" si="23"/>
        <v>1914</v>
      </c>
    </row>
    <row r="368" spans="1:10" x14ac:dyDescent="0.3">
      <c r="A368" s="7">
        <v>44855.333333333037</v>
      </c>
      <c r="B368" s="8" t="s">
        <v>6</v>
      </c>
      <c r="C368" s="8">
        <v>0</v>
      </c>
      <c r="D368" t="str">
        <f t="shared" si="22"/>
        <v>Friday</v>
      </c>
      <c r="E368">
        <v>43</v>
      </c>
      <c r="F368" s="11">
        <f>VLOOKUP(B368,'ITEMS LIST'!$B$2:$F$19,4,FALSE)</f>
        <v>1000</v>
      </c>
      <c r="G368" s="11">
        <f>VLOOKUP(B368,'ITEMS LIST'!$B$2:$F$19,5,FALSE)</f>
        <v>768</v>
      </c>
      <c r="H368" s="11">
        <f t="shared" si="20"/>
        <v>0</v>
      </c>
      <c r="I368" s="11">
        <f t="shared" si="21"/>
        <v>0</v>
      </c>
      <c r="J368" s="11">
        <f t="shared" si="23"/>
        <v>0</v>
      </c>
    </row>
    <row r="369" spans="1:10" x14ac:dyDescent="0.3">
      <c r="A369" s="7">
        <v>44855.388888888592</v>
      </c>
      <c r="B369" s="8" t="s">
        <v>7</v>
      </c>
      <c r="C369" s="8">
        <v>0</v>
      </c>
      <c r="D369" t="str">
        <f t="shared" si="22"/>
        <v>Friday</v>
      </c>
      <c r="E369">
        <v>43</v>
      </c>
      <c r="F369" s="11">
        <f>VLOOKUP(B369,'ITEMS LIST'!$B$2:$F$19,4,FALSE)</f>
        <v>680</v>
      </c>
      <c r="G369" s="11">
        <f>VLOOKUP(B369,'ITEMS LIST'!$B$2:$F$19,5,FALSE)</f>
        <v>570</v>
      </c>
      <c r="H369" s="11">
        <f t="shared" si="20"/>
        <v>0</v>
      </c>
      <c r="I369" s="11">
        <f t="shared" si="21"/>
        <v>0</v>
      </c>
      <c r="J369" s="11">
        <f t="shared" si="23"/>
        <v>0</v>
      </c>
    </row>
    <row r="370" spans="1:10" x14ac:dyDescent="0.3">
      <c r="A370" s="7">
        <v>44855.444444444147</v>
      </c>
      <c r="B370" s="8" t="s">
        <v>8</v>
      </c>
      <c r="C370" s="8">
        <v>0</v>
      </c>
      <c r="D370" t="str">
        <f t="shared" si="22"/>
        <v>Friday</v>
      </c>
      <c r="E370">
        <v>43</v>
      </c>
      <c r="F370" s="11">
        <f>VLOOKUP(B370,'ITEMS LIST'!$B$2:$F$19,4,FALSE)</f>
        <v>199</v>
      </c>
      <c r="G370" s="11">
        <f>VLOOKUP(B370,'ITEMS LIST'!$B$2:$F$19,5,FALSE)</f>
        <v>140</v>
      </c>
      <c r="H370" s="11">
        <f t="shared" si="20"/>
        <v>0</v>
      </c>
      <c r="I370" s="11">
        <f t="shared" si="21"/>
        <v>0</v>
      </c>
      <c r="J370" s="11">
        <f t="shared" si="23"/>
        <v>0</v>
      </c>
    </row>
    <row r="371" spans="1:10" x14ac:dyDescent="0.3">
      <c r="A371" s="7">
        <v>44855.499999999702</v>
      </c>
      <c r="B371" s="8" t="s">
        <v>9</v>
      </c>
      <c r="C371" s="8">
        <v>0</v>
      </c>
      <c r="D371" t="str">
        <f t="shared" si="22"/>
        <v>Friday</v>
      </c>
      <c r="E371">
        <v>43</v>
      </c>
      <c r="F371" s="11">
        <f>VLOOKUP(B371,'ITEMS LIST'!$B$2:$F$19,4,FALSE)</f>
        <v>219</v>
      </c>
      <c r="G371" s="11">
        <f>VLOOKUP(B371,'ITEMS LIST'!$B$2:$F$19,5,FALSE)</f>
        <v>132</v>
      </c>
      <c r="H371" s="11">
        <f t="shared" si="20"/>
        <v>0</v>
      </c>
      <c r="I371" s="11">
        <f t="shared" si="21"/>
        <v>0</v>
      </c>
      <c r="J371" s="11">
        <f t="shared" si="23"/>
        <v>0</v>
      </c>
    </row>
    <row r="372" spans="1:10" x14ac:dyDescent="0.3">
      <c r="A372" s="7">
        <v>44855.555555555256</v>
      </c>
      <c r="B372" s="8" t="s">
        <v>10</v>
      </c>
      <c r="C372" s="8">
        <v>0</v>
      </c>
      <c r="D372" t="str">
        <f t="shared" si="22"/>
        <v>Friday</v>
      </c>
      <c r="E372">
        <v>43</v>
      </c>
      <c r="F372" s="11">
        <f>VLOOKUP(B372,'ITEMS LIST'!$B$2:$F$19,4,FALSE)</f>
        <v>1469</v>
      </c>
      <c r="G372" s="11">
        <f>VLOOKUP(B372,'ITEMS LIST'!$B$2:$F$19,5,FALSE)</f>
        <v>1184</v>
      </c>
      <c r="H372" s="11">
        <f t="shared" si="20"/>
        <v>0</v>
      </c>
      <c r="I372" s="11">
        <f t="shared" si="21"/>
        <v>0</v>
      </c>
      <c r="J372" s="11">
        <f t="shared" si="23"/>
        <v>0</v>
      </c>
    </row>
    <row r="373" spans="1:10" x14ac:dyDescent="0.3">
      <c r="A373" s="7">
        <v>44855.611111110811</v>
      </c>
      <c r="B373" s="8" t="s">
        <v>11</v>
      </c>
      <c r="C373" s="8">
        <v>0</v>
      </c>
      <c r="D373" t="str">
        <f t="shared" si="22"/>
        <v>Friday</v>
      </c>
      <c r="E373">
        <v>43</v>
      </c>
      <c r="F373" s="11">
        <f>VLOOKUP(B373,'ITEMS LIST'!$B$2:$F$19,4,FALSE)</f>
        <v>89</v>
      </c>
      <c r="G373" s="11">
        <f>VLOOKUP(B373,'ITEMS LIST'!$B$2:$F$19,5,FALSE)</f>
        <v>59</v>
      </c>
      <c r="H373" s="11">
        <f t="shared" si="20"/>
        <v>0</v>
      </c>
      <c r="I373" s="11">
        <f t="shared" si="21"/>
        <v>0</v>
      </c>
      <c r="J373" s="11">
        <f t="shared" si="23"/>
        <v>0</v>
      </c>
    </row>
    <row r="374" spans="1:10" x14ac:dyDescent="0.3">
      <c r="A374" s="7">
        <v>44855.666666666366</v>
      </c>
      <c r="B374" s="8" t="s">
        <v>12</v>
      </c>
      <c r="C374" s="8">
        <v>0</v>
      </c>
      <c r="D374" t="str">
        <f t="shared" si="22"/>
        <v>Friday</v>
      </c>
      <c r="E374">
        <v>43</v>
      </c>
      <c r="F374" s="11">
        <f>VLOOKUP(B374,'ITEMS LIST'!$B$2:$F$19,4,FALSE)</f>
        <v>310</v>
      </c>
      <c r="G374" s="11">
        <f>VLOOKUP(B374,'ITEMS LIST'!$B$2:$F$19,5,FALSE)</f>
        <v>206</v>
      </c>
      <c r="H374" s="11">
        <f t="shared" si="20"/>
        <v>0</v>
      </c>
      <c r="I374" s="11">
        <f t="shared" si="21"/>
        <v>0</v>
      </c>
      <c r="J374" s="11">
        <f t="shared" si="23"/>
        <v>0</v>
      </c>
    </row>
    <row r="375" spans="1:10" x14ac:dyDescent="0.3">
      <c r="A375" s="7">
        <v>44855.722222221921</v>
      </c>
      <c r="B375" s="8" t="s">
        <v>13</v>
      </c>
      <c r="C375" s="8">
        <v>0</v>
      </c>
      <c r="D375" t="str">
        <f t="shared" si="22"/>
        <v>Friday</v>
      </c>
      <c r="E375">
        <v>43</v>
      </c>
      <c r="F375" s="11">
        <f>VLOOKUP(B375,'ITEMS LIST'!$B$2:$F$19,4,FALSE)</f>
        <v>540</v>
      </c>
      <c r="G375" s="11">
        <f>VLOOKUP(B375,'ITEMS LIST'!$B$2:$F$19,5,FALSE)</f>
        <v>397</v>
      </c>
      <c r="H375" s="11">
        <f t="shared" si="20"/>
        <v>0</v>
      </c>
      <c r="I375" s="11">
        <f t="shared" si="21"/>
        <v>0</v>
      </c>
      <c r="J375" s="11">
        <f t="shared" si="23"/>
        <v>0</v>
      </c>
    </row>
    <row r="376" spans="1:10" x14ac:dyDescent="0.3">
      <c r="A376" s="7">
        <v>44855.777777777475</v>
      </c>
      <c r="B376" s="8" t="s">
        <v>14</v>
      </c>
      <c r="C376" s="8">
        <v>0</v>
      </c>
      <c r="D376" t="str">
        <f t="shared" si="22"/>
        <v>Friday</v>
      </c>
      <c r="E376">
        <v>43</v>
      </c>
      <c r="F376" s="11">
        <f>VLOOKUP(B376,'ITEMS LIST'!$B$2:$F$19,4,FALSE)</f>
        <v>360</v>
      </c>
      <c r="G376" s="11">
        <f>VLOOKUP(B376,'ITEMS LIST'!$B$2:$F$19,5,FALSE)</f>
        <v>248</v>
      </c>
      <c r="H376" s="11">
        <f t="shared" si="20"/>
        <v>0</v>
      </c>
      <c r="I376" s="11">
        <f t="shared" si="21"/>
        <v>0</v>
      </c>
      <c r="J376" s="11">
        <f t="shared" si="23"/>
        <v>0</v>
      </c>
    </row>
    <row r="377" spans="1:10" x14ac:dyDescent="0.3">
      <c r="A377" s="7">
        <v>44855.83333333303</v>
      </c>
      <c r="B377" s="8" t="s">
        <v>15</v>
      </c>
      <c r="C377" s="8">
        <v>0</v>
      </c>
      <c r="D377" t="str">
        <f t="shared" si="22"/>
        <v>Friday</v>
      </c>
      <c r="E377">
        <v>43</v>
      </c>
      <c r="F377" s="11">
        <f>VLOOKUP(B377,'ITEMS LIST'!$B$2:$F$19,4,FALSE)</f>
        <v>250</v>
      </c>
      <c r="G377" s="11">
        <f>VLOOKUP(B377,'ITEMS LIST'!$B$2:$F$19,5,FALSE)</f>
        <v>190</v>
      </c>
      <c r="H377" s="11">
        <f t="shared" si="20"/>
        <v>0</v>
      </c>
      <c r="I377" s="11">
        <f t="shared" si="21"/>
        <v>0</v>
      </c>
      <c r="J377" s="11">
        <f t="shared" si="23"/>
        <v>0</v>
      </c>
    </row>
    <row r="378" spans="1:10" x14ac:dyDescent="0.3">
      <c r="A378" s="7">
        <v>44855.888888888585</v>
      </c>
      <c r="B378" s="8" t="s">
        <v>16</v>
      </c>
      <c r="C378" s="8">
        <v>0</v>
      </c>
      <c r="D378" t="str">
        <f t="shared" si="22"/>
        <v>Friday</v>
      </c>
      <c r="E378">
        <v>43</v>
      </c>
      <c r="F378" s="11">
        <f>VLOOKUP(B378,'ITEMS LIST'!$B$2:$F$19,4,FALSE)</f>
        <v>120</v>
      </c>
      <c r="G378" s="11">
        <f>VLOOKUP(B378,'ITEMS LIST'!$B$2:$F$19,5,FALSE)</f>
        <v>85</v>
      </c>
      <c r="H378" s="11">
        <f t="shared" si="20"/>
        <v>0</v>
      </c>
      <c r="I378" s="11">
        <f t="shared" si="21"/>
        <v>0</v>
      </c>
      <c r="J378" s="11">
        <f t="shared" si="23"/>
        <v>0</v>
      </c>
    </row>
    <row r="379" spans="1:10" x14ac:dyDescent="0.3">
      <c r="A379" s="7">
        <v>44855.94444444414</v>
      </c>
      <c r="B379" s="8" t="s">
        <v>17</v>
      </c>
      <c r="C379" s="8">
        <v>0</v>
      </c>
      <c r="D379" t="str">
        <f t="shared" si="22"/>
        <v>Friday</v>
      </c>
      <c r="E379">
        <v>43</v>
      </c>
      <c r="F379" s="11">
        <f>VLOOKUP(B379,'ITEMS LIST'!$B$2:$F$19,4,FALSE)</f>
        <v>80</v>
      </c>
      <c r="G379" s="11">
        <f>VLOOKUP(B379,'ITEMS LIST'!$B$2:$F$19,5,FALSE)</f>
        <v>55</v>
      </c>
      <c r="H379" s="11">
        <f t="shared" si="20"/>
        <v>0</v>
      </c>
      <c r="I379" s="11">
        <f t="shared" si="21"/>
        <v>0</v>
      </c>
      <c r="J379" s="11">
        <f t="shared" si="23"/>
        <v>0</v>
      </c>
    </row>
    <row r="380" spans="1:10" x14ac:dyDescent="0.3">
      <c r="A380" s="7">
        <v>44855.999999999694</v>
      </c>
      <c r="B380" s="8" t="s">
        <v>0</v>
      </c>
      <c r="C380" s="8">
        <v>0</v>
      </c>
      <c r="D380" t="str">
        <f t="shared" si="22"/>
        <v>Saturday</v>
      </c>
      <c r="E380">
        <v>43</v>
      </c>
      <c r="F380" s="11">
        <f>VLOOKUP(B380,'ITEMS LIST'!$B$2:$F$19,4,FALSE)</f>
        <v>549</v>
      </c>
      <c r="G380" s="11">
        <f>VLOOKUP(B380,'ITEMS LIST'!$B$2:$F$19,5,FALSE)</f>
        <v>365</v>
      </c>
      <c r="H380" s="11">
        <f t="shared" si="20"/>
        <v>0</v>
      </c>
      <c r="I380" s="11">
        <f t="shared" si="21"/>
        <v>0</v>
      </c>
      <c r="J380" s="11">
        <f t="shared" si="23"/>
        <v>0</v>
      </c>
    </row>
    <row r="381" spans="1:10" x14ac:dyDescent="0.3">
      <c r="A381" s="7">
        <v>44856.055555555249</v>
      </c>
      <c r="B381" s="8" t="s">
        <v>1</v>
      </c>
      <c r="C381" s="8">
        <v>1</v>
      </c>
      <c r="D381" t="str">
        <f t="shared" si="22"/>
        <v>Saturday</v>
      </c>
      <c r="E381">
        <v>43</v>
      </c>
      <c r="F381" s="11">
        <f>VLOOKUP(B381,'ITEMS LIST'!$B$2:$F$19,4,FALSE)</f>
        <v>699</v>
      </c>
      <c r="G381" s="11">
        <f>VLOOKUP(B381,'ITEMS LIST'!$B$2:$F$19,5,FALSE)</f>
        <v>550</v>
      </c>
      <c r="H381" s="11">
        <f t="shared" si="20"/>
        <v>699</v>
      </c>
      <c r="I381" s="11">
        <f t="shared" si="21"/>
        <v>550</v>
      </c>
      <c r="J381" s="11">
        <f t="shared" si="23"/>
        <v>149</v>
      </c>
    </row>
    <row r="382" spans="1:10" x14ac:dyDescent="0.3">
      <c r="A382" s="7">
        <v>44856.111111110804</v>
      </c>
      <c r="B382" s="8" t="s">
        <v>2</v>
      </c>
      <c r="C382" s="8">
        <v>1</v>
      </c>
      <c r="D382" t="str">
        <f t="shared" si="22"/>
        <v>Saturday</v>
      </c>
      <c r="E382">
        <v>43</v>
      </c>
      <c r="F382" s="11">
        <f>VLOOKUP(B382,'ITEMS LIST'!$B$2:$F$19,4,FALSE)</f>
        <v>739</v>
      </c>
      <c r="G382" s="11">
        <f>VLOOKUP(B382,'ITEMS LIST'!$B$2:$F$19,5,FALSE)</f>
        <v>620</v>
      </c>
      <c r="H382" s="11">
        <f t="shared" si="20"/>
        <v>739</v>
      </c>
      <c r="I382" s="11">
        <f t="shared" si="21"/>
        <v>620</v>
      </c>
      <c r="J382" s="11">
        <f t="shared" si="23"/>
        <v>119</v>
      </c>
    </row>
    <row r="383" spans="1:10" x14ac:dyDescent="0.3">
      <c r="A383" s="7">
        <v>44856.166666666359</v>
      </c>
      <c r="B383" s="8" t="s">
        <v>3</v>
      </c>
      <c r="C383" s="8">
        <v>0</v>
      </c>
      <c r="D383" t="str">
        <f t="shared" si="22"/>
        <v>Saturday</v>
      </c>
      <c r="E383">
        <v>43</v>
      </c>
      <c r="F383" s="11">
        <f>VLOOKUP(B383,'ITEMS LIST'!$B$2:$F$19,4,FALSE)</f>
        <v>899</v>
      </c>
      <c r="G383" s="11">
        <f>VLOOKUP(B383,'ITEMS LIST'!$B$2:$F$19,5,FALSE)</f>
        <v>714</v>
      </c>
      <c r="H383" s="11">
        <f t="shared" si="20"/>
        <v>0</v>
      </c>
      <c r="I383" s="11">
        <f t="shared" si="21"/>
        <v>0</v>
      </c>
      <c r="J383" s="11">
        <f t="shared" si="23"/>
        <v>0</v>
      </c>
    </row>
    <row r="384" spans="1:10" x14ac:dyDescent="0.3">
      <c r="A384" s="7">
        <v>44856.222222221913</v>
      </c>
      <c r="B384" s="8" t="s">
        <v>4</v>
      </c>
      <c r="C384" s="8">
        <v>0</v>
      </c>
      <c r="D384" t="str">
        <f t="shared" si="22"/>
        <v>Saturday</v>
      </c>
      <c r="E384">
        <v>43</v>
      </c>
      <c r="F384" s="11">
        <f>VLOOKUP(B384,'ITEMS LIST'!$B$2:$F$19,4,FALSE)</f>
        <v>1379</v>
      </c>
      <c r="G384" s="11">
        <f>VLOOKUP(B384,'ITEMS LIST'!$B$2:$F$19,5,FALSE)</f>
        <v>890</v>
      </c>
      <c r="H384" s="11">
        <f t="shared" si="20"/>
        <v>0</v>
      </c>
      <c r="I384" s="11">
        <f t="shared" si="21"/>
        <v>0</v>
      </c>
      <c r="J384" s="11">
        <f t="shared" si="23"/>
        <v>0</v>
      </c>
    </row>
    <row r="385" spans="1:10" x14ac:dyDescent="0.3">
      <c r="A385" s="7">
        <v>44856.277777777468</v>
      </c>
      <c r="B385" s="8" t="s">
        <v>5</v>
      </c>
      <c r="C385" s="8">
        <v>0</v>
      </c>
      <c r="D385" t="str">
        <f t="shared" si="22"/>
        <v>Saturday</v>
      </c>
      <c r="E385">
        <v>43</v>
      </c>
      <c r="F385" s="11">
        <f>VLOOKUP(B385,'ITEMS LIST'!$B$2:$F$19,4,FALSE)</f>
        <v>849</v>
      </c>
      <c r="G385" s="11">
        <f>VLOOKUP(B385,'ITEMS LIST'!$B$2:$F$19,5,FALSE)</f>
        <v>530</v>
      </c>
      <c r="H385" s="11">
        <f t="shared" si="20"/>
        <v>0</v>
      </c>
      <c r="I385" s="11">
        <f t="shared" si="21"/>
        <v>0</v>
      </c>
      <c r="J385" s="11">
        <f t="shared" si="23"/>
        <v>0</v>
      </c>
    </row>
    <row r="386" spans="1:10" x14ac:dyDescent="0.3">
      <c r="A386" s="7">
        <v>44856.333333333023</v>
      </c>
      <c r="B386" s="8" t="s">
        <v>6</v>
      </c>
      <c r="C386" s="8">
        <v>0</v>
      </c>
      <c r="D386" t="str">
        <f t="shared" si="22"/>
        <v>Saturday</v>
      </c>
      <c r="E386">
        <v>43</v>
      </c>
      <c r="F386" s="11">
        <f>VLOOKUP(B386,'ITEMS LIST'!$B$2:$F$19,4,FALSE)</f>
        <v>1000</v>
      </c>
      <c r="G386" s="11">
        <f>VLOOKUP(B386,'ITEMS LIST'!$B$2:$F$19,5,FALSE)</f>
        <v>768</v>
      </c>
      <c r="H386" s="11">
        <f t="shared" ref="H386:H449" si="24">C386*F386</f>
        <v>0</v>
      </c>
      <c r="I386" s="11">
        <f t="shared" ref="I386:I449" si="25">C386*G386</f>
        <v>0</v>
      </c>
      <c r="J386" s="11">
        <f t="shared" si="23"/>
        <v>0</v>
      </c>
    </row>
    <row r="387" spans="1:10" x14ac:dyDescent="0.3">
      <c r="A387" s="7">
        <v>44856.388888888578</v>
      </c>
      <c r="B387" s="8" t="s">
        <v>7</v>
      </c>
      <c r="C387" s="8">
        <v>1</v>
      </c>
      <c r="D387" t="str">
        <f t="shared" ref="D387:D450" si="26">TEXT(A387,"dddd")</f>
        <v>Saturday</v>
      </c>
      <c r="E387">
        <v>43</v>
      </c>
      <c r="F387" s="11">
        <f>VLOOKUP(B387,'ITEMS LIST'!$B$2:$F$19,4,FALSE)</f>
        <v>680</v>
      </c>
      <c r="G387" s="11">
        <f>VLOOKUP(B387,'ITEMS LIST'!$B$2:$F$19,5,FALSE)</f>
        <v>570</v>
      </c>
      <c r="H387" s="11">
        <f t="shared" si="24"/>
        <v>680</v>
      </c>
      <c r="I387" s="11">
        <f t="shared" si="25"/>
        <v>570</v>
      </c>
      <c r="J387" s="11">
        <f t="shared" ref="J387:J450" si="27">H387-I387</f>
        <v>110</v>
      </c>
    </row>
    <row r="388" spans="1:10" x14ac:dyDescent="0.3">
      <c r="A388" s="7">
        <v>44856.444444444132</v>
      </c>
      <c r="B388" s="8" t="s">
        <v>8</v>
      </c>
      <c r="C388" s="8">
        <v>0</v>
      </c>
      <c r="D388" t="str">
        <f t="shared" si="26"/>
        <v>Saturday</v>
      </c>
      <c r="E388">
        <v>43</v>
      </c>
      <c r="F388" s="11">
        <f>VLOOKUP(B388,'ITEMS LIST'!$B$2:$F$19,4,FALSE)</f>
        <v>199</v>
      </c>
      <c r="G388" s="11">
        <f>VLOOKUP(B388,'ITEMS LIST'!$B$2:$F$19,5,FALSE)</f>
        <v>140</v>
      </c>
      <c r="H388" s="11">
        <f t="shared" si="24"/>
        <v>0</v>
      </c>
      <c r="I388" s="11">
        <f t="shared" si="25"/>
        <v>0</v>
      </c>
      <c r="J388" s="11">
        <f t="shared" si="27"/>
        <v>0</v>
      </c>
    </row>
    <row r="389" spans="1:10" x14ac:dyDescent="0.3">
      <c r="A389" s="7">
        <v>44856.499999999687</v>
      </c>
      <c r="B389" s="8" t="s">
        <v>9</v>
      </c>
      <c r="C389" s="8">
        <v>0</v>
      </c>
      <c r="D389" t="str">
        <f t="shared" si="26"/>
        <v>Saturday</v>
      </c>
      <c r="E389">
        <v>43</v>
      </c>
      <c r="F389" s="11">
        <f>VLOOKUP(B389,'ITEMS LIST'!$B$2:$F$19,4,FALSE)</f>
        <v>219</v>
      </c>
      <c r="G389" s="11">
        <f>VLOOKUP(B389,'ITEMS LIST'!$B$2:$F$19,5,FALSE)</f>
        <v>132</v>
      </c>
      <c r="H389" s="11">
        <f t="shared" si="24"/>
        <v>0</v>
      </c>
      <c r="I389" s="11">
        <f t="shared" si="25"/>
        <v>0</v>
      </c>
      <c r="J389" s="11">
        <f t="shared" si="27"/>
        <v>0</v>
      </c>
    </row>
    <row r="390" spans="1:10" x14ac:dyDescent="0.3">
      <c r="A390" s="7">
        <v>44856.555555555242</v>
      </c>
      <c r="B390" s="8" t="s">
        <v>10</v>
      </c>
      <c r="C390" s="8">
        <v>1</v>
      </c>
      <c r="D390" t="str">
        <f t="shared" si="26"/>
        <v>Saturday</v>
      </c>
      <c r="E390">
        <v>43</v>
      </c>
      <c r="F390" s="11">
        <f>VLOOKUP(B390,'ITEMS LIST'!$B$2:$F$19,4,FALSE)</f>
        <v>1469</v>
      </c>
      <c r="G390" s="11">
        <f>VLOOKUP(B390,'ITEMS LIST'!$B$2:$F$19,5,FALSE)</f>
        <v>1184</v>
      </c>
      <c r="H390" s="11">
        <f t="shared" si="24"/>
        <v>1469</v>
      </c>
      <c r="I390" s="11">
        <f t="shared" si="25"/>
        <v>1184</v>
      </c>
      <c r="J390" s="11">
        <f t="shared" si="27"/>
        <v>285</v>
      </c>
    </row>
    <row r="391" spans="1:10" x14ac:dyDescent="0.3">
      <c r="A391" s="7">
        <v>44856.611111110797</v>
      </c>
      <c r="B391" s="8" t="s">
        <v>11</v>
      </c>
      <c r="C391" s="8">
        <v>0</v>
      </c>
      <c r="D391" t="str">
        <f t="shared" si="26"/>
        <v>Saturday</v>
      </c>
      <c r="E391">
        <v>43</v>
      </c>
      <c r="F391" s="11">
        <f>VLOOKUP(B391,'ITEMS LIST'!$B$2:$F$19,4,FALSE)</f>
        <v>89</v>
      </c>
      <c r="G391" s="11">
        <f>VLOOKUP(B391,'ITEMS LIST'!$B$2:$F$19,5,FALSE)</f>
        <v>59</v>
      </c>
      <c r="H391" s="11">
        <f t="shared" si="24"/>
        <v>0</v>
      </c>
      <c r="I391" s="11">
        <f t="shared" si="25"/>
        <v>0</v>
      </c>
      <c r="J391" s="11">
        <f t="shared" si="27"/>
        <v>0</v>
      </c>
    </row>
    <row r="392" spans="1:10" x14ac:dyDescent="0.3">
      <c r="A392" s="7">
        <v>44856.666666666351</v>
      </c>
      <c r="B392" s="8" t="s">
        <v>12</v>
      </c>
      <c r="C392" s="8">
        <v>0</v>
      </c>
      <c r="D392" t="str">
        <f t="shared" si="26"/>
        <v>Saturday</v>
      </c>
      <c r="E392">
        <v>43</v>
      </c>
      <c r="F392" s="11">
        <f>VLOOKUP(B392,'ITEMS LIST'!$B$2:$F$19,4,FALSE)</f>
        <v>310</v>
      </c>
      <c r="G392" s="11">
        <f>VLOOKUP(B392,'ITEMS LIST'!$B$2:$F$19,5,FALSE)</f>
        <v>206</v>
      </c>
      <c r="H392" s="11">
        <f t="shared" si="24"/>
        <v>0</v>
      </c>
      <c r="I392" s="11">
        <f t="shared" si="25"/>
        <v>0</v>
      </c>
      <c r="J392" s="11">
        <f t="shared" si="27"/>
        <v>0</v>
      </c>
    </row>
    <row r="393" spans="1:10" x14ac:dyDescent="0.3">
      <c r="A393" s="7">
        <v>44856.722222221906</v>
      </c>
      <c r="B393" s="8" t="s">
        <v>13</v>
      </c>
      <c r="C393" s="8">
        <v>0</v>
      </c>
      <c r="D393" t="str">
        <f t="shared" si="26"/>
        <v>Saturday</v>
      </c>
      <c r="E393">
        <v>43</v>
      </c>
      <c r="F393" s="11">
        <f>VLOOKUP(B393,'ITEMS LIST'!$B$2:$F$19,4,FALSE)</f>
        <v>540</v>
      </c>
      <c r="G393" s="11">
        <f>VLOOKUP(B393,'ITEMS LIST'!$B$2:$F$19,5,FALSE)</f>
        <v>397</v>
      </c>
      <c r="H393" s="11">
        <f t="shared" si="24"/>
        <v>0</v>
      </c>
      <c r="I393" s="11">
        <f t="shared" si="25"/>
        <v>0</v>
      </c>
      <c r="J393" s="11">
        <f t="shared" si="27"/>
        <v>0</v>
      </c>
    </row>
    <row r="394" spans="1:10" x14ac:dyDescent="0.3">
      <c r="A394" s="7">
        <v>44856.777777777461</v>
      </c>
      <c r="B394" s="8" t="s">
        <v>14</v>
      </c>
      <c r="C394" s="8">
        <v>0</v>
      </c>
      <c r="D394" t="str">
        <f t="shared" si="26"/>
        <v>Saturday</v>
      </c>
      <c r="E394">
        <v>43</v>
      </c>
      <c r="F394" s="11">
        <f>VLOOKUP(B394,'ITEMS LIST'!$B$2:$F$19,4,FALSE)</f>
        <v>360</v>
      </c>
      <c r="G394" s="11">
        <f>VLOOKUP(B394,'ITEMS LIST'!$B$2:$F$19,5,FALSE)</f>
        <v>248</v>
      </c>
      <c r="H394" s="11">
        <f t="shared" si="24"/>
        <v>0</v>
      </c>
      <c r="I394" s="11">
        <f t="shared" si="25"/>
        <v>0</v>
      </c>
      <c r="J394" s="11">
        <f t="shared" si="27"/>
        <v>0</v>
      </c>
    </row>
    <row r="395" spans="1:10" x14ac:dyDescent="0.3">
      <c r="A395" s="7">
        <v>44856.833333333016</v>
      </c>
      <c r="B395" s="8" t="s">
        <v>15</v>
      </c>
      <c r="C395" s="8">
        <v>0</v>
      </c>
      <c r="D395" t="str">
        <f t="shared" si="26"/>
        <v>Saturday</v>
      </c>
      <c r="E395">
        <v>43</v>
      </c>
      <c r="F395" s="11">
        <f>VLOOKUP(B395,'ITEMS LIST'!$B$2:$F$19,4,FALSE)</f>
        <v>250</v>
      </c>
      <c r="G395" s="11">
        <f>VLOOKUP(B395,'ITEMS LIST'!$B$2:$F$19,5,FALSE)</f>
        <v>190</v>
      </c>
      <c r="H395" s="11">
        <f t="shared" si="24"/>
        <v>0</v>
      </c>
      <c r="I395" s="11">
        <f t="shared" si="25"/>
        <v>0</v>
      </c>
      <c r="J395" s="11">
        <f t="shared" si="27"/>
        <v>0</v>
      </c>
    </row>
    <row r="396" spans="1:10" x14ac:dyDescent="0.3">
      <c r="A396" s="7">
        <v>44856.88888888857</v>
      </c>
      <c r="B396" s="8" t="s">
        <v>16</v>
      </c>
      <c r="C396" s="8">
        <v>0</v>
      </c>
      <c r="D396" t="str">
        <f t="shared" si="26"/>
        <v>Saturday</v>
      </c>
      <c r="E396">
        <v>43</v>
      </c>
      <c r="F396" s="11">
        <f>VLOOKUP(B396,'ITEMS LIST'!$B$2:$F$19,4,FALSE)</f>
        <v>120</v>
      </c>
      <c r="G396" s="11">
        <f>VLOOKUP(B396,'ITEMS LIST'!$B$2:$F$19,5,FALSE)</f>
        <v>85</v>
      </c>
      <c r="H396" s="11">
        <f t="shared" si="24"/>
        <v>0</v>
      </c>
      <c r="I396" s="11">
        <f t="shared" si="25"/>
        <v>0</v>
      </c>
      <c r="J396" s="11">
        <f t="shared" si="27"/>
        <v>0</v>
      </c>
    </row>
    <row r="397" spans="1:10" x14ac:dyDescent="0.3">
      <c r="A397" s="7">
        <v>44856.944444444125</v>
      </c>
      <c r="B397" s="8" t="s">
        <v>17</v>
      </c>
      <c r="C397" s="8">
        <v>0</v>
      </c>
      <c r="D397" t="str">
        <f t="shared" si="26"/>
        <v>Saturday</v>
      </c>
      <c r="E397">
        <v>43</v>
      </c>
      <c r="F397" s="11">
        <f>VLOOKUP(B397,'ITEMS LIST'!$B$2:$F$19,4,FALSE)</f>
        <v>80</v>
      </c>
      <c r="G397" s="11">
        <f>VLOOKUP(B397,'ITEMS LIST'!$B$2:$F$19,5,FALSE)</f>
        <v>55</v>
      </c>
      <c r="H397" s="11">
        <f t="shared" si="24"/>
        <v>0</v>
      </c>
      <c r="I397" s="11">
        <f t="shared" si="25"/>
        <v>0</v>
      </c>
      <c r="J397" s="11">
        <f t="shared" si="27"/>
        <v>0</v>
      </c>
    </row>
    <row r="398" spans="1:10" x14ac:dyDescent="0.3">
      <c r="A398" s="7">
        <v>44856.99999999968</v>
      </c>
      <c r="B398" s="8" t="s">
        <v>0</v>
      </c>
      <c r="C398" s="8">
        <v>0</v>
      </c>
      <c r="D398" t="str">
        <f t="shared" si="26"/>
        <v>Sunday</v>
      </c>
      <c r="E398">
        <v>44</v>
      </c>
      <c r="F398" s="11">
        <f>VLOOKUP(B398,'ITEMS LIST'!$B$2:$F$19,4,FALSE)</f>
        <v>549</v>
      </c>
      <c r="G398" s="11">
        <f>VLOOKUP(B398,'ITEMS LIST'!$B$2:$F$19,5,FALSE)</f>
        <v>365</v>
      </c>
      <c r="H398" s="11">
        <f t="shared" si="24"/>
        <v>0</v>
      </c>
      <c r="I398" s="11">
        <f t="shared" si="25"/>
        <v>0</v>
      </c>
      <c r="J398" s="11">
        <f t="shared" si="27"/>
        <v>0</v>
      </c>
    </row>
    <row r="399" spans="1:10" x14ac:dyDescent="0.3">
      <c r="A399" s="7">
        <v>44857.055555555235</v>
      </c>
      <c r="B399" s="8" t="s">
        <v>1</v>
      </c>
      <c r="C399" s="8">
        <v>0</v>
      </c>
      <c r="D399" t="str">
        <f t="shared" si="26"/>
        <v>Sunday</v>
      </c>
      <c r="E399">
        <v>44</v>
      </c>
      <c r="F399" s="11">
        <f>VLOOKUP(B399,'ITEMS LIST'!$B$2:$F$19,4,FALSE)</f>
        <v>699</v>
      </c>
      <c r="G399" s="11">
        <f>VLOOKUP(B399,'ITEMS LIST'!$B$2:$F$19,5,FALSE)</f>
        <v>550</v>
      </c>
      <c r="H399" s="11">
        <f t="shared" si="24"/>
        <v>0</v>
      </c>
      <c r="I399" s="11">
        <f t="shared" si="25"/>
        <v>0</v>
      </c>
      <c r="J399" s="11">
        <f t="shared" si="27"/>
        <v>0</v>
      </c>
    </row>
    <row r="400" spans="1:10" x14ac:dyDescent="0.3">
      <c r="A400" s="7">
        <v>44857.111111110789</v>
      </c>
      <c r="B400" s="8" t="s">
        <v>2</v>
      </c>
      <c r="C400" s="8">
        <v>0</v>
      </c>
      <c r="D400" t="str">
        <f t="shared" si="26"/>
        <v>Sunday</v>
      </c>
      <c r="E400">
        <v>44</v>
      </c>
      <c r="F400" s="11">
        <f>VLOOKUP(B400,'ITEMS LIST'!$B$2:$F$19,4,FALSE)</f>
        <v>739</v>
      </c>
      <c r="G400" s="11">
        <f>VLOOKUP(B400,'ITEMS LIST'!$B$2:$F$19,5,FALSE)</f>
        <v>620</v>
      </c>
      <c r="H400" s="11">
        <f t="shared" si="24"/>
        <v>0</v>
      </c>
      <c r="I400" s="11">
        <f t="shared" si="25"/>
        <v>0</v>
      </c>
      <c r="J400" s="11">
        <f t="shared" si="27"/>
        <v>0</v>
      </c>
    </row>
    <row r="401" spans="1:10" x14ac:dyDescent="0.3">
      <c r="A401" s="7">
        <v>44857.166666666344</v>
      </c>
      <c r="B401" s="8" t="s">
        <v>3</v>
      </c>
      <c r="C401" s="8">
        <v>0</v>
      </c>
      <c r="D401" t="str">
        <f t="shared" si="26"/>
        <v>Sunday</v>
      </c>
      <c r="E401">
        <v>44</v>
      </c>
      <c r="F401" s="11">
        <f>VLOOKUP(B401,'ITEMS LIST'!$B$2:$F$19,4,FALSE)</f>
        <v>899</v>
      </c>
      <c r="G401" s="11">
        <f>VLOOKUP(B401,'ITEMS LIST'!$B$2:$F$19,5,FALSE)</f>
        <v>714</v>
      </c>
      <c r="H401" s="11">
        <f t="shared" si="24"/>
        <v>0</v>
      </c>
      <c r="I401" s="11">
        <f t="shared" si="25"/>
        <v>0</v>
      </c>
      <c r="J401" s="11">
        <f t="shared" si="27"/>
        <v>0</v>
      </c>
    </row>
    <row r="402" spans="1:10" x14ac:dyDescent="0.3">
      <c r="A402" s="7">
        <v>44857.222222221899</v>
      </c>
      <c r="B402" s="8" t="s">
        <v>4</v>
      </c>
      <c r="C402" s="8">
        <v>0</v>
      </c>
      <c r="D402" t="str">
        <f t="shared" si="26"/>
        <v>Sunday</v>
      </c>
      <c r="E402">
        <v>44</v>
      </c>
      <c r="F402" s="11">
        <f>VLOOKUP(B402,'ITEMS LIST'!$B$2:$F$19,4,FALSE)</f>
        <v>1379</v>
      </c>
      <c r="G402" s="11">
        <f>VLOOKUP(B402,'ITEMS LIST'!$B$2:$F$19,5,FALSE)</f>
        <v>890</v>
      </c>
      <c r="H402" s="11">
        <f t="shared" si="24"/>
        <v>0</v>
      </c>
      <c r="I402" s="11">
        <f t="shared" si="25"/>
        <v>0</v>
      </c>
      <c r="J402" s="11">
        <f t="shared" si="27"/>
        <v>0</v>
      </c>
    </row>
    <row r="403" spans="1:10" x14ac:dyDescent="0.3">
      <c r="A403" s="7">
        <v>44857.277777777454</v>
      </c>
      <c r="B403" s="8" t="s">
        <v>5</v>
      </c>
      <c r="C403" s="8">
        <v>0</v>
      </c>
      <c r="D403" t="str">
        <f t="shared" si="26"/>
        <v>Sunday</v>
      </c>
      <c r="E403">
        <v>44</v>
      </c>
      <c r="F403" s="11">
        <f>VLOOKUP(B403,'ITEMS LIST'!$B$2:$F$19,4,FALSE)</f>
        <v>849</v>
      </c>
      <c r="G403" s="11">
        <f>VLOOKUP(B403,'ITEMS LIST'!$B$2:$F$19,5,FALSE)</f>
        <v>530</v>
      </c>
      <c r="H403" s="11">
        <f t="shared" si="24"/>
        <v>0</v>
      </c>
      <c r="I403" s="11">
        <f t="shared" si="25"/>
        <v>0</v>
      </c>
      <c r="J403" s="11">
        <f t="shared" si="27"/>
        <v>0</v>
      </c>
    </row>
    <row r="404" spans="1:10" x14ac:dyDescent="0.3">
      <c r="A404" s="7">
        <v>44857.333333333008</v>
      </c>
      <c r="B404" s="8" t="s">
        <v>6</v>
      </c>
      <c r="C404" s="8">
        <v>0</v>
      </c>
      <c r="D404" t="str">
        <f t="shared" si="26"/>
        <v>Sunday</v>
      </c>
      <c r="E404">
        <v>44</v>
      </c>
      <c r="F404" s="11">
        <f>VLOOKUP(B404,'ITEMS LIST'!$B$2:$F$19,4,FALSE)</f>
        <v>1000</v>
      </c>
      <c r="G404" s="11">
        <f>VLOOKUP(B404,'ITEMS LIST'!$B$2:$F$19,5,FALSE)</f>
        <v>768</v>
      </c>
      <c r="H404" s="11">
        <f t="shared" si="24"/>
        <v>0</v>
      </c>
      <c r="I404" s="11">
        <f t="shared" si="25"/>
        <v>0</v>
      </c>
      <c r="J404" s="11">
        <f t="shared" si="27"/>
        <v>0</v>
      </c>
    </row>
    <row r="405" spans="1:10" x14ac:dyDescent="0.3">
      <c r="A405" s="7">
        <v>44857.388888888563</v>
      </c>
      <c r="B405" s="8" t="s">
        <v>7</v>
      </c>
      <c r="C405" s="8">
        <v>0</v>
      </c>
      <c r="D405" t="str">
        <f t="shared" si="26"/>
        <v>Sunday</v>
      </c>
      <c r="E405">
        <v>44</v>
      </c>
      <c r="F405" s="11">
        <f>VLOOKUP(B405,'ITEMS LIST'!$B$2:$F$19,4,FALSE)</f>
        <v>680</v>
      </c>
      <c r="G405" s="11">
        <f>VLOOKUP(B405,'ITEMS LIST'!$B$2:$F$19,5,FALSE)</f>
        <v>570</v>
      </c>
      <c r="H405" s="11">
        <f t="shared" si="24"/>
        <v>0</v>
      </c>
      <c r="I405" s="11">
        <f t="shared" si="25"/>
        <v>0</v>
      </c>
      <c r="J405" s="11">
        <f t="shared" si="27"/>
        <v>0</v>
      </c>
    </row>
    <row r="406" spans="1:10" x14ac:dyDescent="0.3">
      <c r="A406" s="7">
        <v>44857.444444444118</v>
      </c>
      <c r="B406" s="8" t="s">
        <v>8</v>
      </c>
      <c r="C406" s="8">
        <v>0</v>
      </c>
      <c r="D406" t="str">
        <f t="shared" si="26"/>
        <v>Sunday</v>
      </c>
      <c r="E406">
        <v>44</v>
      </c>
      <c r="F406" s="11">
        <f>VLOOKUP(B406,'ITEMS LIST'!$B$2:$F$19,4,FALSE)</f>
        <v>199</v>
      </c>
      <c r="G406" s="11">
        <f>VLOOKUP(B406,'ITEMS LIST'!$B$2:$F$19,5,FALSE)</f>
        <v>140</v>
      </c>
      <c r="H406" s="11">
        <f t="shared" si="24"/>
        <v>0</v>
      </c>
      <c r="I406" s="11">
        <f t="shared" si="25"/>
        <v>0</v>
      </c>
      <c r="J406" s="11">
        <f t="shared" si="27"/>
        <v>0</v>
      </c>
    </row>
    <row r="407" spans="1:10" x14ac:dyDescent="0.3">
      <c r="A407" s="7">
        <v>44857.499999999673</v>
      </c>
      <c r="B407" s="8" t="s">
        <v>9</v>
      </c>
      <c r="C407" s="8">
        <v>0</v>
      </c>
      <c r="D407" t="str">
        <f t="shared" si="26"/>
        <v>Sunday</v>
      </c>
      <c r="E407">
        <v>44</v>
      </c>
      <c r="F407" s="11">
        <f>VLOOKUP(B407,'ITEMS LIST'!$B$2:$F$19,4,FALSE)</f>
        <v>219</v>
      </c>
      <c r="G407" s="11">
        <f>VLOOKUP(B407,'ITEMS LIST'!$B$2:$F$19,5,FALSE)</f>
        <v>132</v>
      </c>
      <c r="H407" s="11">
        <f t="shared" si="24"/>
        <v>0</v>
      </c>
      <c r="I407" s="11">
        <f t="shared" si="25"/>
        <v>0</v>
      </c>
      <c r="J407" s="11">
        <f t="shared" si="27"/>
        <v>0</v>
      </c>
    </row>
    <row r="408" spans="1:10" x14ac:dyDescent="0.3">
      <c r="A408" s="7">
        <v>44857.555555555227</v>
      </c>
      <c r="B408" s="8" t="s">
        <v>10</v>
      </c>
      <c r="C408" s="8">
        <v>0</v>
      </c>
      <c r="D408" t="str">
        <f t="shared" si="26"/>
        <v>Sunday</v>
      </c>
      <c r="E408">
        <v>44</v>
      </c>
      <c r="F408" s="11">
        <f>VLOOKUP(B408,'ITEMS LIST'!$B$2:$F$19,4,FALSE)</f>
        <v>1469</v>
      </c>
      <c r="G408" s="11">
        <f>VLOOKUP(B408,'ITEMS LIST'!$B$2:$F$19,5,FALSE)</f>
        <v>1184</v>
      </c>
      <c r="H408" s="11">
        <f t="shared" si="24"/>
        <v>0</v>
      </c>
      <c r="I408" s="11">
        <f t="shared" si="25"/>
        <v>0</v>
      </c>
      <c r="J408" s="11">
        <f t="shared" si="27"/>
        <v>0</v>
      </c>
    </row>
    <row r="409" spans="1:10" x14ac:dyDescent="0.3">
      <c r="A409" s="7">
        <v>44857.611111110782</v>
      </c>
      <c r="B409" s="8" t="s">
        <v>11</v>
      </c>
      <c r="C409" s="8">
        <v>0</v>
      </c>
      <c r="D409" t="str">
        <f t="shared" si="26"/>
        <v>Sunday</v>
      </c>
      <c r="E409">
        <v>44</v>
      </c>
      <c r="F409" s="11">
        <f>VLOOKUP(B409,'ITEMS LIST'!$B$2:$F$19,4,FALSE)</f>
        <v>89</v>
      </c>
      <c r="G409" s="11">
        <f>VLOOKUP(B409,'ITEMS LIST'!$B$2:$F$19,5,FALSE)</f>
        <v>59</v>
      </c>
      <c r="H409" s="11">
        <f t="shared" si="24"/>
        <v>0</v>
      </c>
      <c r="I409" s="11">
        <f t="shared" si="25"/>
        <v>0</v>
      </c>
      <c r="J409" s="11">
        <f t="shared" si="27"/>
        <v>0</v>
      </c>
    </row>
    <row r="410" spans="1:10" x14ac:dyDescent="0.3">
      <c r="A410" s="7">
        <v>44857.666666666337</v>
      </c>
      <c r="B410" s="8" t="s">
        <v>12</v>
      </c>
      <c r="C410" s="8">
        <v>0</v>
      </c>
      <c r="D410" t="str">
        <f t="shared" si="26"/>
        <v>Sunday</v>
      </c>
      <c r="E410">
        <v>44</v>
      </c>
      <c r="F410" s="11">
        <f>VLOOKUP(B410,'ITEMS LIST'!$B$2:$F$19,4,FALSE)</f>
        <v>310</v>
      </c>
      <c r="G410" s="11">
        <f>VLOOKUP(B410,'ITEMS LIST'!$B$2:$F$19,5,FALSE)</f>
        <v>206</v>
      </c>
      <c r="H410" s="11">
        <f t="shared" si="24"/>
        <v>0</v>
      </c>
      <c r="I410" s="11">
        <f t="shared" si="25"/>
        <v>0</v>
      </c>
      <c r="J410" s="11">
        <f t="shared" si="27"/>
        <v>0</v>
      </c>
    </row>
    <row r="411" spans="1:10" x14ac:dyDescent="0.3">
      <c r="A411" s="7">
        <v>44857.722222221892</v>
      </c>
      <c r="B411" s="8" t="s">
        <v>13</v>
      </c>
      <c r="C411" s="8">
        <v>0</v>
      </c>
      <c r="D411" t="str">
        <f t="shared" si="26"/>
        <v>Sunday</v>
      </c>
      <c r="E411">
        <v>44</v>
      </c>
      <c r="F411" s="11">
        <f>VLOOKUP(B411,'ITEMS LIST'!$B$2:$F$19,4,FALSE)</f>
        <v>540</v>
      </c>
      <c r="G411" s="11">
        <f>VLOOKUP(B411,'ITEMS LIST'!$B$2:$F$19,5,FALSE)</f>
        <v>397</v>
      </c>
      <c r="H411" s="11">
        <f t="shared" si="24"/>
        <v>0</v>
      </c>
      <c r="I411" s="11">
        <f t="shared" si="25"/>
        <v>0</v>
      </c>
      <c r="J411" s="11">
        <f t="shared" si="27"/>
        <v>0</v>
      </c>
    </row>
    <row r="412" spans="1:10" x14ac:dyDescent="0.3">
      <c r="A412" s="7">
        <v>44857.777777777446</v>
      </c>
      <c r="B412" s="8" t="s">
        <v>14</v>
      </c>
      <c r="C412" s="8">
        <v>0</v>
      </c>
      <c r="D412" t="str">
        <f t="shared" si="26"/>
        <v>Sunday</v>
      </c>
      <c r="E412">
        <v>44</v>
      </c>
      <c r="F412" s="11">
        <f>VLOOKUP(B412,'ITEMS LIST'!$B$2:$F$19,4,FALSE)</f>
        <v>360</v>
      </c>
      <c r="G412" s="11">
        <f>VLOOKUP(B412,'ITEMS LIST'!$B$2:$F$19,5,FALSE)</f>
        <v>248</v>
      </c>
      <c r="H412" s="11">
        <f t="shared" si="24"/>
        <v>0</v>
      </c>
      <c r="I412" s="11">
        <f t="shared" si="25"/>
        <v>0</v>
      </c>
      <c r="J412" s="11">
        <f t="shared" si="27"/>
        <v>0</v>
      </c>
    </row>
    <row r="413" spans="1:10" x14ac:dyDescent="0.3">
      <c r="A413" s="7">
        <v>44857.833333333001</v>
      </c>
      <c r="B413" s="8" t="s">
        <v>15</v>
      </c>
      <c r="C413" s="8">
        <v>0</v>
      </c>
      <c r="D413" t="str">
        <f t="shared" si="26"/>
        <v>Sunday</v>
      </c>
      <c r="E413">
        <v>44</v>
      </c>
      <c r="F413" s="11">
        <f>VLOOKUP(B413,'ITEMS LIST'!$B$2:$F$19,4,FALSE)</f>
        <v>250</v>
      </c>
      <c r="G413" s="11">
        <f>VLOOKUP(B413,'ITEMS LIST'!$B$2:$F$19,5,FALSE)</f>
        <v>190</v>
      </c>
      <c r="H413" s="11">
        <f t="shared" si="24"/>
        <v>0</v>
      </c>
      <c r="I413" s="11">
        <f t="shared" si="25"/>
        <v>0</v>
      </c>
      <c r="J413" s="11">
        <f t="shared" si="27"/>
        <v>0</v>
      </c>
    </row>
    <row r="414" spans="1:10" x14ac:dyDescent="0.3">
      <c r="A414" s="7">
        <v>44857.888888888556</v>
      </c>
      <c r="B414" s="8" t="s">
        <v>16</v>
      </c>
      <c r="C414" s="8">
        <v>0</v>
      </c>
      <c r="D414" t="str">
        <f t="shared" si="26"/>
        <v>Sunday</v>
      </c>
      <c r="E414">
        <v>44</v>
      </c>
      <c r="F414" s="11">
        <f>VLOOKUP(B414,'ITEMS LIST'!$B$2:$F$19,4,FALSE)</f>
        <v>120</v>
      </c>
      <c r="G414" s="11">
        <f>VLOOKUP(B414,'ITEMS LIST'!$B$2:$F$19,5,FALSE)</f>
        <v>85</v>
      </c>
      <c r="H414" s="11">
        <f t="shared" si="24"/>
        <v>0</v>
      </c>
      <c r="I414" s="11">
        <f t="shared" si="25"/>
        <v>0</v>
      </c>
      <c r="J414" s="11">
        <f t="shared" si="27"/>
        <v>0</v>
      </c>
    </row>
    <row r="415" spans="1:10" x14ac:dyDescent="0.3">
      <c r="A415" s="7">
        <v>44857.944444444111</v>
      </c>
      <c r="B415" s="8" t="s">
        <v>17</v>
      </c>
      <c r="C415" s="8">
        <v>0</v>
      </c>
      <c r="D415" t="str">
        <f t="shared" si="26"/>
        <v>Sunday</v>
      </c>
      <c r="E415">
        <v>44</v>
      </c>
      <c r="F415" s="11">
        <f>VLOOKUP(B415,'ITEMS LIST'!$B$2:$F$19,4,FALSE)</f>
        <v>80</v>
      </c>
      <c r="G415" s="11">
        <f>VLOOKUP(B415,'ITEMS LIST'!$B$2:$F$19,5,FALSE)</f>
        <v>55</v>
      </c>
      <c r="H415" s="11">
        <f t="shared" si="24"/>
        <v>0</v>
      </c>
      <c r="I415" s="11">
        <f t="shared" si="25"/>
        <v>0</v>
      </c>
      <c r="J415" s="11">
        <f t="shared" si="27"/>
        <v>0</v>
      </c>
    </row>
    <row r="416" spans="1:10" x14ac:dyDescent="0.3">
      <c r="A416" s="7">
        <v>44857.999999999665</v>
      </c>
      <c r="B416" s="8" t="s">
        <v>0</v>
      </c>
      <c r="C416" s="8">
        <v>0</v>
      </c>
      <c r="D416" t="str">
        <f t="shared" si="26"/>
        <v>Monday</v>
      </c>
      <c r="E416">
        <v>44</v>
      </c>
      <c r="F416" s="11">
        <f>VLOOKUP(B416,'ITEMS LIST'!$B$2:$F$19,4,FALSE)</f>
        <v>549</v>
      </c>
      <c r="G416" s="11">
        <f>VLOOKUP(B416,'ITEMS LIST'!$B$2:$F$19,5,FALSE)</f>
        <v>365</v>
      </c>
      <c r="H416" s="11">
        <f t="shared" si="24"/>
        <v>0</v>
      </c>
      <c r="I416" s="11">
        <f t="shared" si="25"/>
        <v>0</v>
      </c>
      <c r="J416" s="11">
        <f t="shared" si="27"/>
        <v>0</v>
      </c>
    </row>
    <row r="417" spans="1:10" x14ac:dyDescent="0.3">
      <c r="A417" s="7">
        <v>44858.05555555522</v>
      </c>
      <c r="B417" s="8" t="s">
        <v>1</v>
      </c>
      <c r="C417" s="8">
        <v>0</v>
      </c>
      <c r="D417" t="str">
        <f t="shared" si="26"/>
        <v>Monday</v>
      </c>
      <c r="E417">
        <v>44</v>
      </c>
      <c r="F417" s="11">
        <f>VLOOKUP(B417,'ITEMS LIST'!$B$2:$F$19,4,FALSE)</f>
        <v>699</v>
      </c>
      <c r="G417" s="11">
        <f>VLOOKUP(B417,'ITEMS LIST'!$B$2:$F$19,5,FALSE)</f>
        <v>550</v>
      </c>
      <c r="H417" s="11">
        <f t="shared" si="24"/>
        <v>0</v>
      </c>
      <c r="I417" s="11">
        <f t="shared" si="25"/>
        <v>0</v>
      </c>
      <c r="J417" s="11">
        <f t="shared" si="27"/>
        <v>0</v>
      </c>
    </row>
    <row r="418" spans="1:10" x14ac:dyDescent="0.3">
      <c r="A418" s="7">
        <v>44858.111111110775</v>
      </c>
      <c r="B418" s="8" t="s">
        <v>2</v>
      </c>
      <c r="C418" s="8">
        <v>0</v>
      </c>
      <c r="D418" t="str">
        <f t="shared" si="26"/>
        <v>Monday</v>
      </c>
      <c r="E418">
        <v>44</v>
      </c>
      <c r="F418" s="11">
        <f>VLOOKUP(B418,'ITEMS LIST'!$B$2:$F$19,4,FALSE)</f>
        <v>739</v>
      </c>
      <c r="G418" s="11">
        <f>VLOOKUP(B418,'ITEMS LIST'!$B$2:$F$19,5,FALSE)</f>
        <v>620</v>
      </c>
      <c r="H418" s="11">
        <f t="shared" si="24"/>
        <v>0</v>
      </c>
      <c r="I418" s="11">
        <f t="shared" si="25"/>
        <v>0</v>
      </c>
      <c r="J418" s="11">
        <f t="shared" si="27"/>
        <v>0</v>
      </c>
    </row>
    <row r="419" spans="1:10" x14ac:dyDescent="0.3">
      <c r="A419" s="7">
        <v>44858.16666666633</v>
      </c>
      <c r="B419" s="8" t="s">
        <v>3</v>
      </c>
      <c r="C419" s="8">
        <v>0</v>
      </c>
      <c r="D419" t="str">
        <f t="shared" si="26"/>
        <v>Monday</v>
      </c>
      <c r="E419">
        <v>44</v>
      </c>
      <c r="F419" s="11">
        <f>VLOOKUP(B419,'ITEMS LIST'!$B$2:$F$19,4,FALSE)</f>
        <v>899</v>
      </c>
      <c r="G419" s="11">
        <f>VLOOKUP(B419,'ITEMS LIST'!$B$2:$F$19,5,FALSE)</f>
        <v>714</v>
      </c>
      <c r="H419" s="11">
        <f t="shared" si="24"/>
        <v>0</v>
      </c>
      <c r="I419" s="11">
        <f t="shared" si="25"/>
        <v>0</v>
      </c>
      <c r="J419" s="11">
        <f t="shared" si="27"/>
        <v>0</v>
      </c>
    </row>
    <row r="420" spans="1:10" x14ac:dyDescent="0.3">
      <c r="A420" s="7">
        <v>44858.222222221884</v>
      </c>
      <c r="B420" s="8" t="s">
        <v>4</v>
      </c>
      <c r="C420" s="8">
        <v>0</v>
      </c>
      <c r="D420" t="str">
        <f t="shared" si="26"/>
        <v>Monday</v>
      </c>
      <c r="E420">
        <v>44</v>
      </c>
      <c r="F420" s="11">
        <f>VLOOKUP(B420,'ITEMS LIST'!$B$2:$F$19,4,FALSE)</f>
        <v>1379</v>
      </c>
      <c r="G420" s="11">
        <f>VLOOKUP(B420,'ITEMS LIST'!$B$2:$F$19,5,FALSE)</f>
        <v>890</v>
      </c>
      <c r="H420" s="11">
        <f t="shared" si="24"/>
        <v>0</v>
      </c>
      <c r="I420" s="11">
        <f t="shared" si="25"/>
        <v>0</v>
      </c>
      <c r="J420" s="11">
        <f t="shared" si="27"/>
        <v>0</v>
      </c>
    </row>
    <row r="421" spans="1:10" x14ac:dyDescent="0.3">
      <c r="A421" s="7">
        <v>44858.277777777439</v>
      </c>
      <c r="B421" s="8" t="s">
        <v>5</v>
      </c>
      <c r="C421" s="8">
        <v>0</v>
      </c>
      <c r="D421" t="str">
        <f t="shared" si="26"/>
        <v>Monday</v>
      </c>
      <c r="E421">
        <v>44</v>
      </c>
      <c r="F421" s="11">
        <f>VLOOKUP(B421,'ITEMS LIST'!$B$2:$F$19,4,FALSE)</f>
        <v>849</v>
      </c>
      <c r="G421" s="11">
        <f>VLOOKUP(B421,'ITEMS LIST'!$B$2:$F$19,5,FALSE)</f>
        <v>530</v>
      </c>
      <c r="H421" s="11">
        <f t="shared" si="24"/>
        <v>0</v>
      </c>
      <c r="I421" s="11">
        <f t="shared" si="25"/>
        <v>0</v>
      </c>
      <c r="J421" s="11">
        <f t="shared" si="27"/>
        <v>0</v>
      </c>
    </row>
    <row r="422" spans="1:10" x14ac:dyDescent="0.3">
      <c r="A422" s="7">
        <v>44858.333333332994</v>
      </c>
      <c r="B422" s="8" t="s">
        <v>6</v>
      </c>
      <c r="C422" s="8">
        <v>0</v>
      </c>
      <c r="D422" t="str">
        <f t="shared" si="26"/>
        <v>Monday</v>
      </c>
      <c r="E422">
        <v>44</v>
      </c>
      <c r="F422" s="11">
        <f>VLOOKUP(B422,'ITEMS LIST'!$B$2:$F$19,4,FALSE)</f>
        <v>1000</v>
      </c>
      <c r="G422" s="11">
        <f>VLOOKUP(B422,'ITEMS LIST'!$B$2:$F$19,5,FALSE)</f>
        <v>768</v>
      </c>
      <c r="H422" s="11">
        <f t="shared" si="24"/>
        <v>0</v>
      </c>
      <c r="I422" s="11">
        <f t="shared" si="25"/>
        <v>0</v>
      </c>
      <c r="J422" s="11">
        <f t="shared" si="27"/>
        <v>0</v>
      </c>
    </row>
    <row r="423" spans="1:10" x14ac:dyDescent="0.3">
      <c r="A423" s="7">
        <v>44858.388888888549</v>
      </c>
      <c r="B423" s="8" t="s">
        <v>7</v>
      </c>
      <c r="C423" s="8">
        <v>0</v>
      </c>
      <c r="D423" t="str">
        <f t="shared" si="26"/>
        <v>Monday</v>
      </c>
      <c r="E423">
        <v>44</v>
      </c>
      <c r="F423" s="11">
        <f>VLOOKUP(B423,'ITEMS LIST'!$B$2:$F$19,4,FALSE)</f>
        <v>680</v>
      </c>
      <c r="G423" s="11">
        <f>VLOOKUP(B423,'ITEMS LIST'!$B$2:$F$19,5,FALSE)</f>
        <v>570</v>
      </c>
      <c r="H423" s="11">
        <f t="shared" si="24"/>
        <v>0</v>
      </c>
      <c r="I423" s="11">
        <f t="shared" si="25"/>
        <v>0</v>
      </c>
      <c r="J423" s="11">
        <f t="shared" si="27"/>
        <v>0</v>
      </c>
    </row>
    <row r="424" spans="1:10" x14ac:dyDescent="0.3">
      <c r="A424" s="7">
        <v>44858.444444444103</v>
      </c>
      <c r="B424" s="8" t="s">
        <v>8</v>
      </c>
      <c r="C424" s="8">
        <v>0</v>
      </c>
      <c r="D424" t="str">
        <f t="shared" si="26"/>
        <v>Monday</v>
      </c>
      <c r="E424">
        <v>44</v>
      </c>
      <c r="F424" s="11">
        <f>VLOOKUP(B424,'ITEMS LIST'!$B$2:$F$19,4,FALSE)</f>
        <v>199</v>
      </c>
      <c r="G424" s="11">
        <f>VLOOKUP(B424,'ITEMS LIST'!$B$2:$F$19,5,FALSE)</f>
        <v>140</v>
      </c>
      <c r="H424" s="11">
        <f t="shared" si="24"/>
        <v>0</v>
      </c>
      <c r="I424" s="11">
        <f t="shared" si="25"/>
        <v>0</v>
      </c>
      <c r="J424" s="11">
        <f t="shared" si="27"/>
        <v>0</v>
      </c>
    </row>
    <row r="425" spans="1:10" x14ac:dyDescent="0.3">
      <c r="A425" s="7">
        <v>44858.499999999658</v>
      </c>
      <c r="B425" s="8" t="s">
        <v>9</v>
      </c>
      <c r="C425" s="8">
        <v>0</v>
      </c>
      <c r="D425" t="str">
        <f t="shared" si="26"/>
        <v>Monday</v>
      </c>
      <c r="E425">
        <v>44</v>
      </c>
      <c r="F425" s="11">
        <f>VLOOKUP(B425,'ITEMS LIST'!$B$2:$F$19,4,FALSE)</f>
        <v>219</v>
      </c>
      <c r="G425" s="11">
        <f>VLOOKUP(B425,'ITEMS LIST'!$B$2:$F$19,5,FALSE)</f>
        <v>132</v>
      </c>
      <c r="H425" s="11">
        <f t="shared" si="24"/>
        <v>0</v>
      </c>
      <c r="I425" s="11">
        <f t="shared" si="25"/>
        <v>0</v>
      </c>
      <c r="J425" s="11">
        <f t="shared" si="27"/>
        <v>0</v>
      </c>
    </row>
    <row r="426" spans="1:10" x14ac:dyDescent="0.3">
      <c r="A426" s="7">
        <v>44858.555555555213</v>
      </c>
      <c r="B426" s="8" t="s">
        <v>10</v>
      </c>
      <c r="C426" s="8">
        <v>0</v>
      </c>
      <c r="D426" t="str">
        <f t="shared" si="26"/>
        <v>Monday</v>
      </c>
      <c r="E426">
        <v>44</v>
      </c>
      <c r="F426" s="11">
        <f>VLOOKUP(B426,'ITEMS LIST'!$B$2:$F$19,4,FALSE)</f>
        <v>1469</v>
      </c>
      <c r="G426" s="11">
        <f>VLOOKUP(B426,'ITEMS LIST'!$B$2:$F$19,5,FALSE)</f>
        <v>1184</v>
      </c>
      <c r="H426" s="11">
        <f t="shared" si="24"/>
        <v>0</v>
      </c>
      <c r="I426" s="11">
        <f t="shared" si="25"/>
        <v>0</v>
      </c>
      <c r="J426" s="11">
        <f t="shared" si="27"/>
        <v>0</v>
      </c>
    </row>
    <row r="427" spans="1:10" x14ac:dyDescent="0.3">
      <c r="A427" s="7">
        <v>44858.611111110768</v>
      </c>
      <c r="B427" s="8" t="s">
        <v>11</v>
      </c>
      <c r="C427" s="8">
        <v>0</v>
      </c>
      <c r="D427" t="str">
        <f t="shared" si="26"/>
        <v>Monday</v>
      </c>
      <c r="E427">
        <v>44</v>
      </c>
      <c r="F427" s="11">
        <f>VLOOKUP(B427,'ITEMS LIST'!$B$2:$F$19,4,FALSE)</f>
        <v>89</v>
      </c>
      <c r="G427" s="11">
        <f>VLOOKUP(B427,'ITEMS LIST'!$B$2:$F$19,5,FALSE)</f>
        <v>59</v>
      </c>
      <c r="H427" s="11">
        <f t="shared" si="24"/>
        <v>0</v>
      </c>
      <c r="I427" s="11">
        <f t="shared" si="25"/>
        <v>0</v>
      </c>
      <c r="J427" s="11">
        <f t="shared" si="27"/>
        <v>0</v>
      </c>
    </row>
    <row r="428" spans="1:10" x14ac:dyDescent="0.3">
      <c r="A428" s="7">
        <v>44858.666666666322</v>
      </c>
      <c r="B428" s="8" t="s">
        <v>12</v>
      </c>
      <c r="C428" s="8">
        <v>0</v>
      </c>
      <c r="D428" t="str">
        <f t="shared" si="26"/>
        <v>Monday</v>
      </c>
      <c r="E428">
        <v>44</v>
      </c>
      <c r="F428" s="11">
        <f>VLOOKUP(B428,'ITEMS LIST'!$B$2:$F$19,4,FALSE)</f>
        <v>310</v>
      </c>
      <c r="G428" s="11">
        <f>VLOOKUP(B428,'ITEMS LIST'!$B$2:$F$19,5,FALSE)</f>
        <v>206</v>
      </c>
      <c r="H428" s="11">
        <f t="shared" si="24"/>
        <v>0</v>
      </c>
      <c r="I428" s="11">
        <f t="shared" si="25"/>
        <v>0</v>
      </c>
      <c r="J428" s="11">
        <f t="shared" si="27"/>
        <v>0</v>
      </c>
    </row>
    <row r="429" spans="1:10" x14ac:dyDescent="0.3">
      <c r="A429" s="7">
        <v>44858.722222221877</v>
      </c>
      <c r="B429" s="8" t="s">
        <v>13</v>
      </c>
      <c r="C429" s="8">
        <v>0</v>
      </c>
      <c r="D429" t="str">
        <f t="shared" si="26"/>
        <v>Monday</v>
      </c>
      <c r="E429">
        <v>44</v>
      </c>
      <c r="F429" s="11">
        <f>VLOOKUP(B429,'ITEMS LIST'!$B$2:$F$19,4,FALSE)</f>
        <v>540</v>
      </c>
      <c r="G429" s="11">
        <f>VLOOKUP(B429,'ITEMS LIST'!$B$2:$F$19,5,FALSE)</f>
        <v>397</v>
      </c>
      <c r="H429" s="11">
        <f t="shared" si="24"/>
        <v>0</v>
      </c>
      <c r="I429" s="11">
        <f t="shared" si="25"/>
        <v>0</v>
      </c>
      <c r="J429" s="11">
        <f t="shared" si="27"/>
        <v>0</v>
      </c>
    </row>
    <row r="430" spans="1:10" x14ac:dyDescent="0.3">
      <c r="A430" s="7">
        <v>44858.777777777432</v>
      </c>
      <c r="B430" s="8" t="s">
        <v>14</v>
      </c>
      <c r="C430" s="8">
        <v>0</v>
      </c>
      <c r="D430" t="str">
        <f t="shared" si="26"/>
        <v>Monday</v>
      </c>
      <c r="E430">
        <v>44</v>
      </c>
      <c r="F430" s="11">
        <f>VLOOKUP(B430,'ITEMS LIST'!$B$2:$F$19,4,FALSE)</f>
        <v>360</v>
      </c>
      <c r="G430" s="11">
        <f>VLOOKUP(B430,'ITEMS LIST'!$B$2:$F$19,5,FALSE)</f>
        <v>248</v>
      </c>
      <c r="H430" s="11">
        <f t="shared" si="24"/>
        <v>0</v>
      </c>
      <c r="I430" s="11">
        <f t="shared" si="25"/>
        <v>0</v>
      </c>
      <c r="J430" s="11">
        <f t="shared" si="27"/>
        <v>0</v>
      </c>
    </row>
    <row r="431" spans="1:10" x14ac:dyDescent="0.3">
      <c r="A431" s="7">
        <v>44858.833333332987</v>
      </c>
      <c r="B431" s="8" t="s">
        <v>15</v>
      </c>
      <c r="C431" s="8">
        <v>0</v>
      </c>
      <c r="D431" t="str">
        <f t="shared" si="26"/>
        <v>Monday</v>
      </c>
      <c r="E431">
        <v>44</v>
      </c>
      <c r="F431" s="11">
        <f>VLOOKUP(B431,'ITEMS LIST'!$B$2:$F$19,4,FALSE)</f>
        <v>250</v>
      </c>
      <c r="G431" s="11">
        <f>VLOOKUP(B431,'ITEMS LIST'!$B$2:$F$19,5,FALSE)</f>
        <v>190</v>
      </c>
      <c r="H431" s="11">
        <f t="shared" si="24"/>
        <v>0</v>
      </c>
      <c r="I431" s="11">
        <f t="shared" si="25"/>
        <v>0</v>
      </c>
      <c r="J431" s="11">
        <f t="shared" si="27"/>
        <v>0</v>
      </c>
    </row>
    <row r="432" spans="1:10" x14ac:dyDescent="0.3">
      <c r="A432" s="7">
        <v>44858.888888888541</v>
      </c>
      <c r="B432" s="8" t="s">
        <v>16</v>
      </c>
      <c r="C432" s="8">
        <v>0</v>
      </c>
      <c r="D432" t="str">
        <f t="shared" si="26"/>
        <v>Monday</v>
      </c>
      <c r="E432">
        <v>44</v>
      </c>
      <c r="F432" s="11">
        <f>VLOOKUP(B432,'ITEMS LIST'!$B$2:$F$19,4,FALSE)</f>
        <v>120</v>
      </c>
      <c r="G432" s="11">
        <f>VLOOKUP(B432,'ITEMS LIST'!$B$2:$F$19,5,FALSE)</f>
        <v>85</v>
      </c>
      <c r="H432" s="11">
        <f t="shared" si="24"/>
        <v>0</v>
      </c>
      <c r="I432" s="11">
        <f t="shared" si="25"/>
        <v>0</v>
      </c>
      <c r="J432" s="11">
        <f t="shared" si="27"/>
        <v>0</v>
      </c>
    </row>
    <row r="433" spans="1:10" x14ac:dyDescent="0.3">
      <c r="A433" s="7">
        <v>44858.944444444096</v>
      </c>
      <c r="B433" s="8" t="s">
        <v>17</v>
      </c>
      <c r="C433" s="8">
        <v>0</v>
      </c>
      <c r="D433" t="str">
        <f t="shared" si="26"/>
        <v>Monday</v>
      </c>
      <c r="E433">
        <v>44</v>
      </c>
      <c r="F433" s="11">
        <f>VLOOKUP(B433,'ITEMS LIST'!$B$2:$F$19,4,FALSE)</f>
        <v>80</v>
      </c>
      <c r="G433" s="11">
        <f>VLOOKUP(B433,'ITEMS LIST'!$B$2:$F$19,5,FALSE)</f>
        <v>55</v>
      </c>
      <c r="H433" s="11">
        <f t="shared" si="24"/>
        <v>0</v>
      </c>
      <c r="I433" s="11">
        <f t="shared" si="25"/>
        <v>0</v>
      </c>
      <c r="J433" s="11">
        <f t="shared" si="27"/>
        <v>0</v>
      </c>
    </row>
    <row r="434" spans="1:10" x14ac:dyDescent="0.3">
      <c r="A434" s="7">
        <v>44858.999999999651</v>
      </c>
      <c r="B434" s="8" t="s">
        <v>0</v>
      </c>
      <c r="C434" s="8">
        <v>0</v>
      </c>
      <c r="D434" t="str">
        <f t="shared" si="26"/>
        <v>Tuesday</v>
      </c>
      <c r="E434">
        <v>44</v>
      </c>
      <c r="F434" s="11">
        <f>VLOOKUP(B434,'ITEMS LIST'!$B$2:$F$19,4,FALSE)</f>
        <v>549</v>
      </c>
      <c r="G434" s="11">
        <f>VLOOKUP(B434,'ITEMS LIST'!$B$2:$F$19,5,FALSE)</f>
        <v>365</v>
      </c>
      <c r="H434" s="11">
        <f t="shared" si="24"/>
        <v>0</v>
      </c>
      <c r="I434" s="11">
        <f t="shared" si="25"/>
        <v>0</v>
      </c>
      <c r="J434" s="11">
        <f t="shared" si="27"/>
        <v>0</v>
      </c>
    </row>
    <row r="435" spans="1:10" x14ac:dyDescent="0.3">
      <c r="A435" s="7">
        <v>44859.055555555206</v>
      </c>
      <c r="B435" s="8" t="s">
        <v>1</v>
      </c>
      <c r="C435" s="8">
        <v>0</v>
      </c>
      <c r="D435" t="str">
        <f t="shared" si="26"/>
        <v>Tuesday</v>
      </c>
      <c r="E435">
        <v>44</v>
      </c>
      <c r="F435" s="11">
        <f>VLOOKUP(B435,'ITEMS LIST'!$B$2:$F$19,4,FALSE)</f>
        <v>699</v>
      </c>
      <c r="G435" s="11">
        <f>VLOOKUP(B435,'ITEMS LIST'!$B$2:$F$19,5,FALSE)</f>
        <v>550</v>
      </c>
      <c r="H435" s="11">
        <f t="shared" si="24"/>
        <v>0</v>
      </c>
      <c r="I435" s="11">
        <f t="shared" si="25"/>
        <v>0</v>
      </c>
      <c r="J435" s="11">
        <f t="shared" si="27"/>
        <v>0</v>
      </c>
    </row>
    <row r="436" spans="1:10" x14ac:dyDescent="0.3">
      <c r="A436" s="7">
        <v>44859.11111111076</v>
      </c>
      <c r="B436" s="8" t="s">
        <v>2</v>
      </c>
      <c r="C436" s="8">
        <v>0</v>
      </c>
      <c r="D436" t="str">
        <f t="shared" si="26"/>
        <v>Tuesday</v>
      </c>
      <c r="E436">
        <v>44</v>
      </c>
      <c r="F436" s="11">
        <f>VLOOKUP(B436,'ITEMS LIST'!$B$2:$F$19,4,FALSE)</f>
        <v>739</v>
      </c>
      <c r="G436" s="11">
        <f>VLOOKUP(B436,'ITEMS LIST'!$B$2:$F$19,5,FALSE)</f>
        <v>620</v>
      </c>
      <c r="H436" s="11">
        <f t="shared" si="24"/>
        <v>0</v>
      </c>
      <c r="I436" s="11">
        <f t="shared" si="25"/>
        <v>0</v>
      </c>
      <c r="J436" s="11">
        <f t="shared" si="27"/>
        <v>0</v>
      </c>
    </row>
    <row r="437" spans="1:10" x14ac:dyDescent="0.3">
      <c r="A437" s="7">
        <v>44859.166666666315</v>
      </c>
      <c r="B437" s="8" t="s">
        <v>3</v>
      </c>
      <c r="C437" s="8">
        <v>0</v>
      </c>
      <c r="D437" t="str">
        <f t="shared" si="26"/>
        <v>Tuesday</v>
      </c>
      <c r="E437">
        <v>44</v>
      </c>
      <c r="F437" s="11">
        <f>VLOOKUP(B437,'ITEMS LIST'!$B$2:$F$19,4,FALSE)</f>
        <v>899</v>
      </c>
      <c r="G437" s="11">
        <f>VLOOKUP(B437,'ITEMS LIST'!$B$2:$F$19,5,FALSE)</f>
        <v>714</v>
      </c>
      <c r="H437" s="11">
        <f t="shared" si="24"/>
        <v>0</v>
      </c>
      <c r="I437" s="11">
        <f t="shared" si="25"/>
        <v>0</v>
      </c>
      <c r="J437" s="11">
        <f t="shared" si="27"/>
        <v>0</v>
      </c>
    </row>
    <row r="438" spans="1:10" x14ac:dyDescent="0.3">
      <c r="A438" s="7">
        <v>44859.22222222187</v>
      </c>
      <c r="B438" s="8" t="s">
        <v>4</v>
      </c>
      <c r="C438" s="8">
        <v>0</v>
      </c>
      <c r="D438" t="str">
        <f t="shared" si="26"/>
        <v>Tuesday</v>
      </c>
      <c r="E438">
        <v>44</v>
      </c>
      <c r="F438" s="11">
        <f>VLOOKUP(B438,'ITEMS LIST'!$B$2:$F$19,4,FALSE)</f>
        <v>1379</v>
      </c>
      <c r="G438" s="11">
        <f>VLOOKUP(B438,'ITEMS LIST'!$B$2:$F$19,5,FALSE)</f>
        <v>890</v>
      </c>
      <c r="H438" s="11">
        <f t="shared" si="24"/>
        <v>0</v>
      </c>
      <c r="I438" s="11">
        <f t="shared" si="25"/>
        <v>0</v>
      </c>
      <c r="J438" s="11">
        <f t="shared" si="27"/>
        <v>0</v>
      </c>
    </row>
    <row r="439" spans="1:10" x14ac:dyDescent="0.3">
      <c r="A439" s="7">
        <v>44859.277777777424</v>
      </c>
      <c r="B439" s="8" t="s">
        <v>5</v>
      </c>
      <c r="C439" s="8">
        <v>0</v>
      </c>
      <c r="D439" t="str">
        <f t="shared" si="26"/>
        <v>Tuesday</v>
      </c>
      <c r="E439">
        <v>44</v>
      </c>
      <c r="F439" s="11">
        <f>VLOOKUP(B439,'ITEMS LIST'!$B$2:$F$19,4,FALSE)</f>
        <v>849</v>
      </c>
      <c r="G439" s="11">
        <f>VLOOKUP(B439,'ITEMS LIST'!$B$2:$F$19,5,FALSE)</f>
        <v>530</v>
      </c>
      <c r="H439" s="11">
        <f t="shared" si="24"/>
        <v>0</v>
      </c>
      <c r="I439" s="11">
        <f t="shared" si="25"/>
        <v>0</v>
      </c>
      <c r="J439" s="11">
        <f t="shared" si="27"/>
        <v>0</v>
      </c>
    </row>
    <row r="440" spans="1:10" x14ac:dyDescent="0.3">
      <c r="A440" s="7">
        <v>44859.333333332979</v>
      </c>
      <c r="B440" s="8" t="s">
        <v>6</v>
      </c>
      <c r="C440" s="8">
        <v>0</v>
      </c>
      <c r="D440" t="str">
        <f t="shared" si="26"/>
        <v>Tuesday</v>
      </c>
      <c r="E440">
        <v>44</v>
      </c>
      <c r="F440" s="11">
        <f>VLOOKUP(B440,'ITEMS LIST'!$B$2:$F$19,4,FALSE)</f>
        <v>1000</v>
      </c>
      <c r="G440" s="11">
        <f>VLOOKUP(B440,'ITEMS LIST'!$B$2:$F$19,5,FALSE)</f>
        <v>768</v>
      </c>
      <c r="H440" s="11">
        <f t="shared" si="24"/>
        <v>0</v>
      </c>
      <c r="I440" s="11">
        <f t="shared" si="25"/>
        <v>0</v>
      </c>
      <c r="J440" s="11">
        <f t="shared" si="27"/>
        <v>0</v>
      </c>
    </row>
    <row r="441" spans="1:10" x14ac:dyDescent="0.3">
      <c r="A441" s="7">
        <v>44859.388888888534</v>
      </c>
      <c r="B441" s="8" t="s">
        <v>7</v>
      </c>
      <c r="C441" s="8">
        <v>0</v>
      </c>
      <c r="D441" t="str">
        <f t="shared" si="26"/>
        <v>Tuesday</v>
      </c>
      <c r="E441">
        <v>44</v>
      </c>
      <c r="F441" s="11">
        <f>VLOOKUP(B441,'ITEMS LIST'!$B$2:$F$19,4,FALSE)</f>
        <v>680</v>
      </c>
      <c r="G441" s="11">
        <f>VLOOKUP(B441,'ITEMS LIST'!$B$2:$F$19,5,FALSE)</f>
        <v>570</v>
      </c>
      <c r="H441" s="11">
        <f t="shared" si="24"/>
        <v>0</v>
      </c>
      <c r="I441" s="11">
        <f t="shared" si="25"/>
        <v>0</v>
      </c>
      <c r="J441" s="11">
        <f t="shared" si="27"/>
        <v>0</v>
      </c>
    </row>
    <row r="442" spans="1:10" x14ac:dyDescent="0.3">
      <c r="A442" s="7">
        <v>44859.444444444089</v>
      </c>
      <c r="B442" s="8" t="s">
        <v>8</v>
      </c>
      <c r="C442" s="8">
        <v>0</v>
      </c>
      <c r="D442" t="str">
        <f t="shared" si="26"/>
        <v>Tuesday</v>
      </c>
      <c r="E442">
        <v>44</v>
      </c>
      <c r="F442" s="11">
        <f>VLOOKUP(B442,'ITEMS LIST'!$B$2:$F$19,4,FALSE)</f>
        <v>199</v>
      </c>
      <c r="G442" s="11">
        <f>VLOOKUP(B442,'ITEMS LIST'!$B$2:$F$19,5,FALSE)</f>
        <v>140</v>
      </c>
      <c r="H442" s="11">
        <f t="shared" si="24"/>
        <v>0</v>
      </c>
      <c r="I442" s="11">
        <f t="shared" si="25"/>
        <v>0</v>
      </c>
      <c r="J442" s="11">
        <f t="shared" si="27"/>
        <v>0</v>
      </c>
    </row>
    <row r="443" spans="1:10" x14ac:dyDescent="0.3">
      <c r="A443" s="7">
        <v>44859.499999999643</v>
      </c>
      <c r="B443" s="8" t="s">
        <v>9</v>
      </c>
      <c r="C443" s="8">
        <v>0</v>
      </c>
      <c r="D443" t="str">
        <f t="shared" si="26"/>
        <v>Tuesday</v>
      </c>
      <c r="E443">
        <v>44</v>
      </c>
      <c r="F443" s="11">
        <f>VLOOKUP(B443,'ITEMS LIST'!$B$2:$F$19,4,FALSE)</f>
        <v>219</v>
      </c>
      <c r="G443" s="11">
        <f>VLOOKUP(B443,'ITEMS LIST'!$B$2:$F$19,5,FALSE)</f>
        <v>132</v>
      </c>
      <c r="H443" s="11">
        <f t="shared" si="24"/>
        <v>0</v>
      </c>
      <c r="I443" s="11">
        <f t="shared" si="25"/>
        <v>0</v>
      </c>
      <c r="J443" s="11">
        <f t="shared" si="27"/>
        <v>0</v>
      </c>
    </row>
    <row r="444" spans="1:10" x14ac:dyDescent="0.3">
      <c r="A444" s="7">
        <v>44859.555555555198</v>
      </c>
      <c r="B444" s="8" t="s">
        <v>10</v>
      </c>
      <c r="C444" s="8">
        <v>0</v>
      </c>
      <c r="D444" t="str">
        <f t="shared" si="26"/>
        <v>Tuesday</v>
      </c>
      <c r="E444">
        <v>44</v>
      </c>
      <c r="F444" s="11">
        <f>VLOOKUP(B444,'ITEMS LIST'!$B$2:$F$19,4,FALSE)</f>
        <v>1469</v>
      </c>
      <c r="G444" s="11">
        <f>VLOOKUP(B444,'ITEMS LIST'!$B$2:$F$19,5,FALSE)</f>
        <v>1184</v>
      </c>
      <c r="H444" s="11">
        <f t="shared" si="24"/>
        <v>0</v>
      </c>
      <c r="I444" s="11">
        <f t="shared" si="25"/>
        <v>0</v>
      </c>
      <c r="J444" s="11">
        <f t="shared" si="27"/>
        <v>0</v>
      </c>
    </row>
    <row r="445" spans="1:10" x14ac:dyDescent="0.3">
      <c r="A445" s="7">
        <v>44859.611111110753</v>
      </c>
      <c r="B445" s="8" t="s">
        <v>11</v>
      </c>
      <c r="C445" s="8">
        <v>0</v>
      </c>
      <c r="D445" t="str">
        <f t="shared" si="26"/>
        <v>Tuesday</v>
      </c>
      <c r="E445">
        <v>44</v>
      </c>
      <c r="F445" s="11">
        <f>VLOOKUP(B445,'ITEMS LIST'!$B$2:$F$19,4,FALSE)</f>
        <v>89</v>
      </c>
      <c r="G445" s="11">
        <f>VLOOKUP(B445,'ITEMS LIST'!$B$2:$F$19,5,FALSE)</f>
        <v>59</v>
      </c>
      <c r="H445" s="11">
        <f t="shared" si="24"/>
        <v>0</v>
      </c>
      <c r="I445" s="11">
        <f t="shared" si="25"/>
        <v>0</v>
      </c>
      <c r="J445" s="11">
        <f t="shared" si="27"/>
        <v>0</v>
      </c>
    </row>
    <row r="446" spans="1:10" x14ac:dyDescent="0.3">
      <c r="A446" s="7">
        <v>44859.666666666308</v>
      </c>
      <c r="B446" s="8" t="s">
        <v>12</v>
      </c>
      <c r="C446" s="8">
        <v>0</v>
      </c>
      <c r="D446" t="str">
        <f t="shared" si="26"/>
        <v>Tuesday</v>
      </c>
      <c r="E446">
        <v>44</v>
      </c>
      <c r="F446" s="11">
        <f>VLOOKUP(B446,'ITEMS LIST'!$B$2:$F$19,4,FALSE)</f>
        <v>310</v>
      </c>
      <c r="G446" s="11">
        <f>VLOOKUP(B446,'ITEMS LIST'!$B$2:$F$19,5,FALSE)</f>
        <v>206</v>
      </c>
      <c r="H446" s="11">
        <f t="shared" si="24"/>
        <v>0</v>
      </c>
      <c r="I446" s="11">
        <f t="shared" si="25"/>
        <v>0</v>
      </c>
      <c r="J446" s="11">
        <f t="shared" si="27"/>
        <v>0</v>
      </c>
    </row>
    <row r="447" spans="1:10" x14ac:dyDescent="0.3">
      <c r="A447" s="7">
        <v>44859.722222221862</v>
      </c>
      <c r="B447" s="8" t="s">
        <v>13</v>
      </c>
      <c r="C447" s="8">
        <v>0</v>
      </c>
      <c r="D447" t="str">
        <f t="shared" si="26"/>
        <v>Tuesday</v>
      </c>
      <c r="E447">
        <v>44</v>
      </c>
      <c r="F447" s="11">
        <f>VLOOKUP(B447,'ITEMS LIST'!$B$2:$F$19,4,FALSE)</f>
        <v>540</v>
      </c>
      <c r="G447" s="11">
        <f>VLOOKUP(B447,'ITEMS LIST'!$B$2:$F$19,5,FALSE)</f>
        <v>397</v>
      </c>
      <c r="H447" s="11">
        <f t="shared" si="24"/>
        <v>0</v>
      </c>
      <c r="I447" s="11">
        <f t="shared" si="25"/>
        <v>0</v>
      </c>
      <c r="J447" s="11">
        <f t="shared" si="27"/>
        <v>0</v>
      </c>
    </row>
    <row r="448" spans="1:10" x14ac:dyDescent="0.3">
      <c r="A448" s="7">
        <v>44859.777777777417</v>
      </c>
      <c r="B448" s="8" t="s">
        <v>14</v>
      </c>
      <c r="C448" s="8">
        <v>0</v>
      </c>
      <c r="D448" t="str">
        <f t="shared" si="26"/>
        <v>Tuesday</v>
      </c>
      <c r="E448">
        <v>44</v>
      </c>
      <c r="F448" s="11">
        <f>VLOOKUP(B448,'ITEMS LIST'!$B$2:$F$19,4,FALSE)</f>
        <v>360</v>
      </c>
      <c r="G448" s="11">
        <f>VLOOKUP(B448,'ITEMS LIST'!$B$2:$F$19,5,FALSE)</f>
        <v>248</v>
      </c>
      <c r="H448" s="11">
        <f t="shared" si="24"/>
        <v>0</v>
      </c>
      <c r="I448" s="11">
        <f t="shared" si="25"/>
        <v>0</v>
      </c>
      <c r="J448" s="11">
        <f t="shared" si="27"/>
        <v>0</v>
      </c>
    </row>
    <row r="449" spans="1:10" x14ac:dyDescent="0.3">
      <c r="A449" s="7">
        <v>44859.833333332972</v>
      </c>
      <c r="B449" s="8" t="s">
        <v>15</v>
      </c>
      <c r="C449" s="8">
        <v>0</v>
      </c>
      <c r="D449" t="str">
        <f t="shared" si="26"/>
        <v>Tuesday</v>
      </c>
      <c r="E449">
        <v>44</v>
      </c>
      <c r="F449" s="11">
        <f>VLOOKUP(B449,'ITEMS LIST'!$B$2:$F$19,4,FALSE)</f>
        <v>250</v>
      </c>
      <c r="G449" s="11">
        <f>VLOOKUP(B449,'ITEMS LIST'!$B$2:$F$19,5,FALSE)</f>
        <v>190</v>
      </c>
      <c r="H449" s="11">
        <f t="shared" si="24"/>
        <v>0</v>
      </c>
      <c r="I449" s="11">
        <f t="shared" si="25"/>
        <v>0</v>
      </c>
      <c r="J449" s="11">
        <f t="shared" si="27"/>
        <v>0</v>
      </c>
    </row>
    <row r="450" spans="1:10" x14ac:dyDescent="0.3">
      <c r="A450" s="7">
        <v>44859.888888888527</v>
      </c>
      <c r="B450" s="8" t="s">
        <v>16</v>
      </c>
      <c r="C450" s="8">
        <v>0</v>
      </c>
      <c r="D450" t="str">
        <f t="shared" si="26"/>
        <v>Tuesday</v>
      </c>
      <c r="E450">
        <v>44</v>
      </c>
      <c r="F450" s="11">
        <f>VLOOKUP(B450,'ITEMS LIST'!$B$2:$F$19,4,FALSE)</f>
        <v>120</v>
      </c>
      <c r="G450" s="11">
        <f>VLOOKUP(B450,'ITEMS LIST'!$B$2:$F$19,5,FALSE)</f>
        <v>85</v>
      </c>
      <c r="H450" s="11">
        <f t="shared" ref="H450:H513" si="28">C450*F450</f>
        <v>0</v>
      </c>
      <c r="I450" s="11">
        <f t="shared" ref="I450:I513" si="29">C450*G450</f>
        <v>0</v>
      </c>
      <c r="J450" s="11">
        <f t="shared" si="27"/>
        <v>0</v>
      </c>
    </row>
    <row r="451" spans="1:10" x14ac:dyDescent="0.3">
      <c r="A451" s="7">
        <v>44859.944444444081</v>
      </c>
      <c r="B451" s="8" t="s">
        <v>17</v>
      </c>
      <c r="C451" s="8">
        <v>0</v>
      </c>
      <c r="D451" t="str">
        <f t="shared" ref="D451:D514" si="30">TEXT(A451,"dddd")</f>
        <v>Tuesday</v>
      </c>
      <c r="E451">
        <v>44</v>
      </c>
      <c r="F451" s="11">
        <f>VLOOKUP(B451,'ITEMS LIST'!$B$2:$F$19,4,FALSE)</f>
        <v>80</v>
      </c>
      <c r="G451" s="11">
        <f>VLOOKUP(B451,'ITEMS LIST'!$B$2:$F$19,5,FALSE)</f>
        <v>55</v>
      </c>
      <c r="H451" s="11">
        <f t="shared" si="28"/>
        <v>0</v>
      </c>
      <c r="I451" s="11">
        <f t="shared" si="29"/>
        <v>0</v>
      </c>
      <c r="J451" s="11">
        <f t="shared" ref="J451:J514" si="31">H451-I451</f>
        <v>0</v>
      </c>
    </row>
    <row r="452" spans="1:10" x14ac:dyDescent="0.3">
      <c r="A452" s="7">
        <v>44859.999999999636</v>
      </c>
      <c r="B452" s="8" t="s">
        <v>0</v>
      </c>
      <c r="C452" s="8">
        <v>0</v>
      </c>
      <c r="D452" t="str">
        <f t="shared" si="30"/>
        <v>Wednesday</v>
      </c>
      <c r="E452">
        <v>44</v>
      </c>
      <c r="F452" s="11">
        <f>VLOOKUP(B452,'ITEMS LIST'!$B$2:$F$19,4,FALSE)</f>
        <v>549</v>
      </c>
      <c r="G452" s="11">
        <f>VLOOKUP(B452,'ITEMS LIST'!$B$2:$F$19,5,FALSE)</f>
        <v>365</v>
      </c>
      <c r="H452" s="11">
        <f t="shared" si="28"/>
        <v>0</v>
      </c>
      <c r="I452" s="11">
        <f t="shared" si="29"/>
        <v>0</v>
      </c>
      <c r="J452" s="11">
        <f t="shared" si="31"/>
        <v>0</v>
      </c>
    </row>
    <row r="453" spans="1:10" x14ac:dyDescent="0.3">
      <c r="A453" s="7">
        <v>44860.055555555191</v>
      </c>
      <c r="B453" s="8" t="s">
        <v>1</v>
      </c>
      <c r="C453" s="8">
        <v>1</v>
      </c>
      <c r="D453" t="str">
        <f t="shared" si="30"/>
        <v>Wednesday</v>
      </c>
      <c r="E453">
        <v>44</v>
      </c>
      <c r="F453" s="11">
        <f>VLOOKUP(B453,'ITEMS LIST'!$B$2:$F$19,4,FALSE)</f>
        <v>699</v>
      </c>
      <c r="G453" s="11">
        <f>VLOOKUP(B453,'ITEMS LIST'!$B$2:$F$19,5,FALSE)</f>
        <v>550</v>
      </c>
      <c r="H453" s="11">
        <f t="shared" si="28"/>
        <v>699</v>
      </c>
      <c r="I453" s="11">
        <f t="shared" si="29"/>
        <v>550</v>
      </c>
      <c r="J453" s="11">
        <f t="shared" si="31"/>
        <v>149</v>
      </c>
    </row>
    <row r="454" spans="1:10" x14ac:dyDescent="0.3">
      <c r="A454" s="7">
        <v>44860.111111110746</v>
      </c>
      <c r="B454" s="8" t="s">
        <v>2</v>
      </c>
      <c r="C454" s="8">
        <v>1</v>
      </c>
      <c r="D454" t="str">
        <f t="shared" si="30"/>
        <v>Wednesday</v>
      </c>
      <c r="E454">
        <v>44</v>
      </c>
      <c r="F454" s="11">
        <f>VLOOKUP(B454,'ITEMS LIST'!$B$2:$F$19,4,FALSE)</f>
        <v>739</v>
      </c>
      <c r="G454" s="11">
        <f>VLOOKUP(B454,'ITEMS LIST'!$B$2:$F$19,5,FALSE)</f>
        <v>620</v>
      </c>
      <c r="H454" s="11">
        <f t="shared" si="28"/>
        <v>739</v>
      </c>
      <c r="I454" s="11">
        <f t="shared" si="29"/>
        <v>620</v>
      </c>
      <c r="J454" s="11">
        <f t="shared" si="31"/>
        <v>119</v>
      </c>
    </row>
    <row r="455" spans="1:10" x14ac:dyDescent="0.3">
      <c r="A455" s="7">
        <v>44860.1666666663</v>
      </c>
      <c r="B455" s="8" t="s">
        <v>3</v>
      </c>
      <c r="C455" s="8">
        <v>0</v>
      </c>
      <c r="D455" t="str">
        <f t="shared" si="30"/>
        <v>Wednesday</v>
      </c>
      <c r="E455">
        <v>44</v>
      </c>
      <c r="F455" s="11">
        <f>VLOOKUP(B455,'ITEMS LIST'!$B$2:$F$19,4,FALSE)</f>
        <v>899</v>
      </c>
      <c r="G455" s="11">
        <f>VLOOKUP(B455,'ITEMS LIST'!$B$2:$F$19,5,FALSE)</f>
        <v>714</v>
      </c>
      <c r="H455" s="11">
        <f t="shared" si="28"/>
        <v>0</v>
      </c>
      <c r="I455" s="11">
        <f t="shared" si="29"/>
        <v>0</v>
      </c>
      <c r="J455" s="11">
        <f t="shared" si="31"/>
        <v>0</v>
      </c>
    </row>
    <row r="456" spans="1:10" x14ac:dyDescent="0.3">
      <c r="A456" s="7">
        <v>44860.222222221855</v>
      </c>
      <c r="B456" s="8" t="s">
        <v>4</v>
      </c>
      <c r="C456" s="8">
        <v>0</v>
      </c>
      <c r="D456" t="str">
        <f t="shared" si="30"/>
        <v>Wednesday</v>
      </c>
      <c r="E456">
        <v>44</v>
      </c>
      <c r="F456" s="11">
        <f>VLOOKUP(B456,'ITEMS LIST'!$B$2:$F$19,4,FALSE)</f>
        <v>1379</v>
      </c>
      <c r="G456" s="11">
        <f>VLOOKUP(B456,'ITEMS LIST'!$B$2:$F$19,5,FALSE)</f>
        <v>890</v>
      </c>
      <c r="H456" s="11">
        <f t="shared" si="28"/>
        <v>0</v>
      </c>
      <c r="I456" s="11">
        <f t="shared" si="29"/>
        <v>0</v>
      </c>
      <c r="J456" s="11">
        <f t="shared" si="31"/>
        <v>0</v>
      </c>
    </row>
    <row r="457" spans="1:10" x14ac:dyDescent="0.3">
      <c r="A457" s="7">
        <v>44860.27777777741</v>
      </c>
      <c r="B457" s="8" t="s">
        <v>5</v>
      </c>
      <c r="C457" s="8">
        <v>1</v>
      </c>
      <c r="D457" t="str">
        <f t="shared" si="30"/>
        <v>Wednesday</v>
      </c>
      <c r="E457">
        <v>44</v>
      </c>
      <c r="F457" s="11">
        <f>VLOOKUP(B457,'ITEMS LIST'!$B$2:$F$19,4,FALSE)</f>
        <v>849</v>
      </c>
      <c r="G457" s="11">
        <f>VLOOKUP(B457,'ITEMS LIST'!$B$2:$F$19,5,FALSE)</f>
        <v>530</v>
      </c>
      <c r="H457" s="11">
        <f t="shared" si="28"/>
        <v>849</v>
      </c>
      <c r="I457" s="11">
        <f t="shared" si="29"/>
        <v>530</v>
      </c>
      <c r="J457" s="11">
        <f t="shared" si="31"/>
        <v>319</v>
      </c>
    </row>
    <row r="458" spans="1:10" x14ac:dyDescent="0.3">
      <c r="A458" s="7">
        <v>44860.333333332965</v>
      </c>
      <c r="B458" s="8" t="s">
        <v>6</v>
      </c>
      <c r="C458" s="8">
        <v>0</v>
      </c>
      <c r="D458" t="str">
        <f t="shared" si="30"/>
        <v>Wednesday</v>
      </c>
      <c r="E458">
        <v>44</v>
      </c>
      <c r="F458" s="11">
        <f>VLOOKUP(B458,'ITEMS LIST'!$B$2:$F$19,4,FALSE)</f>
        <v>1000</v>
      </c>
      <c r="G458" s="11">
        <f>VLOOKUP(B458,'ITEMS LIST'!$B$2:$F$19,5,FALSE)</f>
        <v>768</v>
      </c>
      <c r="H458" s="11">
        <f t="shared" si="28"/>
        <v>0</v>
      </c>
      <c r="I458" s="11">
        <f t="shared" si="29"/>
        <v>0</v>
      </c>
      <c r="J458" s="11">
        <f t="shared" si="31"/>
        <v>0</v>
      </c>
    </row>
    <row r="459" spans="1:10" x14ac:dyDescent="0.3">
      <c r="A459" s="7">
        <v>44860.388888888519</v>
      </c>
      <c r="B459" s="8" t="s">
        <v>7</v>
      </c>
      <c r="C459" s="8">
        <v>1</v>
      </c>
      <c r="D459" t="str">
        <f t="shared" si="30"/>
        <v>Wednesday</v>
      </c>
      <c r="E459">
        <v>44</v>
      </c>
      <c r="F459" s="11">
        <f>VLOOKUP(B459,'ITEMS LIST'!$B$2:$F$19,4,FALSE)</f>
        <v>680</v>
      </c>
      <c r="G459" s="11">
        <f>VLOOKUP(B459,'ITEMS LIST'!$B$2:$F$19,5,FALSE)</f>
        <v>570</v>
      </c>
      <c r="H459" s="11">
        <f t="shared" si="28"/>
        <v>680</v>
      </c>
      <c r="I459" s="11">
        <f t="shared" si="29"/>
        <v>570</v>
      </c>
      <c r="J459" s="11">
        <f t="shared" si="31"/>
        <v>110</v>
      </c>
    </row>
    <row r="460" spans="1:10" x14ac:dyDescent="0.3">
      <c r="A460" s="7">
        <v>44860.444444444074</v>
      </c>
      <c r="B460" s="8" t="s">
        <v>8</v>
      </c>
      <c r="C460" s="8">
        <v>0</v>
      </c>
      <c r="D460" t="str">
        <f t="shared" si="30"/>
        <v>Wednesday</v>
      </c>
      <c r="E460">
        <v>44</v>
      </c>
      <c r="F460" s="11">
        <f>VLOOKUP(B460,'ITEMS LIST'!$B$2:$F$19,4,FALSE)</f>
        <v>199</v>
      </c>
      <c r="G460" s="11">
        <f>VLOOKUP(B460,'ITEMS LIST'!$B$2:$F$19,5,FALSE)</f>
        <v>140</v>
      </c>
      <c r="H460" s="11">
        <f t="shared" si="28"/>
        <v>0</v>
      </c>
      <c r="I460" s="11">
        <f t="shared" si="29"/>
        <v>0</v>
      </c>
      <c r="J460" s="11">
        <f t="shared" si="31"/>
        <v>0</v>
      </c>
    </row>
    <row r="461" spans="1:10" x14ac:dyDescent="0.3">
      <c r="A461" s="7">
        <v>44860.499999999629</v>
      </c>
      <c r="B461" s="8" t="s">
        <v>9</v>
      </c>
      <c r="C461" s="8">
        <v>0</v>
      </c>
      <c r="D461" t="str">
        <f t="shared" si="30"/>
        <v>Wednesday</v>
      </c>
      <c r="E461">
        <v>44</v>
      </c>
      <c r="F461" s="11">
        <f>VLOOKUP(B461,'ITEMS LIST'!$B$2:$F$19,4,FALSE)</f>
        <v>219</v>
      </c>
      <c r="G461" s="11">
        <f>VLOOKUP(B461,'ITEMS LIST'!$B$2:$F$19,5,FALSE)</f>
        <v>132</v>
      </c>
      <c r="H461" s="11">
        <f t="shared" si="28"/>
        <v>0</v>
      </c>
      <c r="I461" s="11">
        <f t="shared" si="29"/>
        <v>0</v>
      </c>
      <c r="J461" s="11">
        <f t="shared" si="31"/>
        <v>0</v>
      </c>
    </row>
    <row r="462" spans="1:10" x14ac:dyDescent="0.3">
      <c r="A462" s="7">
        <v>44860.555555555184</v>
      </c>
      <c r="B462" s="8" t="s">
        <v>10</v>
      </c>
      <c r="C462" s="8">
        <v>0</v>
      </c>
      <c r="D462" t="str">
        <f t="shared" si="30"/>
        <v>Wednesday</v>
      </c>
      <c r="E462">
        <v>44</v>
      </c>
      <c r="F462" s="11">
        <f>VLOOKUP(B462,'ITEMS LIST'!$B$2:$F$19,4,FALSE)</f>
        <v>1469</v>
      </c>
      <c r="G462" s="11">
        <f>VLOOKUP(B462,'ITEMS LIST'!$B$2:$F$19,5,FALSE)</f>
        <v>1184</v>
      </c>
      <c r="H462" s="11">
        <f t="shared" si="28"/>
        <v>0</v>
      </c>
      <c r="I462" s="11">
        <f t="shared" si="29"/>
        <v>0</v>
      </c>
      <c r="J462" s="11">
        <f t="shared" si="31"/>
        <v>0</v>
      </c>
    </row>
    <row r="463" spans="1:10" x14ac:dyDescent="0.3">
      <c r="A463" s="7">
        <v>44860.611111110738</v>
      </c>
      <c r="B463" s="8" t="s">
        <v>11</v>
      </c>
      <c r="C463" s="8">
        <v>0</v>
      </c>
      <c r="D463" t="str">
        <f t="shared" si="30"/>
        <v>Wednesday</v>
      </c>
      <c r="E463">
        <v>44</v>
      </c>
      <c r="F463" s="11">
        <f>VLOOKUP(B463,'ITEMS LIST'!$B$2:$F$19,4,FALSE)</f>
        <v>89</v>
      </c>
      <c r="G463" s="11">
        <f>VLOOKUP(B463,'ITEMS LIST'!$B$2:$F$19,5,FALSE)</f>
        <v>59</v>
      </c>
      <c r="H463" s="11">
        <f t="shared" si="28"/>
        <v>0</v>
      </c>
      <c r="I463" s="11">
        <f t="shared" si="29"/>
        <v>0</v>
      </c>
      <c r="J463" s="11">
        <f t="shared" si="31"/>
        <v>0</v>
      </c>
    </row>
    <row r="464" spans="1:10" x14ac:dyDescent="0.3">
      <c r="A464" s="7">
        <v>44860.666666666293</v>
      </c>
      <c r="B464" s="8" t="s">
        <v>12</v>
      </c>
      <c r="C464" s="8">
        <v>0</v>
      </c>
      <c r="D464" t="str">
        <f t="shared" si="30"/>
        <v>Wednesday</v>
      </c>
      <c r="E464">
        <v>44</v>
      </c>
      <c r="F464" s="11">
        <f>VLOOKUP(B464,'ITEMS LIST'!$B$2:$F$19,4,FALSE)</f>
        <v>310</v>
      </c>
      <c r="G464" s="11">
        <f>VLOOKUP(B464,'ITEMS LIST'!$B$2:$F$19,5,FALSE)</f>
        <v>206</v>
      </c>
      <c r="H464" s="11">
        <f t="shared" si="28"/>
        <v>0</v>
      </c>
      <c r="I464" s="11">
        <f t="shared" si="29"/>
        <v>0</v>
      </c>
      <c r="J464" s="11">
        <f t="shared" si="31"/>
        <v>0</v>
      </c>
    </row>
    <row r="465" spans="1:10" x14ac:dyDescent="0.3">
      <c r="A465" s="7">
        <v>44860.722222221848</v>
      </c>
      <c r="B465" s="8" t="s">
        <v>13</v>
      </c>
      <c r="C465" s="8">
        <v>0</v>
      </c>
      <c r="D465" t="str">
        <f t="shared" si="30"/>
        <v>Wednesday</v>
      </c>
      <c r="E465">
        <v>44</v>
      </c>
      <c r="F465" s="11">
        <f>VLOOKUP(B465,'ITEMS LIST'!$B$2:$F$19,4,FALSE)</f>
        <v>540</v>
      </c>
      <c r="G465" s="11">
        <f>VLOOKUP(B465,'ITEMS LIST'!$B$2:$F$19,5,FALSE)</f>
        <v>397</v>
      </c>
      <c r="H465" s="11">
        <f t="shared" si="28"/>
        <v>0</v>
      </c>
      <c r="I465" s="11">
        <f t="shared" si="29"/>
        <v>0</v>
      </c>
      <c r="J465" s="11">
        <f t="shared" si="31"/>
        <v>0</v>
      </c>
    </row>
    <row r="466" spans="1:10" x14ac:dyDescent="0.3">
      <c r="A466" s="7">
        <v>44860.777777777403</v>
      </c>
      <c r="B466" s="8" t="s">
        <v>14</v>
      </c>
      <c r="C466" s="8">
        <v>0</v>
      </c>
      <c r="D466" t="str">
        <f t="shared" si="30"/>
        <v>Wednesday</v>
      </c>
      <c r="E466">
        <v>44</v>
      </c>
      <c r="F466" s="11">
        <f>VLOOKUP(B466,'ITEMS LIST'!$B$2:$F$19,4,FALSE)</f>
        <v>360</v>
      </c>
      <c r="G466" s="11">
        <f>VLOOKUP(B466,'ITEMS LIST'!$B$2:$F$19,5,FALSE)</f>
        <v>248</v>
      </c>
      <c r="H466" s="11">
        <f t="shared" si="28"/>
        <v>0</v>
      </c>
      <c r="I466" s="11">
        <f t="shared" si="29"/>
        <v>0</v>
      </c>
      <c r="J466" s="11">
        <f t="shared" si="31"/>
        <v>0</v>
      </c>
    </row>
    <row r="467" spans="1:10" x14ac:dyDescent="0.3">
      <c r="A467" s="7">
        <v>44860.833333332957</v>
      </c>
      <c r="B467" s="8" t="s">
        <v>15</v>
      </c>
      <c r="C467" s="8">
        <v>0</v>
      </c>
      <c r="D467" t="str">
        <f t="shared" si="30"/>
        <v>Wednesday</v>
      </c>
      <c r="E467">
        <v>44</v>
      </c>
      <c r="F467" s="11">
        <f>VLOOKUP(B467,'ITEMS LIST'!$B$2:$F$19,4,FALSE)</f>
        <v>250</v>
      </c>
      <c r="G467" s="11">
        <f>VLOOKUP(B467,'ITEMS LIST'!$B$2:$F$19,5,FALSE)</f>
        <v>190</v>
      </c>
      <c r="H467" s="11">
        <f t="shared" si="28"/>
        <v>0</v>
      </c>
      <c r="I467" s="11">
        <f t="shared" si="29"/>
        <v>0</v>
      </c>
      <c r="J467" s="11">
        <f t="shared" si="31"/>
        <v>0</v>
      </c>
    </row>
    <row r="468" spans="1:10" x14ac:dyDescent="0.3">
      <c r="A468" s="7">
        <v>44860.888888888512</v>
      </c>
      <c r="B468" s="8" t="s">
        <v>16</v>
      </c>
      <c r="C468" s="8">
        <v>0</v>
      </c>
      <c r="D468" t="str">
        <f t="shared" si="30"/>
        <v>Wednesday</v>
      </c>
      <c r="E468">
        <v>44</v>
      </c>
      <c r="F468" s="11">
        <f>VLOOKUP(B468,'ITEMS LIST'!$B$2:$F$19,4,FALSE)</f>
        <v>120</v>
      </c>
      <c r="G468" s="11">
        <f>VLOOKUP(B468,'ITEMS LIST'!$B$2:$F$19,5,FALSE)</f>
        <v>85</v>
      </c>
      <c r="H468" s="11">
        <f t="shared" si="28"/>
        <v>0</v>
      </c>
      <c r="I468" s="11">
        <f t="shared" si="29"/>
        <v>0</v>
      </c>
      <c r="J468" s="11">
        <f t="shared" si="31"/>
        <v>0</v>
      </c>
    </row>
    <row r="469" spans="1:10" x14ac:dyDescent="0.3">
      <c r="A469" s="7">
        <v>44860.944444444067</v>
      </c>
      <c r="B469" s="8" t="s">
        <v>17</v>
      </c>
      <c r="C469" s="8">
        <v>0</v>
      </c>
      <c r="D469" t="str">
        <f t="shared" si="30"/>
        <v>Wednesday</v>
      </c>
      <c r="E469">
        <v>44</v>
      </c>
      <c r="F469" s="11">
        <f>VLOOKUP(B469,'ITEMS LIST'!$B$2:$F$19,4,FALSE)</f>
        <v>80</v>
      </c>
      <c r="G469" s="11">
        <f>VLOOKUP(B469,'ITEMS LIST'!$B$2:$F$19,5,FALSE)</f>
        <v>55</v>
      </c>
      <c r="H469" s="11">
        <f t="shared" si="28"/>
        <v>0</v>
      </c>
      <c r="I469" s="11">
        <f t="shared" si="29"/>
        <v>0</v>
      </c>
      <c r="J469" s="11">
        <f t="shared" si="31"/>
        <v>0</v>
      </c>
    </row>
    <row r="470" spans="1:10" x14ac:dyDescent="0.3">
      <c r="A470" s="7">
        <v>44860.999999999622</v>
      </c>
      <c r="B470" s="8" t="s">
        <v>0</v>
      </c>
      <c r="C470" s="8">
        <v>0</v>
      </c>
      <c r="D470" t="str">
        <f t="shared" si="30"/>
        <v>Thursday</v>
      </c>
      <c r="E470">
        <v>44</v>
      </c>
      <c r="F470" s="11">
        <f>VLOOKUP(B470,'ITEMS LIST'!$B$2:$F$19,4,FALSE)</f>
        <v>549</v>
      </c>
      <c r="G470" s="11">
        <f>VLOOKUP(B470,'ITEMS LIST'!$B$2:$F$19,5,FALSE)</f>
        <v>365</v>
      </c>
      <c r="H470" s="11">
        <f t="shared" si="28"/>
        <v>0</v>
      </c>
      <c r="I470" s="11">
        <f t="shared" si="29"/>
        <v>0</v>
      </c>
      <c r="J470" s="11">
        <f t="shared" si="31"/>
        <v>0</v>
      </c>
    </row>
    <row r="471" spans="1:10" x14ac:dyDescent="0.3">
      <c r="A471" s="7">
        <v>44861.055555555176</v>
      </c>
      <c r="B471" s="8" t="s">
        <v>1</v>
      </c>
      <c r="C471" s="8">
        <v>1</v>
      </c>
      <c r="D471" t="str">
        <f t="shared" si="30"/>
        <v>Thursday</v>
      </c>
      <c r="E471">
        <v>44</v>
      </c>
      <c r="F471" s="11">
        <f>VLOOKUP(B471,'ITEMS LIST'!$B$2:$F$19,4,FALSE)</f>
        <v>699</v>
      </c>
      <c r="G471" s="11">
        <f>VLOOKUP(B471,'ITEMS LIST'!$B$2:$F$19,5,FALSE)</f>
        <v>550</v>
      </c>
      <c r="H471" s="11">
        <f t="shared" si="28"/>
        <v>699</v>
      </c>
      <c r="I471" s="11">
        <f t="shared" si="29"/>
        <v>550</v>
      </c>
      <c r="J471" s="11">
        <f t="shared" si="31"/>
        <v>149</v>
      </c>
    </row>
    <row r="472" spans="1:10" x14ac:dyDescent="0.3">
      <c r="A472" s="7">
        <v>44861.111111110731</v>
      </c>
      <c r="B472" s="8" t="s">
        <v>2</v>
      </c>
      <c r="C472" s="8">
        <v>2</v>
      </c>
      <c r="D472" t="str">
        <f t="shared" si="30"/>
        <v>Thursday</v>
      </c>
      <c r="E472">
        <v>44</v>
      </c>
      <c r="F472" s="11">
        <f>VLOOKUP(B472,'ITEMS LIST'!$B$2:$F$19,4,FALSE)</f>
        <v>739</v>
      </c>
      <c r="G472" s="11">
        <f>VLOOKUP(B472,'ITEMS LIST'!$B$2:$F$19,5,FALSE)</f>
        <v>620</v>
      </c>
      <c r="H472" s="11">
        <f t="shared" si="28"/>
        <v>1478</v>
      </c>
      <c r="I472" s="11">
        <f t="shared" si="29"/>
        <v>1240</v>
      </c>
      <c r="J472" s="11">
        <f t="shared" si="31"/>
        <v>238</v>
      </c>
    </row>
    <row r="473" spans="1:10" x14ac:dyDescent="0.3">
      <c r="A473" s="7">
        <v>44861.166666666286</v>
      </c>
      <c r="B473" s="8" t="s">
        <v>3</v>
      </c>
      <c r="C473" s="8">
        <v>0</v>
      </c>
      <c r="D473" t="str">
        <f t="shared" si="30"/>
        <v>Thursday</v>
      </c>
      <c r="E473">
        <v>44</v>
      </c>
      <c r="F473" s="11">
        <f>VLOOKUP(B473,'ITEMS LIST'!$B$2:$F$19,4,FALSE)</f>
        <v>899</v>
      </c>
      <c r="G473" s="11">
        <f>VLOOKUP(B473,'ITEMS LIST'!$B$2:$F$19,5,FALSE)</f>
        <v>714</v>
      </c>
      <c r="H473" s="11">
        <f t="shared" si="28"/>
        <v>0</v>
      </c>
      <c r="I473" s="11">
        <f t="shared" si="29"/>
        <v>0</v>
      </c>
      <c r="J473" s="11">
        <f t="shared" si="31"/>
        <v>0</v>
      </c>
    </row>
    <row r="474" spans="1:10" x14ac:dyDescent="0.3">
      <c r="A474" s="7">
        <v>44861.222222221841</v>
      </c>
      <c r="B474" s="8" t="s">
        <v>4</v>
      </c>
      <c r="C474" s="8">
        <v>0</v>
      </c>
      <c r="D474" t="str">
        <f t="shared" si="30"/>
        <v>Thursday</v>
      </c>
      <c r="E474">
        <v>44</v>
      </c>
      <c r="F474" s="11">
        <f>VLOOKUP(B474,'ITEMS LIST'!$B$2:$F$19,4,FALSE)</f>
        <v>1379</v>
      </c>
      <c r="G474" s="11">
        <f>VLOOKUP(B474,'ITEMS LIST'!$B$2:$F$19,5,FALSE)</f>
        <v>890</v>
      </c>
      <c r="H474" s="11">
        <f t="shared" si="28"/>
        <v>0</v>
      </c>
      <c r="I474" s="11">
        <f t="shared" si="29"/>
        <v>0</v>
      </c>
      <c r="J474" s="11">
        <f t="shared" si="31"/>
        <v>0</v>
      </c>
    </row>
    <row r="475" spans="1:10" x14ac:dyDescent="0.3">
      <c r="A475" s="7">
        <v>44861.277777777395</v>
      </c>
      <c r="B475" s="8" t="s">
        <v>5</v>
      </c>
      <c r="C475" s="8">
        <v>0</v>
      </c>
      <c r="D475" t="str">
        <f t="shared" si="30"/>
        <v>Thursday</v>
      </c>
      <c r="E475">
        <v>44</v>
      </c>
      <c r="F475" s="11">
        <f>VLOOKUP(B475,'ITEMS LIST'!$B$2:$F$19,4,FALSE)</f>
        <v>849</v>
      </c>
      <c r="G475" s="11">
        <f>VLOOKUP(B475,'ITEMS LIST'!$B$2:$F$19,5,FALSE)</f>
        <v>530</v>
      </c>
      <c r="H475" s="11">
        <f t="shared" si="28"/>
        <v>0</v>
      </c>
      <c r="I475" s="11">
        <f t="shared" si="29"/>
        <v>0</v>
      </c>
      <c r="J475" s="11">
        <f t="shared" si="31"/>
        <v>0</v>
      </c>
    </row>
    <row r="476" spans="1:10" x14ac:dyDescent="0.3">
      <c r="A476" s="7">
        <v>44861.33333333295</v>
      </c>
      <c r="B476" s="8" t="s">
        <v>6</v>
      </c>
      <c r="C476" s="8">
        <v>0</v>
      </c>
      <c r="D476" t="str">
        <f t="shared" si="30"/>
        <v>Thursday</v>
      </c>
      <c r="E476">
        <v>44</v>
      </c>
      <c r="F476" s="11">
        <f>VLOOKUP(B476,'ITEMS LIST'!$B$2:$F$19,4,FALSE)</f>
        <v>1000</v>
      </c>
      <c r="G476" s="11">
        <f>VLOOKUP(B476,'ITEMS LIST'!$B$2:$F$19,5,FALSE)</f>
        <v>768</v>
      </c>
      <c r="H476" s="11">
        <f t="shared" si="28"/>
        <v>0</v>
      </c>
      <c r="I476" s="11">
        <f t="shared" si="29"/>
        <v>0</v>
      </c>
      <c r="J476" s="11">
        <f t="shared" si="31"/>
        <v>0</v>
      </c>
    </row>
    <row r="477" spans="1:10" x14ac:dyDescent="0.3">
      <c r="A477" s="7">
        <v>44861.388888888505</v>
      </c>
      <c r="B477" s="8" t="s">
        <v>7</v>
      </c>
      <c r="C477" s="8">
        <v>0</v>
      </c>
      <c r="D477" t="str">
        <f t="shared" si="30"/>
        <v>Thursday</v>
      </c>
      <c r="E477">
        <v>44</v>
      </c>
      <c r="F477" s="11">
        <f>VLOOKUP(B477,'ITEMS LIST'!$B$2:$F$19,4,FALSE)</f>
        <v>680</v>
      </c>
      <c r="G477" s="11">
        <f>VLOOKUP(B477,'ITEMS LIST'!$B$2:$F$19,5,FALSE)</f>
        <v>570</v>
      </c>
      <c r="H477" s="11">
        <f t="shared" si="28"/>
        <v>0</v>
      </c>
      <c r="I477" s="11">
        <f t="shared" si="29"/>
        <v>0</v>
      </c>
      <c r="J477" s="11">
        <f t="shared" si="31"/>
        <v>0</v>
      </c>
    </row>
    <row r="478" spans="1:10" x14ac:dyDescent="0.3">
      <c r="A478" s="7">
        <v>44861.44444444406</v>
      </c>
      <c r="B478" s="8" t="s">
        <v>8</v>
      </c>
      <c r="C478" s="8">
        <v>0</v>
      </c>
      <c r="D478" t="str">
        <f t="shared" si="30"/>
        <v>Thursday</v>
      </c>
      <c r="E478">
        <v>44</v>
      </c>
      <c r="F478" s="11">
        <f>VLOOKUP(B478,'ITEMS LIST'!$B$2:$F$19,4,FALSE)</f>
        <v>199</v>
      </c>
      <c r="G478" s="11">
        <f>VLOOKUP(B478,'ITEMS LIST'!$B$2:$F$19,5,FALSE)</f>
        <v>140</v>
      </c>
      <c r="H478" s="11">
        <f t="shared" si="28"/>
        <v>0</v>
      </c>
      <c r="I478" s="11">
        <f t="shared" si="29"/>
        <v>0</v>
      </c>
      <c r="J478" s="11">
        <f t="shared" si="31"/>
        <v>0</v>
      </c>
    </row>
    <row r="479" spans="1:10" x14ac:dyDescent="0.3">
      <c r="A479" s="7">
        <v>44861.499999999614</v>
      </c>
      <c r="B479" s="8" t="s">
        <v>9</v>
      </c>
      <c r="C479" s="8">
        <v>0</v>
      </c>
      <c r="D479" t="str">
        <f t="shared" si="30"/>
        <v>Thursday</v>
      </c>
      <c r="E479">
        <v>44</v>
      </c>
      <c r="F479" s="11">
        <f>VLOOKUP(B479,'ITEMS LIST'!$B$2:$F$19,4,FALSE)</f>
        <v>219</v>
      </c>
      <c r="G479" s="11">
        <f>VLOOKUP(B479,'ITEMS LIST'!$B$2:$F$19,5,FALSE)</f>
        <v>132</v>
      </c>
      <c r="H479" s="11">
        <f t="shared" si="28"/>
        <v>0</v>
      </c>
      <c r="I479" s="11">
        <f t="shared" si="29"/>
        <v>0</v>
      </c>
      <c r="J479" s="11">
        <f t="shared" si="31"/>
        <v>0</v>
      </c>
    </row>
    <row r="480" spans="1:10" x14ac:dyDescent="0.3">
      <c r="A480" s="7">
        <v>44861.555555555169</v>
      </c>
      <c r="B480" s="8" t="s">
        <v>10</v>
      </c>
      <c r="C480" s="8">
        <v>0</v>
      </c>
      <c r="D480" t="str">
        <f t="shared" si="30"/>
        <v>Thursday</v>
      </c>
      <c r="E480">
        <v>44</v>
      </c>
      <c r="F480" s="11">
        <f>VLOOKUP(B480,'ITEMS LIST'!$B$2:$F$19,4,FALSE)</f>
        <v>1469</v>
      </c>
      <c r="G480" s="11">
        <f>VLOOKUP(B480,'ITEMS LIST'!$B$2:$F$19,5,FALSE)</f>
        <v>1184</v>
      </c>
      <c r="H480" s="11">
        <f t="shared" si="28"/>
        <v>0</v>
      </c>
      <c r="I480" s="11">
        <f t="shared" si="29"/>
        <v>0</v>
      </c>
      <c r="J480" s="11">
        <f t="shared" si="31"/>
        <v>0</v>
      </c>
    </row>
    <row r="481" spans="1:10" x14ac:dyDescent="0.3">
      <c r="A481" s="7">
        <v>44861.611111110724</v>
      </c>
      <c r="B481" s="8" t="s">
        <v>11</v>
      </c>
      <c r="C481" s="8">
        <v>0</v>
      </c>
      <c r="D481" t="str">
        <f t="shared" si="30"/>
        <v>Thursday</v>
      </c>
      <c r="E481">
        <v>44</v>
      </c>
      <c r="F481" s="11">
        <f>VLOOKUP(B481,'ITEMS LIST'!$B$2:$F$19,4,FALSE)</f>
        <v>89</v>
      </c>
      <c r="G481" s="11">
        <f>VLOOKUP(B481,'ITEMS LIST'!$B$2:$F$19,5,FALSE)</f>
        <v>59</v>
      </c>
      <c r="H481" s="11">
        <f t="shared" si="28"/>
        <v>0</v>
      </c>
      <c r="I481" s="11">
        <f t="shared" si="29"/>
        <v>0</v>
      </c>
      <c r="J481" s="11">
        <f t="shared" si="31"/>
        <v>0</v>
      </c>
    </row>
    <row r="482" spans="1:10" x14ac:dyDescent="0.3">
      <c r="A482" s="7">
        <v>44861.666666666279</v>
      </c>
      <c r="B482" s="8" t="s">
        <v>12</v>
      </c>
      <c r="C482" s="8">
        <v>0</v>
      </c>
      <c r="D482" t="str">
        <f t="shared" si="30"/>
        <v>Thursday</v>
      </c>
      <c r="E482">
        <v>44</v>
      </c>
      <c r="F482" s="11">
        <f>VLOOKUP(B482,'ITEMS LIST'!$B$2:$F$19,4,FALSE)</f>
        <v>310</v>
      </c>
      <c r="G482" s="11">
        <f>VLOOKUP(B482,'ITEMS LIST'!$B$2:$F$19,5,FALSE)</f>
        <v>206</v>
      </c>
      <c r="H482" s="11">
        <f t="shared" si="28"/>
        <v>0</v>
      </c>
      <c r="I482" s="11">
        <f t="shared" si="29"/>
        <v>0</v>
      </c>
      <c r="J482" s="11">
        <f t="shared" si="31"/>
        <v>0</v>
      </c>
    </row>
    <row r="483" spans="1:10" x14ac:dyDescent="0.3">
      <c r="A483" s="7">
        <v>44861.722222221833</v>
      </c>
      <c r="B483" s="8" t="s">
        <v>13</v>
      </c>
      <c r="C483" s="8">
        <v>0</v>
      </c>
      <c r="D483" t="str">
        <f t="shared" si="30"/>
        <v>Thursday</v>
      </c>
      <c r="E483">
        <v>44</v>
      </c>
      <c r="F483" s="11">
        <f>VLOOKUP(B483,'ITEMS LIST'!$B$2:$F$19,4,FALSE)</f>
        <v>540</v>
      </c>
      <c r="G483" s="11">
        <f>VLOOKUP(B483,'ITEMS LIST'!$B$2:$F$19,5,FALSE)</f>
        <v>397</v>
      </c>
      <c r="H483" s="11">
        <f t="shared" si="28"/>
        <v>0</v>
      </c>
      <c r="I483" s="11">
        <f t="shared" si="29"/>
        <v>0</v>
      </c>
      <c r="J483" s="11">
        <f t="shared" si="31"/>
        <v>0</v>
      </c>
    </row>
    <row r="484" spans="1:10" x14ac:dyDescent="0.3">
      <c r="A484" s="7">
        <v>44861.777777777388</v>
      </c>
      <c r="B484" s="8" t="s">
        <v>14</v>
      </c>
      <c r="C484" s="8">
        <v>0</v>
      </c>
      <c r="D484" t="str">
        <f t="shared" si="30"/>
        <v>Thursday</v>
      </c>
      <c r="E484">
        <v>44</v>
      </c>
      <c r="F484" s="11">
        <f>VLOOKUP(B484,'ITEMS LIST'!$B$2:$F$19,4,FALSE)</f>
        <v>360</v>
      </c>
      <c r="G484" s="11">
        <f>VLOOKUP(B484,'ITEMS LIST'!$B$2:$F$19,5,FALSE)</f>
        <v>248</v>
      </c>
      <c r="H484" s="11">
        <f t="shared" si="28"/>
        <v>0</v>
      </c>
      <c r="I484" s="11">
        <f t="shared" si="29"/>
        <v>0</v>
      </c>
      <c r="J484" s="11">
        <f t="shared" si="31"/>
        <v>0</v>
      </c>
    </row>
    <row r="485" spans="1:10" x14ac:dyDescent="0.3">
      <c r="A485" s="7">
        <v>44861.833333332943</v>
      </c>
      <c r="B485" s="8" t="s">
        <v>15</v>
      </c>
      <c r="C485" s="8">
        <v>0</v>
      </c>
      <c r="D485" t="str">
        <f t="shared" si="30"/>
        <v>Thursday</v>
      </c>
      <c r="E485">
        <v>44</v>
      </c>
      <c r="F485" s="11">
        <f>VLOOKUP(B485,'ITEMS LIST'!$B$2:$F$19,4,FALSE)</f>
        <v>250</v>
      </c>
      <c r="G485" s="11">
        <f>VLOOKUP(B485,'ITEMS LIST'!$B$2:$F$19,5,FALSE)</f>
        <v>190</v>
      </c>
      <c r="H485" s="11">
        <f t="shared" si="28"/>
        <v>0</v>
      </c>
      <c r="I485" s="11">
        <f t="shared" si="29"/>
        <v>0</v>
      </c>
      <c r="J485" s="11">
        <f t="shared" si="31"/>
        <v>0</v>
      </c>
    </row>
    <row r="486" spans="1:10" x14ac:dyDescent="0.3">
      <c r="A486" s="7">
        <v>44861.888888888498</v>
      </c>
      <c r="B486" s="8" t="s">
        <v>16</v>
      </c>
      <c r="C486" s="8">
        <v>0</v>
      </c>
      <c r="D486" t="str">
        <f t="shared" si="30"/>
        <v>Thursday</v>
      </c>
      <c r="E486">
        <v>44</v>
      </c>
      <c r="F486" s="11">
        <f>VLOOKUP(B486,'ITEMS LIST'!$B$2:$F$19,4,FALSE)</f>
        <v>120</v>
      </c>
      <c r="G486" s="11">
        <f>VLOOKUP(B486,'ITEMS LIST'!$B$2:$F$19,5,FALSE)</f>
        <v>85</v>
      </c>
      <c r="H486" s="11">
        <f t="shared" si="28"/>
        <v>0</v>
      </c>
      <c r="I486" s="11">
        <f t="shared" si="29"/>
        <v>0</v>
      </c>
      <c r="J486" s="11">
        <f t="shared" si="31"/>
        <v>0</v>
      </c>
    </row>
    <row r="487" spans="1:10" x14ac:dyDescent="0.3">
      <c r="A487" s="7">
        <v>44861.944444444052</v>
      </c>
      <c r="B487" s="8" t="s">
        <v>17</v>
      </c>
      <c r="C487" s="8">
        <v>0</v>
      </c>
      <c r="D487" t="str">
        <f t="shared" si="30"/>
        <v>Thursday</v>
      </c>
      <c r="E487">
        <v>44</v>
      </c>
      <c r="F487" s="11">
        <f>VLOOKUP(B487,'ITEMS LIST'!$B$2:$F$19,4,FALSE)</f>
        <v>80</v>
      </c>
      <c r="G487" s="11">
        <f>VLOOKUP(B487,'ITEMS LIST'!$B$2:$F$19,5,FALSE)</f>
        <v>55</v>
      </c>
      <c r="H487" s="11">
        <f t="shared" si="28"/>
        <v>0</v>
      </c>
      <c r="I487" s="11">
        <f t="shared" si="29"/>
        <v>0</v>
      </c>
      <c r="J487" s="11">
        <f t="shared" si="31"/>
        <v>0</v>
      </c>
    </row>
    <row r="488" spans="1:10" x14ac:dyDescent="0.3">
      <c r="A488" s="7">
        <v>44861.999999999607</v>
      </c>
      <c r="B488" s="8" t="s">
        <v>0</v>
      </c>
      <c r="C488" s="8">
        <v>1</v>
      </c>
      <c r="D488" t="str">
        <f t="shared" si="30"/>
        <v>Friday</v>
      </c>
      <c r="E488">
        <v>44</v>
      </c>
      <c r="F488" s="11">
        <f>VLOOKUP(B488,'ITEMS LIST'!$B$2:$F$19,4,FALSE)</f>
        <v>549</v>
      </c>
      <c r="G488" s="11">
        <f>VLOOKUP(B488,'ITEMS LIST'!$B$2:$F$19,5,FALSE)</f>
        <v>365</v>
      </c>
      <c r="H488" s="11">
        <f t="shared" si="28"/>
        <v>549</v>
      </c>
      <c r="I488" s="11">
        <f t="shared" si="29"/>
        <v>365</v>
      </c>
      <c r="J488" s="11">
        <f t="shared" si="31"/>
        <v>184</v>
      </c>
    </row>
    <row r="489" spans="1:10" x14ac:dyDescent="0.3">
      <c r="A489" s="7">
        <v>44862.055555555162</v>
      </c>
      <c r="B489" s="8" t="s">
        <v>1</v>
      </c>
      <c r="C489" s="8">
        <v>0</v>
      </c>
      <c r="D489" t="str">
        <f t="shared" si="30"/>
        <v>Friday</v>
      </c>
      <c r="E489">
        <v>44</v>
      </c>
      <c r="F489" s="11">
        <f>VLOOKUP(B489,'ITEMS LIST'!$B$2:$F$19,4,FALSE)</f>
        <v>699</v>
      </c>
      <c r="G489" s="11">
        <f>VLOOKUP(B489,'ITEMS LIST'!$B$2:$F$19,5,FALSE)</f>
        <v>550</v>
      </c>
      <c r="H489" s="11">
        <f t="shared" si="28"/>
        <v>0</v>
      </c>
      <c r="I489" s="11">
        <f t="shared" si="29"/>
        <v>0</v>
      </c>
      <c r="J489" s="11">
        <f t="shared" si="31"/>
        <v>0</v>
      </c>
    </row>
    <row r="490" spans="1:10" x14ac:dyDescent="0.3">
      <c r="A490" s="7">
        <v>44862.111111110717</v>
      </c>
      <c r="B490" s="8" t="s">
        <v>2</v>
      </c>
      <c r="C490" s="8">
        <v>0</v>
      </c>
      <c r="D490" t="str">
        <f t="shared" si="30"/>
        <v>Friday</v>
      </c>
      <c r="E490">
        <v>44</v>
      </c>
      <c r="F490" s="11">
        <f>VLOOKUP(B490,'ITEMS LIST'!$B$2:$F$19,4,FALSE)</f>
        <v>739</v>
      </c>
      <c r="G490" s="11">
        <f>VLOOKUP(B490,'ITEMS LIST'!$B$2:$F$19,5,FALSE)</f>
        <v>620</v>
      </c>
      <c r="H490" s="11">
        <f t="shared" si="28"/>
        <v>0</v>
      </c>
      <c r="I490" s="11">
        <f t="shared" si="29"/>
        <v>0</v>
      </c>
      <c r="J490" s="11">
        <f t="shared" si="31"/>
        <v>0</v>
      </c>
    </row>
    <row r="491" spans="1:10" x14ac:dyDescent="0.3">
      <c r="A491" s="7">
        <v>44862.166666666271</v>
      </c>
      <c r="B491" s="8" t="s">
        <v>3</v>
      </c>
      <c r="C491" s="8">
        <v>0</v>
      </c>
      <c r="D491" t="str">
        <f t="shared" si="30"/>
        <v>Friday</v>
      </c>
      <c r="E491">
        <v>44</v>
      </c>
      <c r="F491" s="11">
        <f>VLOOKUP(B491,'ITEMS LIST'!$B$2:$F$19,4,FALSE)</f>
        <v>899</v>
      </c>
      <c r="G491" s="11">
        <f>VLOOKUP(B491,'ITEMS LIST'!$B$2:$F$19,5,FALSE)</f>
        <v>714</v>
      </c>
      <c r="H491" s="11">
        <f t="shared" si="28"/>
        <v>0</v>
      </c>
      <c r="I491" s="11">
        <f t="shared" si="29"/>
        <v>0</v>
      </c>
      <c r="J491" s="11">
        <f t="shared" si="31"/>
        <v>0</v>
      </c>
    </row>
    <row r="492" spans="1:10" x14ac:dyDescent="0.3">
      <c r="A492" s="7">
        <v>44862.222222221826</v>
      </c>
      <c r="B492" s="8" t="s">
        <v>4</v>
      </c>
      <c r="C492" s="8">
        <v>0</v>
      </c>
      <c r="D492" t="str">
        <f t="shared" si="30"/>
        <v>Friday</v>
      </c>
      <c r="E492">
        <v>44</v>
      </c>
      <c r="F492" s="11">
        <f>VLOOKUP(B492,'ITEMS LIST'!$B$2:$F$19,4,FALSE)</f>
        <v>1379</v>
      </c>
      <c r="G492" s="11">
        <f>VLOOKUP(B492,'ITEMS LIST'!$B$2:$F$19,5,FALSE)</f>
        <v>890</v>
      </c>
      <c r="H492" s="11">
        <f t="shared" si="28"/>
        <v>0</v>
      </c>
      <c r="I492" s="11">
        <f t="shared" si="29"/>
        <v>0</v>
      </c>
      <c r="J492" s="11">
        <f t="shared" si="31"/>
        <v>0</v>
      </c>
    </row>
    <row r="493" spans="1:10" x14ac:dyDescent="0.3">
      <c r="A493" s="7">
        <v>44862.277777777381</v>
      </c>
      <c r="B493" s="8" t="s">
        <v>5</v>
      </c>
      <c r="C493" s="8">
        <v>0</v>
      </c>
      <c r="D493" t="str">
        <f t="shared" si="30"/>
        <v>Friday</v>
      </c>
      <c r="E493">
        <v>44</v>
      </c>
      <c r="F493" s="11">
        <f>VLOOKUP(B493,'ITEMS LIST'!$B$2:$F$19,4,FALSE)</f>
        <v>849</v>
      </c>
      <c r="G493" s="11">
        <f>VLOOKUP(B493,'ITEMS LIST'!$B$2:$F$19,5,FALSE)</f>
        <v>530</v>
      </c>
      <c r="H493" s="11">
        <f t="shared" si="28"/>
        <v>0</v>
      </c>
      <c r="I493" s="11">
        <f t="shared" si="29"/>
        <v>0</v>
      </c>
      <c r="J493" s="11">
        <f t="shared" si="31"/>
        <v>0</v>
      </c>
    </row>
    <row r="494" spans="1:10" x14ac:dyDescent="0.3">
      <c r="A494" s="7">
        <v>44862.333333332936</v>
      </c>
      <c r="B494" s="8" t="s">
        <v>6</v>
      </c>
      <c r="C494" s="8">
        <v>0</v>
      </c>
      <c r="D494" t="str">
        <f t="shared" si="30"/>
        <v>Friday</v>
      </c>
      <c r="E494">
        <v>44</v>
      </c>
      <c r="F494" s="11">
        <f>VLOOKUP(B494,'ITEMS LIST'!$B$2:$F$19,4,FALSE)</f>
        <v>1000</v>
      </c>
      <c r="G494" s="11">
        <f>VLOOKUP(B494,'ITEMS LIST'!$B$2:$F$19,5,FALSE)</f>
        <v>768</v>
      </c>
      <c r="H494" s="11">
        <f t="shared" si="28"/>
        <v>0</v>
      </c>
      <c r="I494" s="11">
        <f t="shared" si="29"/>
        <v>0</v>
      </c>
      <c r="J494" s="11">
        <f t="shared" si="31"/>
        <v>0</v>
      </c>
    </row>
    <row r="495" spans="1:10" x14ac:dyDescent="0.3">
      <c r="A495" s="7">
        <v>44862.38888888849</v>
      </c>
      <c r="B495" s="8" t="s">
        <v>7</v>
      </c>
      <c r="C495" s="8">
        <v>0</v>
      </c>
      <c r="D495" t="str">
        <f t="shared" si="30"/>
        <v>Friday</v>
      </c>
      <c r="E495">
        <v>44</v>
      </c>
      <c r="F495" s="11">
        <f>VLOOKUP(B495,'ITEMS LIST'!$B$2:$F$19,4,FALSE)</f>
        <v>680</v>
      </c>
      <c r="G495" s="11">
        <f>VLOOKUP(B495,'ITEMS LIST'!$B$2:$F$19,5,FALSE)</f>
        <v>570</v>
      </c>
      <c r="H495" s="11">
        <f t="shared" si="28"/>
        <v>0</v>
      </c>
      <c r="I495" s="11">
        <f t="shared" si="29"/>
        <v>0</v>
      </c>
      <c r="J495" s="11">
        <f t="shared" si="31"/>
        <v>0</v>
      </c>
    </row>
    <row r="496" spans="1:10" x14ac:dyDescent="0.3">
      <c r="A496" s="7">
        <v>44862.444444444045</v>
      </c>
      <c r="B496" s="8" t="s">
        <v>8</v>
      </c>
      <c r="C496" s="8">
        <v>0</v>
      </c>
      <c r="D496" t="str">
        <f t="shared" si="30"/>
        <v>Friday</v>
      </c>
      <c r="E496">
        <v>44</v>
      </c>
      <c r="F496" s="11">
        <f>VLOOKUP(B496,'ITEMS LIST'!$B$2:$F$19,4,FALSE)</f>
        <v>199</v>
      </c>
      <c r="G496" s="11">
        <f>VLOOKUP(B496,'ITEMS LIST'!$B$2:$F$19,5,FALSE)</f>
        <v>140</v>
      </c>
      <c r="H496" s="11">
        <f t="shared" si="28"/>
        <v>0</v>
      </c>
      <c r="I496" s="11">
        <f t="shared" si="29"/>
        <v>0</v>
      </c>
      <c r="J496" s="11">
        <f t="shared" si="31"/>
        <v>0</v>
      </c>
    </row>
    <row r="497" spans="1:10" x14ac:dyDescent="0.3">
      <c r="A497" s="7">
        <v>44862.4999999996</v>
      </c>
      <c r="B497" s="8" t="s">
        <v>9</v>
      </c>
      <c r="C497" s="8">
        <v>0</v>
      </c>
      <c r="D497" t="str">
        <f t="shared" si="30"/>
        <v>Friday</v>
      </c>
      <c r="E497">
        <v>44</v>
      </c>
      <c r="F497" s="11">
        <f>VLOOKUP(B497,'ITEMS LIST'!$B$2:$F$19,4,FALSE)</f>
        <v>219</v>
      </c>
      <c r="G497" s="11">
        <f>VLOOKUP(B497,'ITEMS LIST'!$B$2:$F$19,5,FALSE)</f>
        <v>132</v>
      </c>
      <c r="H497" s="11">
        <f t="shared" si="28"/>
        <v>0</v>
      </c>
      <c r="I497" s="11">
        <f t="shared" si="29"/>
        <v>0</v>
      </c>
      <c r="J497" s="11">
        <f t="shared" si="31"/>
        <v>0</v>
      </c>
    </row>
    <row r="498" spans="1:10" x14ac:dyDescent="0.3">
      <c r="A498" s="7">
        <v>44862.555555555155</v>
      </c>
      <c r="B498" s="8" t="s">
        <v>10</v>
      </c>
      <c r="C498" s="8">
        <v>1</v>
      </c>
      <c r="D498" t="str">
        <f t="shared" si="30"/>
        <v>Friday</v>
      </c>
      <c r="E498">
        <v>44</v>
      </c>
      <c r="F498" s="11">
        <f>VLOOKUP(B498,'ITEMS LIST'!$B$2:$F$19,4,FALSE)</f>
        <v>1469</v>
      </c>
      <c r="G498" s="11">
        <f>VLOOKUP(B498,'ITEMS LIST'!$B$2:$F$19,5,FALSE)</f>
        <v>1184</v>
      </c>
      <c r="H498" s="11">
        <f t="shared" si="28"/>
        <v>1469</v>
      </c>
      <c r="I498" s="11">
        <f t="shared" si="29"/>
        <v>1184</v>
      </c>
      <c r="J498" s="11">
        <f t="shared" si="31"/>
        <v>285</v>
      </c>
    </row>
    <row r="499" spans="1:10" x14ac:dyDescent="0.3">
      <c r="A499" s="7">
        <v>44862.611111110709</v>
      </c>
      <c r="B499" s="8" t="s">
        <v>11</v>
      </c>
      <c r="C499" s="8">
        <v>0</v>
      </c>
      <c r="D499" t="str">
        <f t="shared" si="30"/>
        <v>Friday</v>
      </c>
      <c r="E499">
        <v>44</v>
      </c>
      <c r="F499" s="11">
        <f>VLOOKUP(B499,'ITEMS LIST'!$B$2:$F$19,4,FALSE)</f>
        <v>89</v>
      </c>
      <c r="G499" s="11">
        <f>VLOOKUP(B499,'ITEMS LIST'!$B$2:$F$19,5,FALSE)</f>
        <v>59</v>
      </c>
      <c r="H499" s="11">
        <f t="shared" si="28"/>
        <v>0</v>
      </c>
      <c r="I499" s="11">
        <f t="shared" si="29"/>
        <v>0</v>
      </c>
      <c r="J499" s="11">
        <f t="shared" si="31"/>
        <v>0</v>
      </c>
    </row>
    <row r="500" spans="1:10" x14ac:dyDescent="0.3">
      <c r="A500" s="7">
        <v>44862.666666666264</v>
      </c>
      <c r="B500" s="8" t="s">
        <v>12</v>
      </c>
      <c r="C500" s="8">
        <v>0</v>
      </c>
      <c r="D500" t="str">
        <f t="shared" si="30"/>
        <v>Friday</v>
      </c>
      <c r="E500">
        <v>44</v>
      </c>
      <c r="F500" s="11">
        <f>VLOOKUP(B500,'ITEMS LIST'!$B$2:$F$19,4,FALSE)</f>
        <v>310</v>
      </c>
      <c r="G500" s="11">
        <f>VLOOKUP(B500,'ITEMS LIST'!$B$2:$F$19,5,FALSE)</f>
        <v>206</v>
      </c>
      <c r="H500" s="11">
        <f t="shared" si="28"/>
        <v>0</v>
      </c>
      <c r="I500" s="11">
        <f t="shared" si="29"/>
        <v>0</v>
      </c>
      <c r="J500" s="11">
        <f t="shared" si="31"/>
        <v>0</v>
      </c>
    </row>
    <row r="501" spans="1:10" x14ac:dyDescent="0.3">
      <c r="A501" s="7">
        <v>44862.722222221819</v>
      </c>
      <c r="B501" s="8" t="s">
        <v>13</v>
      </c>
      <c r="C501" s="8">
        <v>0</v>
      </c>
      <c r="D501" t="str">
        <f t="shared" si="30"/>
        <v>Friday</v>
      </c>
      <c r="E501">
        <v>44</v>
      </c>
      <c r="F501" s="11">
        <f>VLOOKUP(B501,'ITEMS LIST'!$B$2:$F$19,4,FALSE)</f>
        <v>540</v>
      </c>
      <c r="G501" s="11">
        <f>VLOOKUP(B501,'ITEMS LIST'!$B$2:$F$19,5,FALSE)</f>
        <v>397</v>
      </c>
      <c r="H501" s="11">
        <f t="shared" si="28"/>
        <v>0</v>
      </c>
      <c r="I501" s="11">
        <f t="shared" si="29"/>
        <v>0</v>
      </c>
      <c r="J501" s="11">
        <f t="shared" si="31"/>
        <v>0</v>
      </c>
    </row>
    <row r="502" spans="1:10" x14ac:dyDescent="0.3">
      <c r="A502" s="7">
        <v>44862.777777777374</v>
      </c>
      <c r="B502" s="8" t="s">
        <v>14</v>
      </c>
      <c r="C502" s="8">
        <v>0</v>
      </c>
      <c r="D502" t="str">
        <f t="shared" si="30"/>
        <v>Friday</v>
      </c>
      <c r="E502">
        <v>44</v>
      </c>
      <c r="F502" s="11">
        <f>VLOOKUP(B502,'ITEMS LIST'!$B$2:$F$19,4,FALSE)</f>
        <v>360</v>
      </c>
      <c r="G502" s="11">
        <f>VLOOKUP(B502,'ITEMS LIST'!$B$2:$F$19,5,FALSE)</f>
        <v>248</v>
      </c>
      <c r="H502" s="11">
        <f t="shared" si="28"/>
        <v>0</v>
      </c>
      <c r="I502" s="11">
        <f t="shared" si="29"/>
        <v>0</v>
      </c>
      <c r="J502" s="11">
        <f t="shared" si="31"/>
        <v>0</v>
      </c>
    </row>
    <row r="503" spans="1:10" x14ac:dyDescent="0.3">
      <c r="A503" s="7">
        <v>44862.833333332928</v>
      </c>
      <c r="B503" s="8" t="s">
        <v>15</v>
      </c>
      <c r="C503" s="8">
        <v>0</v>
      </c>
      <c r="D503" t="str">
        <f t="shared" si="30"/>
        <v>Friday</v>
      </c>
      <c r="E503">
        <v>44</v>
      </c>
      <c r="F503" s="11">
        <f>VLOOKUP(B503,'ITEMS LIST'!$B$2:$F$19,4,FALSE)</f>
        <v>250</v>
      </c>
      <c r="G503" s="11">
        <f>VLOOKUP(B503,'ITEMS LIST'!$B$2:$F$19,5,FALSE)</f>
        <v>190</v>
      </c>
      <c r="H503" s="11">
        <f t="shared" si="28"/>
        <v>0</v>
      </c>
      <c r="I503" s="11">
        <f t="shared" si="29"/>
        <v>0</v>
      </c>
      <c r="J503" s="11">
        <f t="shared" si="31"/>
        <v>0</v>
      </c>
    </row>
    <row r="504" spans="1:10" x14ac:dyDescent="0.3">
      <c r="A504" s="7">
        <v>44862.888888888483</v>
      </c>
      <c r="B504" s="8" t="s">
        <v>16</v>
      </c>
      <c r="C504" s="8">
        <v>0</v>
      </c>
      <c r="D504" t="str">
        <f t="shared" si="30"/>
        <v>Friday</v>
      </c>
      <c r="E504">
        <v>44</v>
      </c>
      <c r="F504" s="11">
        <f>VLOOKUP(B504,'ITEMS LIST'!$B$2:$F$19,4,FALSE)</f>
        <v>120</v>
      </c>
      <c r="G504" s="11">
        <f>VLOOKUP(B504,'ITEMS LIST'!$B$2:$F$19,5,FALSE)</f>
        <v>85</v>
      </c>
      <c r="H504" s="11">
        <f t="shared" si="28"/>
        <v>0</v>
      </c>
      <c r="I504" s="11">
        <f t="shared" si="29"/>
        <v>0</v>
      </c>
      <c r="J504" s="11">
        <f t="shared" si="31"/>
        <v>0</v>
      </c>
    </row>
    <row r="505" spans="1:10" x14ac:dyDescent="0.3">
      <c r="A505" s="7">
        <v>44862.944444444038</v>
      </c>
      <c r="B505" s="8" t="s">
        <v>17</v>
      </c>
      <c r="C505" s="8">
        <v>0</v>
      </c>
      <c r="D505" t="str">
        <f t="shared" si="30"/>
        <v>Friday</v>
      </c>
      <c r="E505">
        <v>44</v>
      </c>
      <c r="F505" s="11">
        <f>VLOOKUP(B505,'ITEMS LIST'!$B$2:$F$19,4,FALSE)</f>
        <v>80</v>
      </c>
      <c r="G505" s="11">
        <f>VLOOKUP(B505,'ITEMS LIST'!$B$2:$F$19,5,FALSE)</f>
        <v>55</v>
      </c>
      <c r="H505" s="11">
        <f t="shared" si="28"/>
        <v>0</v>
      </c>
      <c r="I505" s="11">
        <f t="shared" si="29"/>
        <v>0</v>
      </c>
      <c r="J505" s="11">
        <f t="shared" si="31"/>
        <v>0</v>
      </c>
    </row>
    <row r="506" spans="1:10" x14ac:dyDescent="0.3">
      <c r="A506" s="7">
        <v>44862.999999999593</v>
      </c>
      <c r="B506" s="8" t="s">
        <v>0</v>
      </c>
      <c r="C506" s="8">
        <v>0</v>
      </c>
      <c r="D506" t="str">
        <f t="shared" si="30"/>
        <v>Saturday</v>
      </c>
      <c r="E506">
        <v>44</v>
      </c>
      <c r="F506" s="11">
        <f>VLOOKUP(B506,'ITEMS LIST'!$B$2:$F$19,4,FALSE)</f>
        <v>549</v>
      </c>
      <c r="G506" s="11">
        <f>VLOOKUP(B506,'ITEMS LIST'!$B$2:$F$19,5,FALSE)</f>
        <v>365</v>
      </c>
      <c r="H506" s="11">
        <f t="shared" si="28"/>
        <v>0</v>
      </c>
      <c r="I506" s="11">
        <f t="shared" si="29"/>
        <v>0</v>
      </c>
      <c r="J506" s="11">
        <f t="shared" si="31"/>
        <v>0</v>
      </c>
    </row>
    <row r="507" spans="1:10" x14ac:dyDescent="0.3">
      <c r="A507" s="7">
        <v>44863.055555555147</v>
      </c>
      <c r="B507" s="8" t="s">
        <v>1</v>
      </c>
      <c r="C507" s="8">
        <v>1</v>
      </c>
      <c r="D507" t="str">
        <f t="shared" si="30"/>
        <v>Saturday</v>
      </c>
      <c r="E507">
        <v>44</v>
      </c>
      <c r="F507" s="11">
        <f>VLOOKUP(B507,'ITEMS LIST'!$B$2:$F$19,4,FALSE)</f>
        <v>699</v>
      </c>
      <c r="G507" s="11">
        <f>VLOOKUP(B507,'ITEMS LIST'!$B$2:$F$19,5,FALSE)</f>
        <v>550</v>
      </c>
      <c r="H507" s="11">
        <f t="shared" si="28"/>
        <v>699</v>
      </c>
      <c r="I507" s="11">
        <f t="shared" si="29"/>
        <v>550</v>
      </c>
      <c r="J507" s="11">
        <f t="shared" si="31"/>
        <v>149</v>
      </c>
    </row>
    <row r="508" spans="1:10" x14ac:dyDescent="0.3">
      <c r="A508" s="7">
        <v>44863.111111110702</v>
      </c>
      <c r="B508" s="8" t="s">
        <v>2</v>
      </c>
      <c r="C508" s="8">
        <v>2</v>
      </c>
      <c r="D508" t="str">
        <f t="shared" si="30"/>
        <v>Saturday</v>
      </c>
      <c r="E508">
        <v>44</v>
      </c>
      <c r="F508" s="11">
        <f>VLOOKUP(B508,'ITEMS LIST'!$B$2:$F$19,4,FALSE)</f>
        <v>739</v>
      </c>
      <c r="G508" s="11">
        <f>VLOOKUP(B508,'ITEMS LIST'!$B$2:$F$19,5,FALSE)</f>
        <v>620</v>
      </c>
      <c r="H508" s="11">
        <f t="shared" si="28"/>
        <v>1478</v>
      </c>
      <c r="I508" s="11">
        <f t="shared" si="29"/>
        <v>1240</v>
      </c>
      <c r="J508" s="11">
        <f t="shared" si="31"/>
        <v>238</v>
      </c>
    </row>
    <row r="509" spans="1:10" x14ac:dyDescent="0.3">
      <c r="A509" s="7">
        <v>44863.166666666257</v>
      </c>
      <c r="B509" s="8" t="s">
        <v>3</v>
      </c>
      <c r="C509" s="8">
        <v>6</v>
      </c>
      <c r="D509" t="str">
        <f t="shared" si="30"/>
        <v>Saturday</v>
      </c>
      <c r="E509">
        <v>44</v>
      </c>
      <c r="F509" s="11">
        <f>VLOOKUP(B509,'ITEMS LIST'!$B$2:$F$19,4,FALSE)</f>
        <v>899</v>
      </c>
      <c r="G509" s="11">
        <f>VLOOKUP(B509,'ITEMS LIST'!$B$2:$F$19,5,FALSE)</f>
        <v>714</v>
      </c>
      <c r="H509" s="11">
        <f t="shared" si="28"/>
        <v>5394</v>
      </c>
      <c r="I509" s="11">
        <f t="shared" si="29"/>
        <v>4284</v>
      </c>
      <c r="J509" s="11">
        <f t="shared" si="31"/>
        <v>1110</v>
      </c>
    </row>
    <row r="510" spans="1:10" x14ac:dyDescent="0.3">
      <c r="A510" s="7">
        <v>44863.222222221812</v>
      </c>
      <c r="B510" s="8" t="s">
        <v>4</v>
      </c>
      <c r="C510" s="8">
        <v>0</v>
      </c>
      <c r="D510" t="str">
        <f t="shared" si="30"/>
        <v>Saturday</v>
      </c>
      <c r="E510">
        <v>44</v>
      </c>
      <c r="F510" s="11">
        <f>VLOOKUP(B510,'ITEMS LIST'!$B$2:$F$19,4,FALSE)</f>
        <v>1379</v>
      </c>
      <c r="G510" s="11">
        <f>VLOOKUP(B510,'ITEMS LIST'!$B$2:$F$19,5,FALSE)</f>
        <v>890</v>
      </c>
      <c r="H510" s="11">
        <f t="shared" si="28"/>
        <v>0</v>
      </c>
      <c r="I510" s="11">
        <f t="shared" si="29"/>
        <v>0</v>
      </c>
      <c r="J510" s="11">
        <f t="shared" si="31"/>
        <v>0</v>
      </c>
    </row>
    <row r="511" spans="1:10" x14ac:dyDescent="0.3">
      <c r="A511" s="7">
        <v>44863.277777777366</v>
      </c>
      <c r="B511" s="8" t="s">
        <v>5</v>
      </c>
      <c r="C511" s="8">
        <v>13</v>
      </c>
      <c r="D511" t="str">
        <f t="shared" si="30"/>
        <v>Saturday</v>
      </c>
      <c r="E511">
        <v>44</v>
      </c>
      <c r="F511" s="11">
        <f>VLOOKUP(B511,'ITEMS LIST'!$B$2:$F$19,4,FALSE)</f>
        <v>849</v>
      </c>
      <c r="G511" s="11">
        <f>VLOOKUP(B511,'ITEMS LIST'!$B$2:$F$19,5,FALSE)</f>
        <v>530</v>
      </c>
      <c r="H511" s="11">
        <f t="shared" si="28"/>
        <v>11037</v>
      </c>
      <c r="I511" s="11">
        <f t="shared" si="29"/>
        <v>6890</v>
      </c>
      <c r="J511" s="11">
        <f t="shared" si="31"/>
        <v>4147</v>
      </c>
    </row>
    <row r="512" spans="1:10" x14ac:dyDescent="0.3">
      <c r="A512" s="7">
        <v>44863.333333332921</v>
      </c>
      <c r="B512" s="8" t="s">
        <v>6</v>
      </c>
      <c r="C512" s="8">
        <v>1</v>
      </c>
      <c r="D512" t="str">
        <f t="shared" si="30"/>
        <v>Saturday</v>
      </c>
      <c r="E512">
        <v>44</v>
      </c>
      <c r="F512" s="11">
        <f>VLOOKUP(B512,'ITEMS LIST'!$B$2:$F$19,4,FALSE)</f>
        <v>1000</v>
      </c>
      <c r="G512" s="11">
        <f>VLOOKUP(B512,'ITEMS LIST'!$B$2:$F$19,5,FALSE)</f>
        <v>768</v>
      </c>
      <c r="H512" s="11">
        <f t="shared" si="28"/>
        <v>1000</v>
      </c>
      <c r="I512" s="11">
        <f t="shared" si="29"/>
        <v>768</v>
      </c>
      <c r="J512" s="11">
        <f t="shared" si="31"/>
        <v>232</v>
      </c>
    </row>
    <row r="513" spans="1:10" x14ac:dyDescent="0.3">
      <c r="A513" s="7">
        <v>44863.388888888476</v>
      </c>
      <c r="B513" s="8" t="s">
        <v>7</v>
      </c>
      <c r="C513" s="8">
        <v>1</v>
      </c>
      <c r="D513" t="str">
        <f t="shared" si="30"/>
        <v>Saturday</v>
      </c>
      <c r="E513">
        <v>44</v>
      </c>
      <c r="F513" s="11">
        <f>VLOOKUP(B513,'ITEMS LIST'!$B$2:$F$19,4,FALSE)</f>
        <v>680</v>
      </c>
      <c r="G513" s="11">
        <f>VLOOKUP(B513,'ITEMS LIST'!$B$2:$F$19,5,FALSE)</f>
        <v>570</v>
      </c>
      <c r="H513" s="11">
        <f t="shared" si="28"/>
        <v>680</v>
      </c>
      <c r="I513" s="11">
        <f t="shared" si="29"/>
        <v>570</v>
      </c>
      <c r="J513" s="11">
        <f t="shared" si="31"/>
        <v>110</v>
      </c>
    </row>
    <row r="514" spans="1:10" x14ac:dyDescent="0.3">
      <c r="A514" s="7">
        <v>44863.444444444031</v>
      </c>
      <c r="B514" s="8" t="s">
        <v>8</v>
      </c>
      <c r="C514" s="8">
        <v>0</v>
      </c>
      <c r="D514" t="str">
        <f t="shared" si="30"/>
        <v>Saturday</v>
      </c>
      <c r="E514">
        <v>44</v>
      </c>
      <c r="F514" s="11">
        <f>VLOOKUP(B514,'ITEMS LIST'!$B$2:$F$19,4,FALSE)</f>
        <v>199</v>
      </c>
      <c r="G514" s="11">
        <f>VLOOKUP(B514,'ITEMS LIST'!$B$2:$F$19,5,FALSE)</f>
        <v>140</v>
      </c>
      <c r="H514" s="11">
        <f t="shared" ref="H514:H577" si="32">C514*F514</f>
        <v>0</v>
      </c>
      <c r="I514" s="11">
        <f t="shared" ref="I514:I577" si="33">C514*G514</f>
        <v>0</v>
      </c>
      <c r="J514" s="11">
        <f t="shared" si="31"/>
        <v>0</v>
      </c>
    </row>
    <row r="515" spans="1:10" x14ac:dyDescent="0.3">
      <c r="A515" s="7">
        <v>44863.499999999585</v>
      </c>
      <c r="B515" s="8" t="s">
        <v>9</v>
      </c>
      <c r="C515" s="8">
        <v>0</v>
      </c>
      <c r="D515" t="str">
        <f t="shared" ref="D515:D578" si="34">TEXT(A515,"dddd")</f>
        <v>Saturday</v>
      </c>
      <c r="E515">
        <v>44</v>
      </c>
      <c r="F515" s="11">
        <f>VLOOKUP(B515,'ITEMS LIST'!$B$2:$F$19,4,FALSE)</f>
        <v>219</v>
      </c>
      <c r="G515" s="11">
        <f>VLOOKUP(B515,'ITEMS LIST'!$B$2:$F$19,5,FALSE)</f>
        <v>132</v>
      </c>
      <c r="H515" s="11">
        <f t="shared" si="32"/>
        <v>0</v>
      </c>
      <c r="I515" s="11">
        <f t="shared" si="33"/>
        <v>0</v>
      </c>
      <c r="J515" s="11">
        <f t="shared" ref="J515:J578" si="35">H515-I515</f>
        <v>0</v>
      </c>
    </row>
    <row r="516" spans="1:10" x14ac:dyDescent="0.3">
      <c r="A516" s="7">
        <v>44863.55555555514</v>
      </c>
      <c r="B516" s="8" t="s">
        <v>10</v>
      </c>
      <c r="C516" s="8">
        <v>0</v>
      </c>
      <c r="D516" t="str">
        <f t="shared" si="34"/>
        <v>Saturday</v>
      </c>
      <c r="E516">
        <v>44</v>
      </c>
      <c r="F516" s="11">
        <f>VLOOKUP(B516,'ITEMS LIST'!$B$2:$F$19,4,FALSE)</f>
        <v>1469</v>
      </c>
      <c r="G516" s="11">
        <f>VLOOKUP(B516,'ITEMS LIST'!$B$2:$F$19,5,FALSE)</f>
        <v>1184</v>
      </c>
      <c r="H516" s="11">
        <f t="shared" si="32"/>
        <v>0</v>
      </c>
      <c r="I516" s="11">
        <f t="shared" si="33"/>
        <v>0</v>
      </c>
      <c r="J516" s="11">
        <f t="shared" si="35"/>
        <v>0</v>
      </c>
    </row>
    <row r="517" spans="1:10" x14ac:dyDescent="0.3">
      <c r="A517" s="7">
        <v>44863.611111110695</v>
      </c>
      <c r="B517" s="8" t="s">
        <v>11</v>
      </c>
      <c r="C517" s="8">
        <v>0</v>
      </c>
      <c r="D517" t="str">
        <f t="shared" si="34"/>
        <v>Saturday</v>
      </c>
      <c r="E517">
        <v>44</v>
      </c>
      <c r="F517" s="11">
        <f>VLOOKUP(B517,'ITEMS LIST'!$B$2:$F$19,4,FALSE)</f>
        <v>89</v>
      </c>
      <c r="G517" s="11">
        <f>VLOOKUP(B517,'ITEMS LIST'!$B$2:$F$19,5,FALSE)</f>
        <v>59</v>
      </c>
      <c r="H517" s="11">
        <f t="shared" si="32"/>
        <v>0</v>
      </c>
      <c r="I517" s="11">
        <f t="shared" si="33"/>
        <v>0</v>
      </c>
      <c r="J517" s="11">
        <f t="shared" si="35"/>
        <v>0</v>
      </c>
    </row>
    <row r="518" spans="1:10" x14ac:dyDescent="0.3">
      <c r="A518" s="7">
        <v>44863.66666666625</v>
      </c>
      <c r="B518" s="8" t="s">
        <v>12</v>
      </c>
      <c r="C518" s="8">
        <v>0</v>
      </c>
      <c r="D518" t="str">
        <f t="shared" si="34"/>
        <v>Saturday</v>
      </c>
      <c r="E518">
        <v>44</v>
      </c>
      <c r="F518" s="11">
        <f>VLOOKUP(B518,'ITEMS LIST'!$B$2:$F$19,4,FALSE)</f>
        <v>310</v>
      </c>
      <c r="G518" s="11">
        <f>VLOOKUP(B518,'ITEMS LIST'!$B$2:$F$19,5,FALSE)</f>
        <v>206</v>
      </c>
      <c r="H518" s="11">
        <f t="shared" si="32"/>
        <v>0</v>
      </c>
      <c r="I518" s="11">
        <f t="shared" si="33"/>
        <v>0</v>
      </c>
      <c r="J518" s="11">
        <f t="shared" si="35"/>
        <v>0</v>
      </c>
    </row>
    <row r="519" spans="1:10" x14ac:dyDescent="0.3">
      <c r="A519" s="7">
        <v>44863.722222221804</v>
      </c>
      <c r="B519" s="8" t="s">
        <v>13</v>
      </c>
      <c r="C519" s="8">
        <v>0</v>
      </c>
      <c r="D519" t="str">
        <f t="shared" si="34"/>
        <v>Saturday</v>
      </c>
      <c r="E519">
        <v>44</v>
      </c>
      <c r="F519" s="11">
        <f>VLOOKUP(B519,'ITEMS LIST'!$B$2:$F$19,4,FALSE)</f>
        <v>540</v>
      </c>
      <c r="G519" s="11">
        <f>VLOOKUP(B519,'ITEMS LIST'!$B$2:$F$19,5,FALSE)</f>
        <v>397</v>
      </c>
      <c r="H519" s="11">
        <f t="shared" si="32"/>
        <v>0</v>
      </c>
      <c r="I519" s="11">
        <f t="shared" si="33"/>
        <v>0</v>
      </c>
      <c r="J519" s="11">
        <f t="shared" si="35"/>
        <v>0</v>
      </c>
    </row>
    <row r="520" spans="1:10" x14ac:dyDescent="0.3">
      <c r="A520" s="7">
        <v>44863.777777777359</v>
      </c>
      <c r="B520" s="8" t="s">
        <v>14</v>
      </c>
      <c r="C520" s="8">
        <v>0</v>
      </c>
      <c r="D520" t="str">
        <f t="shared" si="34"/>
        <v>Saturday</v>
      </c>
      <c r="E520">
        <v>44</v>
      </c>
      <c r="F520" s="11">
        <f>VLOOKUP(B520,'ITEMS LIST'!$B$2:$F$19,4,FALSE)</f>
        <v>360</v>
      </c>
      <c r="G520" s="11">
        <f>VLOOKUP(B520,'ITEMS LIST'!$B$2:$F$19,5,FALSE)</f>
        <v>248</v>
      </c>
      <c r="H520" s="11">
        <f t="shared" si="32"/>
        <v>0</v>
      </c>
      <c r="I520" s="11">
        <f t="shared" si="33"/>
        <v>0</v>
      </c>
      <c r="J520" s="11">
        <f t="shared" si="35"/>
        <v>0</v>
      </c>
    </row>
    <row r="521" spans="1:10" x14ac:dyDescent="0.3">
      <c r="A521" s="7">
        <v>44863.833333332914</v>
      </c>
      <c r="B521" s="8" t="s">
        <v>15</v>
      </c>
      <c r="C521" s="8">
        <v>0</v>
      </c>
      <c r="D521" t="str">
        <f t="shared" si="34"/>
        <v>Saturday</v>
      </c>
      <c r="E521">
        <v>44</v>
      </c>
      <c r="F521" s="11">
        <f>VLOOKUP(B521,'ITEMS LIST'!$B$2:$F$19,4,FALSE)</f>
        <v>250</v>
      </c>
      <c r="G521" s="11">
        <f>VLOOKUP(B521,'ITEMS LIST'!$B$2:$F$19,5,FALSE)</f>
        <v>190</v>
      </c>
      <c r="H521" s="11">
        <f t="shared" si="32"/>
        <v>0</v>
      </c>
      <c r="I521" s="11">
        <f t="shared" si="33"/>
        <v>0</v>
      </c>
      <c r="J521" s="11">
        <f t="shared" si="35"/>
        <v>0</v>
      </c>
    </row>
    <row r="522" spans="1:10" x14ac:dyDescent="0.3">
      <c r="A522" s="7">
        <v>44863.888888888469</v>
      </c>
      <c r="B522" s="8" t="s">
        <v>16</v>
      </c>
      <c r="C522" s="8">
        <v>0</v>
      </c>
      <c r="D522" t="str">
        <f t="shared" si="34"/>
        <v>Saturday</v>
      </c>
      <c r="E522">
        <v>44</v>
      </c>
      <c r="F522" s="11">
        <f>VLOOKUP(B522,'ITEMS LIST'!$B$2:$F$19,4,FALSE)</f>
        <v>120</v>
      </c>
      <c r="G522" s="11">
        <f>VLOOKUP(B522,'ITEMS LIST'!$B$2:$F$19,5,FALSE)</f>
        <v>85</v>
      </c>
      <c r="H522" s="11">
        <f t="shared" si="32"/>
        <v>0</v>
      </c>
      <c r="I522" s="11">
        <f t="shared" si="33"/>
        <v>0</v>
      </c>
      <c r="J522" s="11">
        <f t="shared" si="35"/>
        <v>0</v>
      </c>
    </row>
    <row r="523" spans="1:10" x14ac:dyDescent="0.3">
      <c r="A523" s="7">
        <v>44863.944444444023</v>
      </c>
      <c r="B523" s="8" t="s">
        <v>17</v>
      </c>
      <c r="C523" s="8">
        <v>0</v>
      </c>
      <c r="D523" t="str">
        <f t="shared" si="34"/>
        <v>Saturday</v>
      </c>
      <c r="E523">
        <v>44</v>
      </c>
      <c r="F523" s="11">
        <f>VLOOKUP(B523,'ITEMS LIST'!$B$2:$F$19,4,FALSE)</f>
        <v>80</v>
      </c>
      <c r="G523" s="11">
        <f>VLOOKUP(B523,'ITEMS LIST'!$B$2:$F$19,5,FALSE)</f>
        <v>55</v>
      </c>
      <c r="H523" s="11">
        <f t="shared" si="32"/>
        <v>0</v>
      </c>
      <c r="I523" s="11">
        <f t="shared" si="33"/>
        <v>0</v>
      </c>
      <c r="J523" s="11">
        <f t="shared" si="35"/>
        <v>0</v>
      </c>
    </row>
    <row r="524" spans="1:10" x14ac:dyDescent="0.3">
      <c r="A524" s="7">
        <v>44863.999999999578</v>
      </c>
      <c r="B524" s="8" t="s">
        <v>0</v>
      </c>
      <c r="C524" s="8">
        <v>0</v>
      </c>
      <c r="D524" t="str">
        <f t="shared" si="34"/>
        <v>Sunday</v>
      </c>
      <c r="E524">
        <v>45</v>
      </c>
      <c r="F524" s="11">
        <f>VLOOKUP(B524,'ITEMS LIST'!$B$2:$F$19,4,FALSE)</f>
        <v>549</v>
      </c>
      <c r="G524" s="11">
        <f>VLOOKUP(B524,'ITEMS LIST'!$B$2:$F$19,5,FALSE)</f>
        <v>365</v>
      </c>
      <c r="H524" s="11">
        <f t="shared" si="32"/>
        <v>0</v>
      </c>
      <c r="I524" s="11">
        <f t="shared" si="33"/>
        <v>0</v>
      </c>
      <c r="J524" s="11">
        <f t="shared" si="35"/>
        <v>0</v>
      </c>
    </row>
    <row r="525" spans="1:10" x14ac:dyDescent="0.3">
      <c r="A525" s="7">
        <v>44864.055555555133</v>
      </c>
      <c r="B525" s="8" t="s">
        <v>1</v>
      </c>
      <c r="C525" s="8">
        <v>2</v>
      </c>
      <c r="D525" t="str">
        <f t="shared" si="34"/>
        <v>Sunday</v>
      </c>
      <c r="E525">
        <v>45</v>
      </c>
      <c r="F525" s="11">
        <f>VLOOKUP(B525,'ITEMS LIST'!$B$2:$F$19,4,FALSE)</f>
        <v>699</v>
      </c>
      <c r="G525" s="11">
        <f>VLOOKUP(B525,'ITEMS LIST'!$B$2:$F$19,5,FALSE)</f>
        <v>550</v>
      </c>
      <c r="H525" s="11">
        <f t="shared" si="32"/>
        <v>1398</v>
      </c>
      <c r="I525" s="11">
        <f t="shared" si="33"/>
        <v>1100</v>
      </c>
      <c r="J525" s="11">
        <f t="shared" si="35"/>
        <v>298</v>
      </c>
    </row>
    <row r="526" spans="1:10" x14ac:dyDescent="0.3">
      <c r="A526" s="7">
        <v>44864.111111110687</v>
      </c>
      <c r="B526" s="8" t="s">
        <v>2</v>
      </c>
      <c r="C526" s="8">
        <v>3</v>
      </c>
      <c r="D526" t="str">
        <f t="shared" si="34"/>
        <v>Sunday</v>
      </c>
      <c r="E526">
        <v>45</v>
      </c>
      <c r="F526" s="11">
        <f>VLOOKUP(B526,'ITEMS LIST'!$B$2:$F$19,4,FALSE)</f>
        <v>739</v>
      </c>
      <c r="G526" s="11">
        <f>VLOOKUP(B526,'ITEMS LIST'!$B$2:$F$19,5,FALSE)</f>
        <v>620</v>
      </c>
      <c r="H526" s="11">
        <f t="shared" si="32"/>
        <v>2217</v>
      </c>
      <c r="I526" s="11">
        <f t="shared" si="33"/>
        <v>1860</v>
      </c>
      <c r="J526" s="11">
        <f t="shared" si="35"/>
        <v>357</v>
      </c>
    </row>
    <row r="527" spans="1:10" x14ac:dyDescent="0.3">
      <c r="A527" s="7">
        <v>44864.166666666242</v>
      </c>
      <c r="B527" s="8" t="s">
        <v>3</v>
      </c>
      <c r="C527" s="8">
        <v>0</v>
      </c>
      <c r="D527" t="str">
        <f t="shared" si="34"/>
        <v>Sunday</v>
      </c>
      <c r="E527">
        <v>45</v>
      </c>
      <c r="F527" s="11">
        <f>VLOOKUP(B527,'ITEMS LIST'!$B$2:$F$19,4,FALSE)</f>
        <v>899</v>
      </c>
      <c r="G527" s="11">
        <f>VLOOKUP(B527,'ITEMS LIST'!$B$2:$F$19,5,FALSE)</f>
        <v>714</v>
      </c>
      <c r="H527" s="11">
        <f t="shared" si="32"/>
        <v>0</v>
      </c>
      <c r="I527" s="11">
        <f t="shared" si="33"/>
        <v>0</v>
      </c>
      <c r="J527" s="11">
        <f t="shared" si="35"/>
        <v>0</v>
      </c>
    </row>
    <row r="528" spans="1:10" x14ac:dyDescent="0.3">
      <c r="A528" s="7">
        <v>44864.222222221797</v>
      </c>
      <c r="B528" s="8" t="s">
        <v>4</v>
      </c>
      <c r="C528" s="8">
        <v>0</v>
      </c>
      <c r="D528" t="str">
        <f t="shared" si="34"/>
        <v>Sunday</v>
      </c>
      <c r="E528">
        <v>45</v>
      </c>
      <c r="F528" s="11">
        <f>VLOOKUP(B528,'ITEMS LIST'!$B$2:$F$19,4,FALSE)</f>
        <v>1379</v>
      </c>
      <c r="G528" s="11">
        <f>VLOOKUP(B528,'ITEMS LIST'!$B$2:$F$19,5,FALSE)</f>
        <v>890</v>
      </c>
      <c r="H528" s="11">
        <f t="shared" si="32"/>
        <v>0</v>
      </c>
      <c r="I528" s="11">
        <f t="shared" si="33"/>
        <v>0</v>
      </c>
      <c r="J528" s="11">
        <f t="shared" si="35"/>
        <v>0</v>
      </c>
    </row>
    <row r="529" spans="1:10" x14ac:dyDescent="0.3">
      <c r="A529" s="7">
        <v>44864.277777777352</v>
      </c>
      <c r="B529" s="8" t="s">
        <v>5</v>
      </c>
      <c r="C529" s="8">
        <v>2</v>
      </c>
      <c r="D529" t="str">
        <f t="shared" si="34"/>
        <v>Sunday</v>
      </c>
      <c r="E529">
        <v>45</v>
      </c>
      <c r="F529" s="11">
        <f>VLOOKUP(B529,'ITEMS LIST'!$B$2:$F$19,4,FALSE)</f>
        <v>849</v>
      </c>
      <c r="G529" s="11">
        <f>VLOOKUP(B529,'ITEMS LIST'!$B$2:$F$19,5,FALSE)</f>
        <v>530</v>
      </c>
      <c r="H529" s="11">
        <f t="shared" si="32"/>
        <v>1698</v>
      </c>
      <c r="I529" s="11">
        <f t="shared" si="33"/>
        <v>1060</v>
      </c>
      <c r="J529" s="11">
        <f t="shared" si="35"/>
        <v>638</v>
      </c>
    </row>
    <row r="530" spans="1:10" x14ac:dyDescent="0.3">
      <c r="A530" s="7">
        <v>44864.333333332906</v>
      </c>
      <c r="B530" s="8" t="s">
        <v>6</v>
      </c>
      <c r="C530" s="8">
        <v>0</v>
      </c>
      <c r="D530" t="str">
        <f t="shared" si="34"/>
        <v>Sunday</v>
      </c>
      <c r="E530">
        <v>45</v>
      </c>
      <c r="F530" s="11">
        <f>VLOOKUP(B530,'ITEMS LIST'!$B$2:$F$19,4,FALSE)</f>
        <v>1000</v>
      </c>
      <c r="G530" s="11">
        <f>VLOOKUP(B530,'ITEMS LIST'!$B$2:$F$19,5,FALSE)</f>
        <v>768</v>
      </c>
      <c r="H530" s="11">
        <f t="shared" si="32"/>
        <v>0</v>
      </c>
      <c r="I530" s="11">
        <f t="shared" si="33"/>
        <v>0</v>
      </c>
      <c r="J530" s="11">
        <f t="shared" si="35"/>
        <v>0</v>
      </c>
    </row>
    <row r="531" spans="1:10" x14ac:dyDescent="0.3">
      <c r="A531" s="7">
        <v>44864.388888888461</v>
      </c>
      <c r="B531" s="8" t="s">
        <v>7</v>
      </c>
      <c r="C531" s="8">
        <v>1</v>
      </c>
      <c r="D531" t="str">
        <f t="shared" si="34"/>
        <v>Sunday</v>
      </c>
      <c r="E531">
        <v>45</v>
      </c>
      <c r="F531" s="11">
        <f>VLOOKUP(B531,'ITEMS LIST'!$B$2:$F$19,4,FALSE)</f>
        <v>680</v>
      </c>
      <c r="G531" s="11">
        <f>VLOOKUP(B531,'ITEMS LIST'!$B$2:$F$19,5,FALSE)</f>
        <v>570</v>
      </c>
      <c r="H531" s="11">
        <f t="shared" si="32"/>
        <v>680</v>
      </c>
      <c r="I531" s="11">
        <f t="shared" si="33"/>
        <v>570</v>
      </c>
      <c r="J531" s="11">
        <f t="shared" si="35"/>
        <v>110</v>
      </c>
    </row>
    <row r="532" spans="1:10" x14ac:dyDescent="0.3">
      <c r="A532" s="7">
        <v>44864.444444444016</v>
      </c>
      <c r="B532" s="8" t="s">
        <v>8</v>
      </c>
      <c r="C532" s="8">
        <v>0</v>
      </c>
      <c r="D532" t="str">
        <f t="shared" si="34"/>
        <v>Sunday</v>
      </c>
      <c r="E532">
        <v>45</v>
      </c>
      <c r="F532" s="11">
        <f>VLOOKUP(B532,'ITEMS LIST'!$B$2:$F$19,4,FALSE)</f>
        <v>199</v>
      </c>
      <c r="G532" s="11">
        <f>VLOOKUP(B532,'ITEMS LIST'!$B$2:$F$19,5,FALSE)</f>
        <v>140</v>
      </c>
      <c r="H532" s="11">
        <f t="shared" si="32"/>
        <v>0</v>
      </c>
      <c r="I532" s="11">
        <f t="shared" si="33"/>
        <v>0</v>
      </c>
      <c r="J532" s="11">
        <f t="shared" si="35"/>
        <v>0</v>
      </c>
    </row>
    <row r="533" spans="1:10" x14ac:dyDescent="0.3">
      <c r="A533" s="7">
        <v>44864.499999999571</v>
      </c>
      <c r="B533" s="8" t="s">
        <v>9</v>
      </c>
      <c r="C533" s="8">
        <v>0</v>
      </c>
      <c r="D533" t="str">
        <f t="shared" si="34"/>
        <v>Sunday</v>
      </c>
      <c r="E533">
        <v>45</v>
      </c>
      <c r="F533" s="11">
        <f>VLOOKUP(B533,'ITEMS LIST'!$B$2:$F$19,4,FALSE)</f>
        <v>219</v>
      </c>
      <c r="G533" s="11">
        <f>VLOOKUP(B533,'ITEMS LIST'!$B$2:$F$19,5,FALSE)</f>
        <v>132</v>
      </c>
      <c r="H533" s="11">
        <f t="shared" si="32"/>
        <v>0</v>
      </c>
      <c r="I533" s="11">
        <f t="shared" si="33"/>
        <v>0</v>
      </c>
      <c r="J533" s="11">
        <f t="shared" si="35"/>
        <v>0</v>
      </c>
    </row>
    <row r="534" spans="1:10" x14ac:dyDescent="0.3">
      <c r="A534" s="7">
        <v>44864.555555555125</v>
      </c>
      <c r="B534" s="8" t="s">
        <v>10</v>
      </c>
      <c r="C534" s="8">
        <v>2</v>
      </c>
      <c r="D534" t="str">
        <f t="shared" si="34"/>
        <v>Sunday</v>
      </c>
      <c r="E534">
        <v>45</v>
      </c>
      <c r="F534" s="11">
        <f>VLOOKUP(B534,'ITEMS LIST'!$B$2:$F$19,4,FALSE)</f>
        <v>1469</v>
      </c>
      <c r="G534" s="11">
        <f>VLOOKUP(B534,'ITEMS LIST'!$B$2:$F$19,5,FALSE)</f>
        <v>1184</v>
      </c>
      <c r="H534" s="11">
        <f t="shared" si="32"/>
        <v>2938</v>
      </c>
      <c r="I534" s="11">
        <f t="shared" si="33"/>
        <v>2368</v>
      </c>
      <c r="J534" s="11">
        <f t="shared" si="35"/>
        <v>570</v>
      </c>
    </row>
    <row r="535" spans="1:10" x14ac:dyDescent="0.3">
      <c r="A535" s="7">
        <v>44864.61111111068</v>
      </c>
      <c r="B535" s="8" t="s">
        <v>11</v>
      </c>
      <c r="C535" s="8">
        <v>0</v>
      </c>
      <c r="D535" t="str">
        <f t="shared" si="34"/>
        <v>Sunday</v>
      </c>
      <c r="E535">
        <v>45</v>
      </c>
      <c r="F535" s="11">
        <f>VLOOKUP(B535,'ITEMS LIST'!$B$2:$F$19,4,FALSE)</f>
        <v>89</v>
      </c>
      <c r="G535" s="11">
        <f>VLOOKUP(B535,'ITEMS LIST'!$B$2:$F$19,5,FALSE)</f>
        <v>59</v>
      </c>
      <c r="H535" s="11">
        <f t="shared" si="32"/>
        <v>0</v>
      </c>
      <c r="I535" s="11">
        <f t="shared" si="33"/>
        <v>0</v>
      </c>
      <c r="J535" s="11">
        <f t="shared" si="35"/>
        <v>0</v>
      </c>
    </row>
    <row r="536" spans="1:10" x14ac:dyDescent="0.3">
      <c r="A536" s="7">
        <v>44864.666666666235</v>
      </c>
      <c r="B536" s="8" t="s">
        <v>12</v>
      </c>
      <c r="C536" s="8">
        <v>0</v>
      </c>
      <c r="D536" t="str">
        <f t="shared" si="34"/>
        <v>Sunday</v>
      </c>
      <c r="E536">
        <v>45</v>
      </c>
      <c r="F536" s="11">
        <f>VLOOKUP(B536,'ITEMS LIST'!$B$2:$F$19,4,FALSE)</f>
        <v>310</v>
      </c>
      <c r="G536" s="11">
        <f>VLOOKUP(B536,'ITEMS LIST'!$B$2:$F$19,5,FALSE)</f>
        <v>206</v>
      </c>
      <c r="H536" s="11">
        <f t="shared" si="32"/>
        <v>0</v>
      </c>
      <c r="I536" s="11">
        <f t="shared" si="33"/>
        <v>0</v>
      </c>
      <c r="J536" s="11">
        <f t="shared" si="35"/>
        <v>0</v>
      </c>
    </row>
    <row r="537" spans="1:10" x14ac:dyDescent="0.3">
      <c r="A537" s="7">
        <v>44864.72222222179</v>
      </c>
      <c r="B537" s="8" t="s">
        <v>13</v>
      </c>
      <c r="C537" s="8">
        <v>0</v>
      </c>
      <c r="D537" t="str">
        <f t="shared" si="34"/>
        <v>Sunday</v>
      </c>
      <c r="E537">
        <v>45</v>
      </c>
      <c r="F537" s="11">
        <f>VLOOKUP(B537,'ITEMS LIST'!$B$2:$F$19,4,FALSE)</f>
        <v>540</v>
      </c>
      <c r="G537" s="11">
        <f>VLOOKUP(B537,'ITEMS LIST'!$B$2:$F$19,5,FALSE)</f>
        <v>397</v>
      </c>
      <c r="H537" s="11">
        <f t="shared" si="32"/>
        <v>0</v>
      </c>
      <c r="I537" s="11">
        <f t="shared" si="33"/>
        <v>0</v>
      </c>
      <c r="J537" s="11">
        <f t="shared" si="35"/>
        <v>0</v>
      </c>
    </row>
    <row r="538" spans="1:10" x14ac:dyDescent="0.3">
      <c r="A538" s="7">
        <v>44864.777777777344</v>
      </c>
      <c r="B538" s="8" t="s">
        <v>14</v>
      </c>
      <c r="C538" s="8">
        <v>0</v>
      </c>
      <c r="D538" t="str">
        <f t="shared" si="34"/>
        <v>Sunday</v>
      </c>
      <c r="E538">
        <v>45</v>
      </c>
      <c r="F538" s="11">
        <f>VLOOKUP(B538,'ITEMS LIST'!$B$2:$F$19,4,FALSE)</f>
        <v>360</v>
      </c>
      <c r="G538" s="11">
        <f>VLOOKUP(B538,'ITEMS LIST'!$B$2:$F$19,5,FALSE)</f>
        <v>248</v>
      </c>
      <c r="H538" s="11">
        <f t="shared" si="32"/>
        <v>0</v>
      </c>
      <c r="I538" s="11">
        <f t="shared" si="33"/>
        <v>0</v>
      </c>
      <c r="J538" s="11">
        <f t="shared" si="35"/>
        <v>0</v>
      </c>
    </row>
    <row r="539" spans="1:10" x14ac:dyDescent="0.3">
      <c r="A539" s="7">
        <v>44864.833333332899</v>
      </c>
      <c r="B539" s="8" t="s">
        <v>15</v>
      </c>
      <c r="C539" s="8">
        <v>0</v>
      </c>
      <c r="D539" t="str">
        <f t="shared" si="34"/>
        <v>Sunday</v>
      </c>
      <c r="E539">
        <v>45</v>
      </c>
      <c r="F539" s="11">
        <f>VLOOKUP(B539,'ITEMS LIST'!$B$2:$F$19,4,FALSE)</f>
        <v>250</v>
      </c>
      <c r="G539" s="11">
        <f>VLOOKUP(B539,'ITEMS LIST'!$B$2:$F$19,5,FALSE)</f>
        <v>190</v>
      </c>
      <c r="H539" s="11">
        <f t="shared" si="32"/>
        <v>0</v>
      </c>
      <c r="I539" s="11">
        <f t="shared" si="33"/>
        <v>0</v>
      </c>
      <c r="J539" s="11">
        <f t="shared" si="35"/>
        <v>0</v>
      </c>
    </row>
    <row r="540" spans="1:10" x14ac:dyDescent="0.3">
      <c r="A540" s="7">
        <v>44864.888888888454</v>
      </c>
      <c r="B540" s="8" t="s">
        <v>16</v>
      </c>
      <c r="C540" s="8">
        <v>0</v>
      </c>
      <c r="D540" t="str">
        <f t="shared" si="34"/>
        <v>Sunday</v>
      </c>
      <c r="E540">
        <v>45</v>
      </c>
      <c r="F540" s="11">
        <f>VLOOKUP(B540,'ITEMS LIST'!$B$2:$F$19,4,FALSE)</f>
        <v>120</v>
      </c>
      <c r="G540" s="11">
        <f>VLOOKUP(B540,'ITEMS LIST'!$B$2:$F$19,5,FALSE)</f>
        <v>85</v>
      </c>
      <c r="H540" s="11">
        <f t="shared" si="32"/>
        <v>0</v>
      </c>
      <c r="I540" s="11">
        <f t="shared" si="33"/>
        <v>0</v>
      </c>
      <c r="J540" s="11">
        <f t="shared" si="35"/>
        <v>0</v>
      </c>
    </row>
    <row r="541" spans="1:10" x14ac:dyDescent="0.3">
      <c r="A541" s="7">
        <v>44864.944444444009</v>
      </c>
      <c r="B541" s="8" t="s">
        <v>17</v>
      </c>
      <c r="C541" s="8">
        <v>0</v>
      </c>
      <c r="D541" t="str">
        <f t="shared" si="34"/>
        <v>Sunday</v>
      </c>
      <c r="E541">
        <v>45</v>
      </c>
      <c r="F541" s="11">
        <f>VLOOKUP(B541,'ITEMS LIST'!$B$2:$F$19,4,FALSE)</f>
        <v>80</v>
      </c>
      <c r="G541" s="11">
        <f>VLOOKUP(B541,'ITEMS LIST'!$B$2:$F$19,5,FALSE)</f>
        <v>55</v>
      </c>
      <c r="H541" s="11">
        <f t="shared" si="32"/>
        <v>0</v>
      </c>
      <c r="I541" s="11">
        <f t="shared" si="33"/>
        <v>0</v>
      </c>
      <c r="J541" s="11">
        <f t="shared" si="35"/>
        <v>0</v>
      </c>
    </row>
    <row r="542" spans="1:10" x14ac:dyDescent="0.3">
      <c r="A542" s="7">
        <v>44864.999999999563</v>
      </c>
      <c r="B542" s="8" t="s">
        <v>0</v>
      </c>
      <c r="C542" s="8">
        <v>0</v>
      </c>
      <c r="D542" t="str">
        <f t="shared" si="34"/>
        <v>Monday</v>
      </c>
      <c r="E542">
        <v>45</v>
      </c>
      <c r="F542" s="11">
        <f>VLOOKUP(B542,'ITEMS LIST'!$B$2:$F$19,4,FALSE)</f>
        <v>549</v>
      </c>
      <c r="G542" s="11">
        <f>VLOOKUP(B542,'ITEMS LIST'!$B$2:$F$19,5,FALSE)</f>
        <v>365</v>
      </c>
      <c r="H542" s="11">
        <f t="shared" si="32"/>
        <v>0</v>
      </c>
      <c r="I542" s="11">
        <f t="shared" si="33"/>
        <v>0</v>
      </c>
      <c r="J542" s="11">
        <f t="shared" si="35"/>
        <v>0</v>
      </c>
    </row>
    <row r="543" spans="1:10" x14ac:dyDescent="0.3">
      <c r="A543" s="7">
        <v>44865.055555555118</v>
      </c>
      <c r="B543" s="8" t="s">
        <v>1</v>
      </c>
      <c r="C543" s="8">
        <v>0</v>
      </c>
      <c r="D543" t="str">
        <f t="shared" si="34"/>
        <v>Monday</v>
      </c>
      <c r="E543">
        <v>45</v>
      </c>
      <c r="F543" s="11">
        <f>VLOOKUP(B543,'ITEMS LIST'!$B$2:$F$19,4,FALSE)</f>
        <v>699</v>
      </c>
      <c r="G543" s="11">
        <f>VLOOKUP(B543,'ITEMS LIST'!$B$2:$F$19,5,FALSE)</f>
        <v>550</v>
      </c>
      <c r="H543" s="11">
        <f t="shared" si="32"/>
        <v>0</v>
      </c>
      <c r="I543" s="11">
        <f t="shared" si="33"/>
        <v>0</v>
      </c>
      <c r="J543" s="11">
        <f t="shared" si="35"/>
        <v>0</v>
      </c>
    </row>
    <row r="544" spans="1:10" x14ac:dyDescent="0.3">
      <c r="A544" s="7">
        <v>44865.111111110673</v>
      </c>
      <c r="B544" s="8" t="s">
        <v>2</v>
      </c>
      <c r="C544" s="8">
        <v>0</v>
      </c>
      <c r="D544" t="str">
        <f t="shared" si="34"/>
        <v>Monday</v>
      </c>
      <c r="E544">
        <v>45</v>
      </c>
      <c r="F544" s="11">
        <f>VLOOKUP(B544,'ITEMS LIST'!$B$2:$F$19,4,FALSE)</f>
        <v>739</v>
      </c>
      <c r="G544" s="11">
        <f>VLOOKUP(B544,'ITEMS LIST'!$B$2:$F$19,5,FALSE)</f>
        <v>620</v>
      </c>
      <c r="H544" s="11">
        <f t="shared" si="32"/>
        <v>0</v>
      </c>
      <c r="I544" s="11">
        <f t="shared" si="33"/>
        <v>0</v>
      </c>
      <c r="J544" s="11">
        <f t="shared" si="35"/>
        <v>0</v>
      </c>
    </row>
    <row r="545" spans="1:10" x14ac:dyDescent="0.3">
      <c r="A545" s="7">
        <v>44865.166666666228</v>
      </c>
      <c r="B545" s="8" t="s">
        <v>3</v>
      </c>
      <c r="C545" s="8">
        <v>0</v>
      </c>
      <c r="D545" t="str">
        <f t="shared" si="34"/>
        <v>Monday</v>
      </c>
      <c r="E545">
        <v>45</v>
      </c>
      <c r="F545" s="11">
        <f>VLOOKUP(B545,'ITEMS LIST'!$B$2:$F$19,4,FALSE)</f>
        <v>899</v>
      </c>
      <c r="G545" s="11">
        <f>VLOOKUP(B545,'ITEMS LIST'!$B$2:$F$19,5,FALSE)</f>
        <v>714</v>
      </c>
      <c r="H545" s="11">
        <f t="shared" si="32"/>
        <v>0</v>
      </c>
      <c r="I545" s="11">
        <f t="shared" si="33"/>
        <v>0</v>
      </c>
      <c r="J545" s="11">
        <f t="shared" si="35"/>
        <v>0</v>
      </c>
    </row>
    <row r="546" spans="1:10" x14ac:dyDescent="0.3">
      <c r="A546" s="7">
        <v>44865.222222221782</v>
      </c>
      <c r="B546" s="8" t="s">
        <v>4</v>
      </c>
      <c r="C546" s="8">
        <v>0</v>
      </c>
      <c r="D546" t="str">
        <f t="shared" si="34"/>
        <v>Monday</v>
      </c>
      <c r="E546">
        <v>45</v>
      </c>
      <c r="F546" s="11">
        <f>VLOOKUP(B546,'ITEMS LIST'!$B$2:$F$19,4,FALSE)</f>
        <v>1379</v>
      </c>
      <c r="G546" s="11">
        <f>VLOOKUP(B546,'ITEMS LIST'!$B$2:$F$19,5,FALSE)</f>
        <v>890</v>
      </c>
      <c r="H546" s="11">
        <f t="shared" si="32"/>
        <v>0</v>
      </c>
      <c r="I546" s="11">
        <f t="shared" si="33"/>
        <v>0</v>
      </c>
      <c r="J546" s="11">
        <f t="shared" si="35"/>
        <v>0</v>
      </c>
    </row>
    <row r="547" spans="1:10" x14ac:dyDescent="0.3">
      <c r="A547" s="7">
        <v>44865.277777777337</v>
      </c>
      <c r="B547" s="8" t="s">
        <v>5</v>
      </c>
      <c r="C547" s="8">
        <v>0</v>
      </c>
      <c r="D547" t="str">
        <f t="shared" si="34"/>
        <v>Monday</v>
      </c>
      <c r="E547">
        <v>45</v>
      </c>
      <c r="F547" s="11">
        <f>VLOOKUP(B547,'ITEMS LIST'!$B$2:$F$19,4,FALSE)</f>
        <v>849</v>
      </c>
      <c r="G547" s="11">
        <f>VLOOKUP(B547,'ITEMS LIST'!$B$2:$F$19,5,FALSE)</f>
        <v>530</v>
      </c>
      <c r="H547" s="11">
        <f t="shared" si="32"/>
        <v>0</v>
      </c>
      <c r="I547" s="11">
        <f t="shared" si="33"/>
        <v>0</v>
      </c>
      <c r="J547" s="11">
        <f t="shared" si="35"/>
        <v>0</v>
      </c>
    </row>
    <row r="548" spans="1:10" x14ac:dyDescent="0.3">
      <c r="A548" s="7">
        <v>44865.333333332892</v>
      </c>
      <c r="B548" s="8" t="s">
        <v>6</v>
      </c>
      <c r="C548" s="8">
        <v>0</v>
      </c>
      <c r="D548" t="str">
        <f t="shared" si="34"/>
        <v>Monday</v>
      </c>
      <c r="E548">
        <v>45</v>
      </c>
      <c r="F548" s="11">
        <f>VLOOKUP(B548,'ITEMS LIST'!$B$2:$F$19,4,FALSE)</f>
        <v>1000</v>
      </c>
      <c r="G548" s="11">
        <f>VLOOKUP(B548,'ITEMS LIST'!$B$2:$F$19,5,FALSE)</f>
        <v>768</v>
      </c>
      <c r="H548" s="11">
        <f t="shared" si="32"/>
        <v>0</v>
      </c>
      <c r="I548" s="11">
        <f t="shared" si="33"/>
        <v>0</v>
      </c>
      <c r="J548" s="11">
        <f t="shared" si="35"/>
        <v>0</v>
      </c>
    </row>
    <row r="549" spans="1:10" x14ac:dyDescent="0.3">
      <c r="A549" s="7">
        <v>44865.388888888447</v>
      </c>
      <c r="B549" s="8" t="s">
        <v>7</v>
      </c>
      <c r="C549" s="8">
        <v>0</v>
      </c>
      <c r="D549" t="str">
        <f t="shared" si="34"/>
        <v>Monday</v>
      </c>
      <c r="E549">
        <v>45</v>
      </c>
      <c r="F549" s="11">
        <f>VLOOKUP(B549,'ITEMS LIST'!$B$2:$F$19,4,FALSE)</f>
        <v>680</v>
      </c>
      <c r="G549" s="11">
        <f>VLOOKUP(B549,'ITEMS LIST'!$B$2:$F$19,5,FALSE)</f>
        <v>570</v>
      </c>
      <c r="H549" s="11">
        <f t="shared" si="32"/>
        <v>0</v>
      </c>
      <c r="I549" s="11">
        <f t="shared" si="33"/>
        <v>0</v>
      </c>
      <c r="J549" s="11">
        <f t="shared" si="35"/>
        <v>0</v>
      </c>
    </row>
    <row r="550" spans="1:10" x14ac:dyDescent="0.3">
      <c r="A550" s="7">
        <v>44865.444444444001</v>
      </c>
      <c r="B550" s="8" t="s">
        <v>8</v>
      </c>
      <c r="C550" s="8">
        <v>0</v>
      </c>
      <c r="D550" t="str">
        <f t="shared" si="34"/>
        <v>Monday</v>
      </c>
      <c r="E550">
        <v>45</v>
      </c>
      <c r="F550" s="11">
        <f>VLOOKUP(B550,'ITEMS LIST'!$B$2:$F$19,4,FALSE)</f>
        <v>199</v>
      </c>
      <c r="G550" s="11">
        <f>VLOOKUP(B550,'ITEMS LIST'!$B$2:$F$19,5,FALSE)</f>
        <v>140</v>
      </c>
      <c r="H550" s="11">
        <f t="shared" si="32"/>
        <v>0</v>
      </c>
      <c r="I550" s="11">
        <f t="shared" si="33"/>
        <v>0</v>
      </c>
      <c r="J550" s="11">
        <f t="shared" si="35"/>
        <v>0</v>
      </c>
    </row>
    <row r="551" spans="1:10" x14ac:dyDescent="0.3">
      <c r="A551" s="7">
        <v>44865.499999999556</v>
      </c>
      <c r="B551" s="8" t="s">
        <v>9</v>
      </c>
      <c r="C551" s="8">
        <v>0</v>
      </c>
      <c r="D551" t="str">
        <f t="shared" si="34"/>
        <v>Monday</v>
      </c>
      <c r="E551">
        <v>45</v>
      </c>
      <c r="F551" s="11">
        <f>VLOOKUP(B551,'ITEMS LIST'!$B$2:$F$19,4,FALSE)</f>
        <v>219</v>
      </c>
      <c r="G551" s="11">
        <f>VLOOKUP(B551,'ITEMS LIST'!$B$2:$F$19,5,FALSE)</f>
        <v>132</v>
      </c>
      <c r="H551" s="11">
        <f t="shared" si="32"/>
        <v>0</v>
      </c>
      <c r="I551" s="11">
        <f t="shared" si="33"/>
        <v>0</v>
      </c>
      <c r="J551" s="11">
        <f t="shared" si="35"/>
        <v>0</v>
      </c>
    </row>
    <row r="552" spans="1:10" x14ac:dyDescent="0.3">
      <c r="A552" s="7">
        <v>44865.555555555111</v>
      </c>
      <c r="B552" s="8" t="s">
        <v>10</v>
      </c>
      <c r="C552" s="8">
        <v>0</v>
      </c>
      <c r="D552" t="str">
        <f t="shared" si="34"/>
        <v>Monday</v>
      </c>
      <c r="E552">
        <v>45</v>
      </c>
      <c r="F552" s="11">
        <f>VLOOKUP(B552,'ITEMS LIST'!$B$2:$F$19,4,FALSE)</f>
        <v>1469</v>
      </c>
      <c r="G552" s="11">
        <f>VLOOKUP(B552,'ITEMS LIST'!$B$2:$F$19,5,FALSE)</f>
        <v>1184</v>
      </c>
      <c r="H552" s="11">
        <f t="shared" si="32"/>
        <v>0</v>
      </c>
      <c r="I552" s="11">
        <f t="shared" si="33"/>
        <v>0</v>
      </c>
      <c r="J552" s="11">
        <f t="shared" si="35"/>
        <v>0</v>
      </c>
    </row>
    <row r="553" spans="1:10" x14ac:dyDescent="0.3">
      <c r="A553" s="7">
        <v>44865.611111110666</v>
      </c>
      <c r="B553" s="8" t="s">
        <v>11</v>
      </c>
      <c r="C553" s="8">
        <v>0</v>
      </c>
      <c r="D553" t="str">
        <f t="shared" si="34"/>
        <v>Monday</v>
      </c>
      <c r="E553">
        <v>45</v>
      </c>
      <c r="F553" s="11">
        <f>VLOOKUP(B553,'ITEMS LIST'!$B$2:$F$19,4,FALSE)</f>
        <v>89</v>
      </c>
      <c r="G553" s="11">
        <f>VLOOKUP(B553,'ITEMS LIST'!$B$2:$F$19,5,FALSE)</f>
        <v>59</v>
      </c>
      <c r="H553" s="11">
        <f t="shared" si="32"/>
        <v>0</v>
      </c>
      <c r="I553" s="11">
        <f t="shared" si="33"/>
        <v>0</v>
      </c>
      <c r="J553" s="11">
        <f t="shared" si="35"/>
        <v>0</v>
      </c>
    </row>
    <row r="554" spans="1:10" x14ac:dyDescent="0.3">
      <c r="A554" s="7">
        <v>44865.66666666622</v>
      </c>
      <c r="B554" s="8" t="s">
        <v>12</v>
      </c>
      <c r="C554" s="8">
        <v>0</v>
      </c>
      <c r="D554" t="str">
        <f t="shared" si="34"/>
        <v>Monday</v>
      </c>
      <c r="E554">
        <v>45</v>
      </c>
      <c r="F554" s="11">
        <f>VLOOKUP(B554,'ITEMS LIST'!$B$2:$F$19,4,FALSE)</f>
        <v>310</v>
      </c>
      <c r="G554" s="11">
        <f>VLOOKUP(B554,'ITEMS LIST'!$B$2:$F$19,5,FALSE)</f>
        <v>206</v>
      </c>
      <c r="H554" s="11">
        <f t="shared" si="32"/>
        <v>0</v>
      </c>
      <c r="I554" s="11">
        <f t="shared" si="33"/>
        <v>0</v>
      </c>
      <c r="J554" s="11">
        <f t="shared" si="35"/>
        <v>0</v>
      </c>
    </row>
    <row r="555" spans="1:10" x14ac:dyDescent="0.3">
      <c r="A555" s="7">
        <v>44865.722222221775</v>
      </c>
      <c r="B555" s="8" t="s">
        <v>13</v>
      </c>
      <c r="C555" s="8">
        <v>0</v>
      </c>
      <c r="D555" t="str">
        <f t="shared" si="34"/>
        <v>Monday</v>
      </c>
      <c r="E555">
        <v>45</v>
      </c>
      <c r="F555" s="11">
        <f>VLOOKUP(B555,'ITEMS LIST'!$B$2:$F$19,4,FALSE)</f>
        <v>540</v>
      </c>
      <c r="G555" s="11">
        <f>VLOOKUP(B555,'ITEMS LIST'!$B$2:$F$19,5,FALSE)</f>
        <v>397</v>
      </c>
      <c r="H555" s="11">
        <f t="shared" si="32"/>
        <v>0</v>
      </c>
      <c r="I555" s="11">
        <f t="shared" si="33"/>
        <v>0</v>
      </c>
      <c r="J555" s="11">
        <f t="shared" si="35"/>
        <v>0</v>
      </c>
    </row>
    <row r="556" spans="1:10" x14ac:dyDescent="0.3">
      <c r="A556" s="7">
        <v>44865.77777777733</v>
      </c>
      <c r="B556" s="8" t="s">
        <v>14</v>
      </c>
      <c r="C556" s="8">
        <v>0</v>
      </c>
      <c r="D556" t="str">
        <f t="shared" si="34"/>
        <v>Monday</v>
      </c>
      <c r="E556">
        <v>45</v>
      </c>
      <c r="F556" s="11">
        <f>VLOOKUP(B556,'ITEMS LIST'!$B$2:$F$19,4,FALSE)</f>
        <v>360</v>
      </c>
      <c r="G556" s="11">
        <f>VLOOKUP(B556,'ITEMS LIST'!$B$2:$F$19,5,FALSE)</f>
        <v>248</v>
      </c>
      <c r="H556" s="11">
        <f t="shared" si="32"/>
        <v>0</v>
      </c>
      <c r="I556" s="11">
        <f t="shared" si="33"/>
        <v>0</v>
      </c>
      <c r="J556" s="11">
        <f t="shared" si="35"/>
        <v>0</v>
      </c>
    </row>
    <row r="557" spans="1:10" x14ac:dyDescent="0.3">
      <c r="A557" s="7">
        <v>44865.833333332885</v>
      </c>
      <c r="B557" s="8" t="s">
        <v>15</v>
      </c>
      <c r="C557" s="8">
        <v>0</v>
      </c>
      <c r="D557" t="str">
        <f t="shared" si="34"/>
        <v>Monday</v>
      </c>
      <c r="E557">
        <v>45</v>
      </c>
      <c r="F557" s="11">
        <f>VLOOKUP(B557,'ITEMS LIST'!$B$2:$F$19,4,FALSE)</f>
        <v>250</v>
      </c>
      <c r="G557" s="11">
        <f>VLOOKUP(B557,'ITEMS LIST'!$B$2:$F$19,5,FALSE)</f>
        <v>190</v>
      </c>
      <c r="H557" s="11">
        <f t="shared" si="32"/>
        <v>0</v>
      </c>
      <c r="I557" s="11">
        <f t="shared" si="33"/>
        <v>0</v>
      </c>
      <c r="J557" s="11">
        <f t="shared" si="35"/>
        <v>0</v>
      </c>
    </row>
    <row r="558" spans="1:10" x14ac:dyDescent="0.3">
      <c r="A558" s="7">
        <v>44865.888888888439</v>
      </c>
      <c r="B558" s="8" t="s">
        <v>16</v>
      </c>
      <c r="C558" s="8">
        <v>0</v>
      </c>
      <c r="D558" t="str">
        <f t="shared" si="34"/>
        <v>Monday</v>
      </c>
      <c r="E558">
        <v>45</v>
      </c>
      <c r="F558" s="11">
        <f>VLOOKUP(B558,'ITEMS LIST'!$B$2:$F$19,4,FALSE)</f>
        <v>120</v>
      </c>
      <c r="G558" s="11">
        <f>VLOOKUP(B558,'ITEMS LIST'!$B$2:$F$19,5,FALSE)</f>
        <v>85</v>
      </c>
      <c r="H558" s="11">
        <f t="shared" si="32"/>
        <v>0</v>
      </c>
      <c r="I558" s="11">
        <f t="shared" si="33"/>
        <v>0</v>
      </c>
      <c r="J558" s="11">
        <f t="shared" si="35"/>
        <v>0</v>
      </c>
    </row>
    <row r="559" spans="1:10" x14ac:dyDescent="0.3">
      <c r="A559" s="7">
        <v>44865.944444443994</v>
      </c>
      <c r="B559" s="8" t="s">
        <v>17</v>
      </c>
      <c r="C559" s="8">
        <v>0</v>
      </c>
      <c r="D559" t="str">
        <f t="shared" si="34"/>
        <v>Monday</v>
      </c>
      <c r="E559">
        <v>45</v>
      </c>
      <c r="F559" s="11">
        <f>VLOOKUP(B559,'ITEMS LIST'!$B$2:$F$19,4,FALSE)</f>
        <v>80</v>
      </c>
      <c r="G559" s="11">
        <f>VLOOKUP(B559,'ITEMS LIST'!$B$2:$F$19,5,FALSE)</f>
        <v>55</v>
      </c>
      <c r="H559" s="11">
        <f t="shared" si="32"/>
        <v>0</v>
      </c>
      <c r="I559" s="11">
        <f t="shared" si="33"/>
        <v>0</v>
      </c>
      <c r="J559" s="11">
        <f t="shared" si="35"/>
        <v>0</v>
      </c>
    </row>
    <row r="560" spans="1:10" x14ac:dyDescent="0.3">
      <c r="A560" s="7">
        <v>44865.999999999549</v>
      </c>
      <c r="B560" s="8" t="s">
        <v>0</v>
      </c>
      <c r="C560" s="8">
        <v>0</v>
      </c>
      <c r="D560" t="str">
        <f t="shared" si="34"/>
        <v>Tuesday</v>
      </c>
      <c r="E560">
        <v>45</v>
      </c>
      <c r="F560" s="11">
        <f>VLOOKUP(B560,'ITEMS LIST'!$B$2:$F$19,4,FALSE)</f>
        <v>549</v>
      </c>
      <c r="G560" s="11">
        <f>VLOOKUP(B560,'ITEMS LIST'!$B$2:$F$19,5,FALSE)</f>
        <v>365</v>
      </c>
      <c r="H560" s="11">
        <f t="shared" si="32"/>
        <v>0</v>
      </c>
      <c r="I560" s="11">
        <f t="shared" si="33"/>
        <v>0</v>
      </c>
      <c r="J560" s="11">
        <f t="shared" si="35"/>
        <v>0</v>
      </c>
    </row>
    <row r="561" spans="1:10" x14ac:dyDescent="0.3">
      <c r="A561" s="7">
        <v>44866.055555555104</v>
      </c>
      <c r="B561" s="8" t="s">
        <v>1</v>
      </c>
      <c r="C561" s="8">
        <v>0</v>
      </c>
      <c r="D561" t="str">
        <f t="shared" si="34"/>
        <v>Tuesday</v>
      </c>
      <c r="E561">
        <v>45</v>
      </c>
      <c r="F561" s="11">
        <f>VLOOKUP(B561,'ITEMS LIST'!$B$2:$F$19,4,FALSE)</f>
        <v>699</v>
      </c>
      <c r="G561" s="11">
        <f>VLOOKUP(B561,'ITEMS LIST'!$B$2:$F$19,5,FALSE)</f>
        <v>550</v>
      </c>
      <c r="H561" s="11">
        <f t="shared" si="32"/>
        <v>0</v>
      </c>
      <c r="I561" s="11">
        <f t="shared" si="33"/>
        <v>0</v>
      </c>
      <c r="J561" s="11">
        <f t="shared" si="35"/>
        <v>0</v>
      </c>
    </row>
    <row r="562" spans="1:10" x14ac:dyDescent="0.3">
      <c r="A562" s="7">
        <v>44866.111111110658</v>
      </c>
      <c r="B562" s="8" t="s">
        <v>2</v>
      </c>
      <c r="C562" s="8">
        <v>0</v>
      </c>
      <c r="D562" t="str">
        <f t="shared" si="34"/>
        <v>Tuesday</v>
      </c>
      <c r="E562">
        <v>45</v>
      </c>
      <c r="F562" s="11">
        <f>VLOOKUP(B562,'ITEMS LIST'!$B$2:$F$19,4,FALSE)</f>
        <v>739</v>
      </c>
      <c r="G562" s="11">
        <f>VLOOKUP(B562,'ITEMS LIST'!$B$2:$F$19,5,FALSE)</f>
        <v>620</v>
      </c>
      <c r="H562" s="11">
        <f t="shared" si="32"/>
        <v>0</v>
      </c>
      <c r="I562" s="11">
        <f t="shared" si="33"/>
        <v>0</v>
      </c>
      <c r="J562" s="11">
        <f t="shared" si="35"/>
        <v>0</v>
      </c>
    </row>
    <row r="563" spans="1:10" x14ac:dyDescent="0.3">
      <c r="A563" s="7">
        <v>44866.166666666213</v>
      </c>
      <c r="B563" s="8" t="s">
        <v>3</v>
      </c>
      <c r="C563" s="8">
        <v>0</v>
      </c>
      <c r="D563" t="str">
        <f t="shared" si="34"/>
        <v>Tuesday</v>
      </c>
      <c r="E563">
        <v>45</v>
      </c>
      <c r="F563" s="11">
        <f>VLOOKUP(B563,'ITEMS LIST'!$B$2:$F$19,4,FALSE)</f>
        <v>899</v>
      </c>
      <c r="G563" s="11">
        <f>VLOOKUP(B563,'ITEMS LIST'!$B$2:$F$19,5,FALSE)</f>
        <v>714</v>
      </c>
      <c r="H563" s="11">
        <f t="shared" si="32"/>
        <v>0</v>
      </c>
      <c r="I563" s="11">
        <f t="shared" si="33"/>
        <v>0</v>
      </c>
      <c r="J563" s="11">
        <f t="shared" si="35"/>
        <v>0</v>
      </c>
    </row>
    <row r="564" spans="1:10" x14ac:dyDescent="0.3">
      <c r="A564" s="7">
        <v>44866.222222221768</v>
      </c>
      <c r="B564" s="8" t="s">
        <v>4</v>
      </c>
      <c r="C564" s="8">
        <v>0</v>
      </c>
      <c r="D564" t="str">
        <f t="shared" si="34"/>
        <v>Tuesday</v>
      </c>
      <c r="E564">
        <v>45</v>
      </c>
      <c r="F564" s="11">
        <f>VLOOKUP(B564,'ITEMS LIST'!$B$2:$F$19,4,FALSE)</f>
        <v>1379</v>
      </c>
      <c r="G564" s="11">
        <f>VLOOKUP(B564,'ITEMS LIST'!$B$2:$F$19,5,FALSE)</f>
        <v>890</v>
      </c>
      <c r="H564" s="11">
        <f t="shared" si="32"/>
        <v>0</v>
      </c>
      <c r="I564" s="11">
        <f t="shared" si="33"/>
        <v>0</v>
      </c>
      <c r="J564" s="11">
        <f t="shared" si="35"/>
        <v>0</v>
      </c>
    </row>
    <row r="565" spans="1:10" x14ac:dyDescent="0.3">
      <c r="A565" s="7">
        <v>44866.277777777323</v>
      </c>
      <c r="B565" s="8" t="s">
        <v>5</v>
      </c>
      <c r="C565" s="8">
        <v>0</v>
      </c>
      <c r="D565" t="str">
        <f t="shared" si="34"/>
        <v>Tuesday</v>
      </c>
      <c r="E565">
        <v>45</v>
      </c>
      <c r="F565" s="11">
        <f>VLOOKUP(B565,'ITEMS LIST'!$B$2:$F$19,4,FALSE)</f>
        <v>849</v>
      </c>
      <c r="G565" s="11">
        <f>VLOOKUP(B565,'ITEMS LIST'!$B$2:$F$19,5,FALSE)</f>
        <v>530</v>
      </c>
      <c r="H565" s="11">
        <f t="shared" si="32"/>
        <v>0</v>
      </c>
      <c r="I565" s="11">
        <f t="shared" si="33"/>
        <v>0</v>
      </c>
      <c r="J565" s="11">
        <f t="shared" si="35"/>
        <v>0</v>
      </c>
    </row>
    <row r="566" spans="1:10" x14ac:dyDescent="0.3">
      <c r="A566" s="7">
        <v>44866.333333332877</v>
      </c>
      <c r="B566" s="8" t="s">
        <v>6</v>
      </c>
      <c r="C566" s="8">
        <v>0</v>
      </c>
      <c r="D566" t="str">
        <f t="shared" si="34"/>
        <v>Tuesday</v>
      </c>
      <c r="E566">
        <v>45</v>
      </c>
      <c r="F566" s="11">
        <f>VLOOKUP(B566,'ITEMS LIST'!$B$2:$F$19,4,FALSE)</f>
        <v>1000</v>
      </c>
      <c r="G566" s="11">
        <f>VLOOKUP(B566,'ITEMS LIST'!$B$2:$F$19,5,FALSE)</f>
        <v>768</v>
      </c>
      <c r="H566" s="11">
        <f t="shared" si="32"/>
        <v>0</v>
      </c>
      <c r="I566" s="11">
        <f t="shared" si="33"/>
        <v>0</v>
      </c>
      <c r="J566" s="11">
        <f t="shared" si="35"/>
        <v>0</v>
      </c>
    </row>
    <row r="567" spans="1:10" x14ac:dyDescent="0.3">
      <c r="A567" s="7">
        <v>44866.388888888432</v>
      </c>
      <c r="B567" s="8" t="s">
        <v>7</v>
      </c>
      <c r="C567" s="8">
        <v>0</v>
      </c>
      <c r="D567" t="str">
        <f t="shared" si="34"/>
        <v>Tuesday</v>
      </c>
      <c r="E567">
        <v>45</v>
      </c>
      <c r="F567" s="11">
        <f>VLOOKUP(B567,'ITEMS LIST'!$B$2:$F$19,4,FALSE)</f>
        <v>680</v>
      </c>
      <c r="G567" s="11">
        <f>VLOOKUP(B567,'ITEMS LIST'!$B$2:$F$19,5,FALSE)</f>
        <v>570</v>
      </c>
      <c r="H567" s="11">
        <f t="shared" si="32"/>
        <v>0</v>
      </c>
      <c r="I567" s="11">
        <f t="shared" si="33"/>
        <v>0</v>
      </c>
      <c r="J567" s="11">
        <f t="shared" si="35"/>
        <v>0</v>
      </c>
    </row>
    <row r="568" spans="1:10" x14ac:dyDescent="0.3">
      <c r="A568" s="7">
        <v>44866.444444443987</v>
      </c>
      <c r="B568" s="8" t="s">
        <v>8</v>
      </c>
      <c r="C568" s="8">
        <v>0</v>
      </c>
      <c r="D568" t="str">
        <f t="shared" si="34"/>
        <v>Tuesday</v>
      </c>
      <c r="E568">
        <v>45</v>
      </c>
      <c r="F568" s="11">
        <f>VLOOKUP(B568,'ITEMS LIST'!$B$2:$F$19,4,FALSE)</f>
        <v>199</v>
      </c>
      <c r="G568" s="11">
        <f>VLOOKUP(B568,'ITEMS LIST'!$B$2:$F$19,5,FALSE)</f>
        <v>140</v>
      </c>
      <c r="H568" s="11">
        <f t="shared" si="32"/>
        <v>0</v>
      </c>
      <c r="I568" s="11">
        <f t="shared" si="33"/>
        <v>0</v>
      </c>
      <c r="J568" s="11">
        <f t="shared" si="35"/>
        <v>0</v>
      </c>
    </row>
    <row r="569" spans="1:10" x14ac:dyDescent="0.3">
      <c r="A569" s="7">
        <v>44866.499999999542</v>
      </c>
      <c r="B569" s="8" t="s">
        <v>9</v>
      </c>
      <c r="C569" s="8">
        <v>0</v>
      </c>
      <c r="D569" t="str">
        <f t="shared" si="34"/>
        <v>Tuesday</v>
      </c>
      <c r="E569">
        <v>45</v>
      </c>
      <c r="F569" s="11">
        <f>VLOOKUP(B569,'ITEMS LIST'!$B$2:$F$19,4,FALSE)</f>
        <v>219</v>
      </c>
      <c r="G569" s="11">
        <f>VLOOKUP(B569,'ITEMS LIST'!$B$2:$F$19,5,FALSE)</f>
        <v>132</v>
      </c>
      <c r="H569" s="11">
        <f t="shared" si="32"/>
        <v>0</v>
      </c>
      <c r="I569" s="11">
        <f t="shared" si="33"/>
        <v>0</v>
      </c>
      <c r="J569" s="11">
        <f t="shared" si="35"/>
        <v>0</v>
      </c>
    </row>
    <row r="570" spans="1:10" x14ac:dyDescent="0.3">
      <c r="A570" s="7">
        <v>44866.555555555096</v>
      </c>
      <c r="B570" s="8" t="s">
        <v>10</v>
      </c>
      <c r="C570" s="8">
        <v>0</v>
      </c>
      <c r="D570" t="str">
        <f t="shared" si="34"/>
        <v>Tuesday</v>
      </c>
      <c r="E570">
        <v>45</v>
      </c>
      <c r="F570" s="11">
        <f>VLOOKUP(B570,'ITEMS LIST'!$B$2:$F$19,4,FALSE)</f>
        <v>1469</v>
      </c>
      <c r="G570" s="11">
        <f>VLOOKUP(B570,'ITEMS LIST'!$B$2:$F$19,5,FALSE)</f>
        <v>1184</v>
      </c>
      <c r="H570" s="11">
        <f t="shared" si="32"/>
        <v>0</v>
      </c>
      <c r="I570" s="11">
        <f t="shared" si="33"/>
        <v>0</v>
      </c>
      <c r="J570" s="11">
        <f t="shared" si="35"/>
        <v>0</v>
      </c>
    </row>
    <row r="571" spans="1:10" x14ac:dyDescent="0.3">
      <c r="A571" s="7">
        <v>44866.611111110651</v>
      </c>
      <c r="B571" s="8" t="s">
        <v>11</v>
      </c>
      <c r="C571" s="8">
        <v>0</v>
      </c>
      <c r="D571" t="str">
        <f t="shared" si="34"/>
        <v>Tuesday</v>
      </c>
      <c r="E571">
        <v>45</v>
      </c>
      <c r="F571" s="11">
        <f>VLOOKUP(B571,'ITEMS LIST'!$B$2:$F$19,4,FALSE)</f>
        <v>89</v>
      </c>
      <c r="G571" s="11">
        <f>VLOOKUP(B571,'ITEMS LIST'!$B$2:$F$19,5,FALSE)</f>
        <v>59</v>
      </c>
      <c r="H571" s="11">
        <f t="shared" si="32"/>
        <v>0</v>
      </c>
      <c r="I571" s="11">
        <f t="shared" si="33"/>
        <v>0</v>
      </c>
      <c r="J571" s="11">
        <f t="shared" si="35"/>
        <v>0</v>
      </c>
    </row>
    <row r="572" spans="1:10" x14ac:dyDescent="0.3">
      <c r="A572" s="7">
        <v>44866.666666666206</v>
      </c>
      <c r="B572" s="8" t="s">
        <v>12</v>
      </c>
      <c r="C572" s="8">
        <v>0</v>
      </c>
      <c r="D572" t="str">
        <f t="shared" si="34"/>
        <v>Tuesday</v>
      </c>
      <c r="E572">
        <v>45</v>
      </c>
      <c r="F572" s="11">
        <f>VLOOKUP(B572,'ITEMS LIST'!$B$2:$F$19,4,FALSE)</f>
        <v>310</v>
      </c>
      <c r="G572" s="11">
        <f>VLOOKUP(B572,'ITEMS LIST'!$B$2:$F$19,5,FALSE)</f>
        <v>206</v>
      </c>
      <c r="H572" s="11">
        <f t="shared" si="32"/>
        <v>0</v>
      </c>
      <c r="I572" s="11">
        <f t="shared" si="33"/>
        <v>0</v>
      </c>
      <c r="J572" s="11">
        <f t="shared" si="35"/>
        <v>0</v>
      </c>
    </row>
    <row r="573" spans="1:10" x14ac:dyDescent="0.3">
      <c r="A573" s="7">
        <v>44866.722222221761</v>
      </c>
      <c r="B573" s="8" t="s">
        <v>13</v>
      </c>
      <c r="C573" s="8">
        <v>0</v>
      </c>
      <c r="D573" t="str">
        <f t="shared" si="34"/>
        <v>Tuesday</v>
      </c>
      <c r="E573">
        <v>45</v>
      </c>
      <c r="F573" s="11">
        <f>VLOOKUP(B573,'ITEMS LIST'!$B$2:$F$19,4,FALSE)</f>
        <v>540</v>
      </c>
      <c r="G573" s="11">
        <f>VLOOKUP(B573,'ITEMS LIST'!$B$2:$F$19,5,FALSE)</f>
        <v>397</v>
      </c>
      <c r="H573" s="11">
        <f t="shared" si="32"/>
        <v>0</v>
      </c>
      <c r="I573" s="11">
        <f t="shared" si="33"/>
        <v>0</v>
      </c>
      <c r="J573" s="11">
        <f t="shared" si="35"/>
        <v>0</v>
      </c>
    </row>
    <row r="574" spans="1:10" x14ac:dyDescent="0.3">
      <c r="A574" s="7">
        <v>44866.777777777315</v>
      </c>
      <c r="B574" s="8" t="s">
        <v>14</v>
      </c>
      <c r="C574" s="8">
        <v>0</v>
      </c>
      <c r="D574" t="str">
        <f t="shared" si="34"/>
        <v>Tuesday</v>
      </c>
      <c r="E574">
        <v>45</v>
      </c>
      <c r="F574" s="11">
        <f>VLOOKUP(B574,'ITEMS LIST'!$B$2:$F$19,4,FALSE)</f>
        <v>360</v>
      </c>
      <c r="G574" s="11">
        <f>VLOOKUP(B574,'ITEMS LIST'!$B$2:$F$19,5,FALSE)</f>
        <v>248</v>
      </c>
      <c r="H574" s="11">
        <f t="shared" si="32"/>
        <v>0</v>
      </c>
      <c r="I574" s="11">
        <f t="shared" si="33"/>
        <v>0</v>
      </c>
      <c r="J574" s="11">
        <f t="shared" si="35"/>
        <v>0</v>
      </c>
    </row>
    <row r="575" spans="1:10" x14ac:dyDescent="0.3">
      <c r="A575" s="7">
        <v>44866.83333333287</v>
      </c>
      <c r="B575" s="8" t="s">
        <v>15</v>
      </c>
      <c r="C575" s="8">
        <v>0</v>
      </c>
      <c r="D575" t="str">
        <f t="shared" si="34"/>
        <v>Tuesday</v>
      </c>
      <c r="E575">
        <v>45</v>
      </c>
      <c r="F575" s="11">
        <f>VLOOKUP(B575,'ITEMS LIST'!$B$2:$F$19,4,FALSE)</f>
        <v>250</v>
      </c>
      <c r="G575" s="11">
        <f>VLOOKUP(B575,'ITEMS LIST'!$B$2:$F$19,5,FALSE)</f>
        <v>190</v>
      </c>
      <c r="H575" s="11">
        <f t="shared" si="32"/>
        <v>0</v>
      </c>
      <c r="I575" s="11">
        <f t="shared" si="33"/>
        <v>0</v>
      </c>
      <c r="J575" s="11">
        <f t="shared" si="35"/>
        <v>0</v>
      </c>
    </row>
    <row r="576" spans="1:10" x14ac:dyDescent="0.3">
      <c r="A576" s="7">
        <v>44866.888888888425</v>
      </c>
      <c r="B576" s="8" t="s">
        <v>16</v>
      </c>
      <c r="C576" s="8">
        <v>0</v>
      </c>
      <c r="D576" t="str">
        <f t="shared" si="34"/>
        <v>Tuesday</v>
      </c>
      <c r="E576">
        <v>45</v>
      </c>
      <c r="F576" s="11">
        <f>VLOOKUP(B576,'ITEMS LIST'!$B$2:$F$19,4,FALSE)</f>
        <v>120</v>
      </c>
      <c r="G576" s="11">
        <f>VLOOKUP(B576,'ITEMS LIST'!$B$2:$F$19,5,FALSE)</f>
        <v>85</v>
      </c>
      <c r="H576" s="11">
        <f t="shared" si="32"/>
        <v>0</v>
      </c>
      <c r="I576" s="11">
        <f t="shared" si="33"/>
        <v>0</v>
      </c>
      <c r="J576" s="11">
        <f t="shared" si="35"/>
        <v>0</v>
      </c>
    </row>
    <row r="577" spans="1:10" x14ac:dyDescent="0.3">
      <c r="A577" s="7">
        <v>44866.94444444398</v>
      </c>
      <c r="B577" s="8" t="s">
        <v>17</v>
      </c>
      <c r="C577" s="8">
        <v>0</v>
      </c>
      <c r="D577" t="str">
        <f t="shared" si="34"/>
        <v>Tuesday</v>
      </c>
      <c r="E577">
        <v>45</v>
      </c>
      <c r="F577" s="11">
        <f>VLOOKUP(B577,'ITEMS LIST'!$B$2:$F$19,4,FALSE)</f>
        <v>80</v>
      </c>
      <c r="G577" s="11">
        <f>VLOOKUP(B577,'ITEMS LIST'!$B$2:$F$19,5,FALSE)</f>
        <v>55</v>
      </c>
      <c r="H577" s="11">
        <f t="shared" si="32"/>
        <v>0</v>
      </c>
      <c r="I577" s="11">
        <f t="shared" si="33"/>
        <v>0</v>
      </c>
      <c r="J577" s="11">
        <f t="shared" si="35"/>
        <v>0</v>
      </c>
    </row>
    <row r="578" spans="1:10" x14ac:dyDescent="0.3">
      <c r="A578" s="7">
        <v>44866.999999999534</v>
      </c>
      <c r="B578" s="8" t="s">
        <v>0</v>
      </c>
      <c r="C578" s="8">
        <v>0</v>
      </c>
      <c r="D578" t="str">
        <f t="shared" si="34"/>
        <v>Wednesday</v>
      </c>
      <c r="E578">
        <v>45</v>
      </c>
      <c r="F578" s="11">
        <f>VLOOKUP(B578,'ITEMS LIST'!$B$2:$F$19,4,FALSE)</f>
        <v>549</v>
      </c>
      <c r="G578" s="11">
        <f>VLOOKUP(B578,'ITEMS LIST'!$B$2:$F$19,5,FALSE)</f>
        <v>365</v>
      </c>
      <c r="H578" s="11">
        <f t="shared" ref="H578:H641" si="36">C578*F578</f>
        <v>0</v>
      </c>
      <c r="I578" s="11">
        <f t="shared" ref="I578:I641" si="37">C578*G578</f>
        <v>0</v>
      </c>
      <c r="J578" s="11">
        <f t="shared" si="35"/>
        <v>0</v>
      </c>
    </row>
    <row r="579" spans="1:10" x14ac:dyDescent="0.3">
      <c r="A579" s="7">
        <v>44867.055555555089</v>
      </c>
      <c r="B579" s="8" t="s">
        <v>1</v>
      </c>
      <c r="C579" s="8">
        <v>1</v>
      </c>
      <c r="D579" t="str">
        <f t="shared" ref="D579:D642" si="38">TEXT(A579,"dddd")</f>
        <v>Wednesday</v>
      </c>
      <c r="E579">
        <v>45</v>
      </c>
      <c r="F579" s="11">
        <f>VLOOKUP(B579,'ITEMS LIST'!$B$2:$F$19,4,FALSE)</f>
        <v>699</v>
      </c>
      <c r="G579" s="11">
        <f>VLOOKUP(B579,'ITEMS LIST'!$B$2:$F$19,5,FALSE)</f>
        <v>550</v>
      </c>
      <c r="H579" s="11">
        <f t="shared" si="36"/>
        <v>699</v>
      </c>
      <c r="I579" s="11">
        <f t="shared" si="37"/>
        <v>550</v>
      </c>
      <c r="J579" s="11">
        <f t="shared" ref="J579:J642" si="39">H579-I579</f>
        <v>149</v>
      </c>
    </row>
    <row r="580" spans="1:10" x14ac:dyDescent="0.3">
      <c r="A580" s="7">
        <v>44867.111111110644</v>
      </c>
      <c r="B580" s="8" t="s">
        <v>2</v>
      </c>
      <c r="C580" s="8">
        <v>2</v>
      </c>
      <c r="D580" t="str">
        <f t="shared" si="38"/>
        <v>Wednesday</v>
      </c>
      <c r="E580">
        <v>45</v>
      </c>
      <c r="F580" s="11">
        <f>VLOOKUP(B580,'ITEMS LIST'!$B$2:$F$19,4,FALSE)</f>
        <v>739</v>
      </c>
      <c r="G580" s="11">
        <f>VLOOKUP(B580,'ITEMS LIST'!$B$2:$F$19,5,FALSE)</f>
        <v>620</v>
      </c>
      <c r="H580" s="11">
        <f t="shared" si="36"/>
        <v>1478</v>
      </c>
      <c r="I580" s="11">
        <f t="shared" si="37"/>
        <v>1240</v>
      </c>
      <c r="J580" s="11">
        <f t="shared" si="39"/>
        <v>238</v>
      </c>
    </row>
    <row r="581" spans="1:10" x14ac:dyDescent="0.3">
      <c r="A581" s="7">
        <v>44867.166666666199</v>
      </c>
      <c r="B581" s="8" t="s">
        <v>3</v>
      </c>
      <c r="C581" s="8">
        <v>0</v>
      </c>
      <c r="D581" t="str">
        <f t="shared" si="38"/>
        <v>Wednesday</v>
      </c>
      <c r="E581">
        <v>45</v>
      </c>
      <c r="F581" s="11">
        <f>VLOOKUP(B581,'ITEMS LIST'!$B$2:$F$19,4,FALSE)</f>
        <v>899</v>
      </c>
      <c r="G581" s="11">
        <f>VLOOKUP(B581,'ITEMS LIST'!$B$2:$F$19,5,FALSE)</f>
        <v>714</v>
      </c>
      <c r="H581" s="11">
        <f t="shared" si="36"/>
        <v>0</v>
      </c>
      <c r="I581" s="11">
        <f t="shared" si="37"/>
        <v>0</v>
      </c>
      <c r="J581" s="11">
        <f t="shared" si="39"/>
        <v>0</v>
      </c>
    </row>
    <row r="582" spans="1:10" x14ac:dyDescent="0.3">
      <c r="A582" s="7">
        <v>44867.222222221753</v>
      </c>
      <c r="B582" s="8" t="s">
        <v>4</v>
      </c>
      <c r="C582" s="8">
        <v>0</v>
      </c>
      <c r="D582" t="str">
        <f t="shared" si="38"/>
        <v>Wednesday</v>
      </c>
      <c r="E582">
        <v>45</v>
      </c>
      <c r="F582" s="11">
        <f>VLOOKUP(B582,'ITEMS LIST'!$B$2:$F$19,4,FALSE)</f>
        <v>1379</v>
      </c>
      <c r="G582" s="11">
        <f>VLOOKUP(B582,'ITEMS LIST'!$B$2:$F$19,5,FALSE)</f>
        <v>890</v>
      </c>
      <c r="H582" s="11">
        <f t="shared" si="36"/>
        <v>0</v>
      </c>
      <c r="I582" s="11">
        <f t="shared" si="37"/>
        <v>0</v>
      </c>
      <c r="J582" s="11">
        <f t="shared" si="39"/>
        <v>0</v>
      </c>
    </row>
    <row r="583" spans="1:10" x14ac:dyDescent="0.3">
      <c r="A583" s="7">
        <v>44867.277777777308</v>
      </c>
      <c r="B583" s="8" t="s">
        <v>5</v>
      </c>
      <c r="C583" s="8">
        <v>2</v>
      </c>
      <c r="D583" t="str">
        <f t="shared" si="38"/>
        <v>Wednesday</v>
      </c>
      <c r="E583">
        <v>45</v>
      </c>
      <c r="F583" s="11">
        <f>VLOOKUP(B583,'ITEMS LIST'!$B$2:$F$19,4,FALSE)</f>
        <v>849</v>
      </c>
      <c r="G583" s="11">
        <f>VLOOKUP(B583,'ITEMS LIST'!$B$2:$F$19,5,FALSE)</f>
        <v>530</v>
      </c>
      <c r="H583" s="11">
        <f t="shared" si="36"/>
        <v>1698</v>
      </c>
      <c r="I583" s="11">
        <f t="shared" si="37"/>
        <v>1060</v>
      </c>
      <c r="J583" s="11">
        <f t="shared" si="39"/>
        <v>638</v>
      </c>
    </row>
    <row r="584" spans="1:10" x14ac:dyDescent="0.3">
      <c r="A584" s="7">
        <v>44867.333333332863</v>
      </c>
      <c r="B584" s="8" t="s">
        <v>6</v>
      </c>
      <c r="C584" s="8">
        <v>0</v>
      </c>
      <c r="D584" t="str">
        <f t="shared" si="38"/>
        <v>Wednesday</v>
      </c>
      <c r="E584">
        <v>45</v>
      </c>
      <c r="F584" s="11">
        <f>VLOOKUP(B584,'ITEMS LIST'!$B$2:$F$19,4,FALSE)</f>
        <v>1000</v>
      </c>
      <c r="G584" s="11">
        <f>VLOOKUP(B584,'ITEMS LIST'!$B$2:$F$19,5,FALSE)</f>
        <v>768</v>
      </c>
      <c r="H584" s="11">
        <f t="shared" si="36"/>
        <v>0</v>
      </c>
      <c r="I584" s="11">
        <f t="shared" si="37"/>
        <v>0</v>
      </c>
      <c r="J584" s="11">
        <f t="shared" si="39"/>
        <v>0</v>
      </c>
    </row>
    <row r="585" spans="1:10" x14ac:dyDescent="0.3">
      <c r="A585" s="7">
        <v>44867.388888888418</v>
      </c>
      <c r="B585" s="8" t="s">
        <v>7</v>
      </c>
      <c r="C585" s="8">
        <v>0</v>
      </c>
      <c r="D585" t="str">
        <f t="shared" si="38"/>
        <v>Wednesday</v>
      </c>
      <c r="E585">
        <v>45</v>
      </c>
      <c r="F585" s="11">
        <f>VLOOKUP(B585,'ITEMS LIST'!$B$2:$F$19,4,FALSE)</f>
        <v>680</v>
      </c>
      <c r="G585" s="11">
        <f>VLOOKUP(B585,'ITEMS LIST'!$B$2:$F$19,5,FALSE)</f>
        <v>570</v>
      </c>
      <c r="H585" s="11">
        <f t="shared" si="36"/>
        <v>0</v>
      </c>
      <c r="I585" s="11">
        <f t="shared" si="37"/>
        <v>0</v>
      </c>
      <c r="J585" s="11">
        <f t="shared" si="39"/>
        <v>0</v>
      </c>
    </row>
    <row r="586" spans="1:10" x14ac:dyDescent="0.3">
      <c r="A586" s="7">
        <v>44867.444444443972</v>
      </c>
      <c r="B586" s="8" t="s">
        <v>8</v>
      </c>
      <c r="C586" s="8">
        <v>0</v>
      </c>
      <c r="D586" t="str">
        <f t="shared" si="38"/>
        <v>Wednesday</v>
      </c>
      <c r="E586">
        <v>45</v>
      </c>
      <c r="F586" s="11">
        <f>VLOOKUP(B586,'ITEMS LIST'!$B$2:$F$19,4,FALSE)</f>
        <v>199</v>
      </c>
      <c r="G586" s="11">
        <f>VLOOKUP(B586,'ITEMS LIST'!$B$2:$F$19,5,FALSE)</f>
        <v>140</v>
      </c>
      <c r="H586" s="11">
        <f t="shared" si="36"/>
        <v>0</v>
      </c>
      <c r="I586" s="11">
        <f t="shared" si="37"/>
        <v>0</v>
      </c>
      <c r="J586" s="11">
        <f t="shared" si="39"/>
        <v>0</v>
      </c>
    </row>
    <row r="587" spans="1:10" x14ac:dyDescent="0.3">
      <c r="A587" s="7">
        <v>44867.499999999527</v>
      </c>
      <c r="B587" s="8" t="s">
        <v>9</v>
      </c>
      <c r="C587" s="8">
        <v>0</v>
      </c>
      <c r="D587" t="str">
        <f t="shared" si="38"/>
        <v>Wednesday</v>
      </c>
      <c r="E587">
        <v>45</v>
      </c>
      <c r="F587" s="11">
        <f>VLOOKUP(B587,'ITEMS LIST'!$B$2:$F$19,4,FALSE)</f>
        <v>219</v>
      </c>
      <c r="G587" s="11">
        <f>VLOOKUP(B587,'ITEMS LIST'!$B$2:$F$19,5,FALSE)</f>
        <v>132</v>
      </c>
      <c r="H587" s="11">
        <f t="shared" si="36"/>
        <v>0</v>
      </c>
      <c r="I587" s="11">
        <f t="shared" si="37"/>
        <v>0</v>
      </c>
      <c r="J587" s="11">
        <f t="shared" si="39"/>
        <v>0</v>
      </c>
    </row>
    <row r="588" spans="1:10" x14ac:dyDescent="0.3">
      <c r="A588" s="7">
        <v>44867.555555555082</v>
      </c>
      <c r="B588" s="8" t="s">
        <v>10</v>
      </c>
      <c r="C588" s="8">
        <v>0</v>
      </c>
      <c r="D588" t="str">
        <f t="shared" si="38"/>
        <v>Wednesday</v>
      </c>
      <c r="E588">
        <v>45</v>
      </c>
      <c r="F588" s="11">
        <f>VLOOKUP(B588,'ITEMS LIST'!$B$2:$F$19,4,FALSE)</f>
        <v>1469</v>
      </c>
      <c r="G588" s="11">
        <f>VLOOKUP(B588,'ITEMS LIST'!$B$2:$F$19,5,FALSE)</f>
        <v>1184</v>
      </c>
      <c r="H588" s="11">
        <f t="shared" si="36"/>
        <v>0</v>
      </c>
      <c r="I588" s="11">
        <f t="shared" si="37"/>
        <v>0</v>
      </c>
      <c r="J588" s="11">
        <f t="shared" si="39"/>
        <v>0</v>
      </c>
    </row>
    <row r="589" spans="1:10" x14ac:dyDescent="0.3">
      <c r="A589" s="7">
        <v>44867.611111110637</v>
      </c>
      <c r="B589" s="8" t="s">
        <v>11</v>
      </c>
      <c r="C589" s="8">
        <v>0</v>
      </c>
      <c r="D589" t="str">
        <f t="shared" si="38"/>
        <v>Wednesday</v>
      </c>
      <c r="E589">
        <v>45</v>
      </c>
      <c r="F589" s="11">
        <f>VLOOKUP(B589,'ITEMS LIST'!$B$2:$F$19,4,FALSE)</f>
        <v>89</v>
      </c>
      <c r="G589" s="11">
        <f>VLOOKUP(B589,'ITEMS LIST'!$B$2:$F$19,5,FALSE)</f>
        <v>59</v>
      </c>
      <c r="H589" s="11">
        <f t="shared" si="36"/>
        <v>0</v>
      </c>
      <c r="I589" s="11">
        <f t="shared" si="37"/>
        <v>0</v>
      </c>
      <c r="J589" s="11">
        <f t="shared" si="39"/>
        <v>0</v>
      </c>
    </row>
    <row r="590" spans="1:10" x14ac:dyDescent="0.3">
      <c r="A590" s="7">
        <v>44867.666666666191</v>
      </c>
      <c r="B590" s="8" t="s">
        <v>12</v>
      </c>
      <c r="C590" s="8">
        <v>0</v>
      </c>
      <c r="D590" t="str">
        <f t="shared" si="38"/>
        <v>Wednesday</v>
      </c>
      <c r="E590">
        <v>45</v>
      </c>
      <c r="F590" s="11">
        <f>VLOOKUP(B590,'ITEMS LIST'!$B$2:$F$19,4,FALSE)</f>
        <v>310</v>
      </c>
      <c r="G590" s="11">
        <f>VLOOKUP(B590,'ITEMS LIST'!$B$2:$F$19,5,FALSE)</f>
        <v>206</v>
      </c>
      <c r="H590" s="11">
        <f t="shared" si="36"/>
        <v>0</v>
      </c>
      <c r="I590" s="11">
        <f t="shared" si="37"/>
        <v>0</v>
      </c>
      <c r="J590" s="11">
        <f t="shared" si="39"/>
        <v>0</v>
      </c>
    </row>
    <row r="591" spans="1:10" x14ac:dyDescent="0.3">
      <c r="A591" s="7">
        <v>44867.722222221746</v>
      </c>
      <c r="B591" s="8" t="s">
        <v>13</v>
      </c>
      <c r="C591" s="8">
        <v>0</v>
      </c>
      <c r="D591" t="str">
        <f t="shared" si="38"/>
        <v>Wednesday</v>
      </c>
      <c r="E591">
        <v>45</v>
      </c>
      <c r="F591" s="11">
        <f>VLOOKUP(B591,'ITEMS LIST'!$B$2:$F$19,4,FALSE)</f>
        <v>540</v>
      </c>
      <c r="G591" s="11">
        <f>VLOOKUP(B591,'ITEMS LIST'!$B$2:$F$19,5,FALSE)</f>
        <v>397</v>
      </c>
      <c r="H591" s="11">
        <f t="shared" si="36"/>
        <v>0</v>
      </c>
      <c r="I591" s="11">
        <f t="shared" si="37"/>
        <v>0</v>
      </c>
      <c r="J591" s="11">
        <f t="shared" si="39"/>
        <v>0</v>
      </c>
    </row>
    <row r="592" spans="1:10" x14ac:dyDescent="0.3">
      <c r="A592" s="7">
        <v>44867.777777777301</v>
      </c>
      <c r="B592" s="8" t="s">
        <v>14</v>
      </c>
      <c r="C592" s="8">
        <v>0</v>
      </c>
      <c r="D592" t="str">
        <f t="shared" si="38"/>
        <v>Wednesday</v>
      </c>
      <c r="E592">
        <v>45</v>
      </c>
      <c r="F592" s="11">
        <f>VLOOKUP(B592,'ITEMS LIST'!$B$2:$F$19,4,FALSE)</f>
        <v>360</v>
      </c>
      <c r="G592" s="11">
        <f>VLOOKUP(B592,'ITEMS LIST'!$B$2:$F$19,5,FALSE)</f>
        <v>248</v>
      </c>
      <c r="H592" s="11">
        <f t="shared" si="36"/>
        <v>0</v>
      </c>
      <c r="I592" s="11">
        <f t="shared" si="37"/>
        <v>0</v>
      </c>
      <c r="J592" s="11">
        <f t="shared" si="39"/>
        <v>0</v>
      </c>
    </row>
    <row r="593" spans="1:10" x14ac:dyDescent="0.3">
      <c r="A593" s="7">
        <v>44867.833333332856</v>
      </c>
      <c r="B593" s="8" t="s">
        <v>15</v>
      </c>
      <c r="C593" s="8">
        <v>0</v>
      </c>
      <c r="D593" t="str">
        <f t="shared" si="38"/>
        <v>Wednesday</v>
      </c>
      <c r="E593">
        <v>45</v>
      </c>
      <c r="F593" s="11">
        <f>VLOOKUP(B593,'ITEMS LIST'!$B$2:$F$19,4,FALSE)</f>
        <v>250</v>
      </c>
      <c r="G593" s="11">
        <f>VLOOKUP(B593,'ITEMS LIST'!$B$2:$F$19,5,FALSE)</f>
        <v>190</v>
      </c>
      <c r="H593" s="11">
        <f t="shared" si="36"/>
        <v>0</v>
      </c>
      <c r="I593" s="11">
        <f t="shared" si="37"/>
        <v>0</v>
      </c>
      <c r="J593" s="11">
        <f t="shared" si="39"/>
        <v>0</v>
      </c>
    </row>
    <row r="594" spans="1:10" x14ac:dyDescent="0.3">
      <c r="A594" s="7">
        <v>44867.88888888841</v>
      </c>
      <c r="B594" s="8" t="s">
        <v>16</v>
      </c>
      <c r="C594" s="8">
        <v>0</v>
      </c>
      <c r="D594" t="str">
        <f t="shared" si="38"/>
        <v>Wednesday</v>
      </c>
      <c r="E594">
        <v>45</v>
      </c>
      <c r="F594" s="11">
        <f>VLOOKUP(B594,'ITEMS LIST'!$B$2:$F$19,4,FALSE)</f>
        <v>120</v>
      </c>
      <c r="G594" s="11">
        <f>VLOOKUP(B594,'ITEMS LIST'!$B$2:$F$19,5,FALSE)</f>
        <v>85</v>
      </c>
      <c r="H594" s="11">
        <f t="shared" si="36"/>
        <v>0</v>
      </c>
      <c r="I594" s="11">
        <f t="shared" si="37"/>
        <v>0</v>
      </c>
      <c r="J594" s="11">
        <f t="shared" si="39"/>
        <v>0</v>
      </c>
    </row>
    <row r="595" spans="1:10" x14ac:dyDescent="0.3">
      <c r="A595" s="7">
        <v>44867.944444443965</v>
      </c>
      <c r="B595" s="8" t="s">
        <v>17</v>
      </c>
      <c r="C595" s="8">
        <v>0</v>
      </c>
      <c r="D595" t="str">
        <f t="shared" si="38"/>
        <v>Wednesday</v>
      </c>
      <c r="E595">
        <v>45</v>
      </c>
      <c r="F595" s="11">
        <f>VLOOKUP(B595,'ITEMS LIST'!$B$2:$F$19,4,FALSE)</f>
        <v>80</v>
      </c>
      <c r="G595" s="11">
        <f>VLOOKUP(B595,'ITEMS LIST'!$B$2:$F$19,5,FALSE)</f>
        <v>55</v>
      </c>
      <c r="H595" s="11">
        <f t="shared" si="36"/>
        <v>0</v>
      </c>
      <c r="I595" s="11">
        <f t="shared" si="37"/>
        <v>0</v>
      </c>
      <c r="J595" s="11">
        <f t="shared" si="39"/>
        <v>0</v>
      </c>
    </row>
    <row r="596" spans="1:10" x14ac:dyDescent="0.3">
      <c r="A596" s="7">
        <v>44867.99999999952</v>
      </c>
      <c r="B596" s="8" t="s">
        <v>0</v>
      </c>
      <c r="C596" s="8">
        <v>0</v>
      </c>
      <c r="D596" t="str">
        <f t="shared" si="38"/>
        <v>Thursday</v>
      </c>
      <c r="E596">
        <v>45</v>
      </c>
      <c r="F596" s="11">
        <f>VLOOKUP(B596,'ITEMS LIST'!$B$2:$F$19,4,FALSE)</f>
        <v>549</v>
      </c>
      <c r="G596" s="11">
        <f>VLOOKUP(B596,'ITEMS LIST'!$B$2:$F$19,5,FALSE)</f>
        <v>365</v>
      </c>
      <c r="H596" s="11">
        <f t="shared" si="36"/>
        <v>0</v>
      </c>
      <c r="I596" s="11">
        <f t="shared" si="37"/>
        <v>0</v>
      </c>
      <c r="J596" s="11">
        <f t="shared" si="39"/>
        <v>0</v>
      </c>
    </row>
    <row r="597" spans="1:10" x14ac:dyDescent="0.3">
      <c r="A597" s="7">
        <v>44868.055555555075</v>
      </c>
      <c r="B597" s="8" t="s">
        <v>1</v>
      </c>
      <c r="C597" s="8">
        <v>1</v>
      </c>
      <c r="D597" t="str">
        <f t="shared" si="38"/>
        <v>Thursday</v>
      </c>
      <c r="E597">
        <v>45</v>
      </c>
      <c r="F597" s="11">
        <f>VLOOKUP(B597,'ITEMS LIST'!$B$2:$F$19,4,FALSE)</f>
        <v>699</v>
      </c>
      <c r="G597" s="11">
        <f>VLOOKUP(B597,'ITEMS LIST'!$B$2:$F$19,5,FALSE)</f>
        <v>550</v>
      </c>
      <c r="H597" s="11">
        <f t="shared" si="36"/>
        <v>699</v>
      </c>
      <c r="I597" s="11">
        <f t="shared" si="37"/>
        <v>550</v>
      </c>
      <c r="J597" s="11">
        <f t="shared" si="39"/>
        <v>149</v>
      </c>
    </row>
    <row r="598" spans="1:10" x14ac:dyDescent="0.3">
      <c r="A598" s="7">
        <v>44868.111111110629</v>
      </c>
      <c r="B598" s="8" t="s">
        <v>2</v>
      </c>
      <c r="C598" s="8">
        <v>0</v>
      </c>
      <c r="D598" t="str">
        <f t="shared" si="38"/>
        <v>Thursday</v>
      </c>
      <c r="E598">
        <v>45</v>
      </c>
      <c r="F598" s="11">
        <f>VLOOKUP(B598,'ITEMS LIST'!$B$2:$F$19,4,FALSE)</f>
        <v>739</v>
      </c>
      <c r="G598" s="11">
        <f>VLOOKUP(B598,'ITEMS LIST'!$B$2:$F$19,5,FALSE)</f>
        <v>620</v>
      </c>
      <c r="H598" s="11">
        <f t="shared" si="36"/>
        <v>0</v>
      </c>
      <c r="I598" s="11">
        <f t="shared" si="37"/>
        <v>0</v>
      </c>
      <c r="J598" s="11">
        <f t="shared" si="39"/>
        <v>0</v>
      </c>
    </row>
    <row r="599" spans="1:10" x14ac:dyDescent="0.3">
      <c r="A599" s="7">
        <v>44868.166666666184</v>
      </c>
      <c r="B599" s="8" t="s">
        <v>3</v>
      </c>
      <c r="C599" s="8">
        <v>0</v>
      </c>
      <c r="D599" t="str">
        <f t="shared" si="38"/>
        <v>Thursday</v>
      </c>
      <c r="E599">
        <v>45</v>
      </c>
      <c r="F599" s="11">
        <f>VLOOKUP(B599,'ITEMS LIST'!$B$2:$F$19,4,FALSE)</f>
        <v>899</v>
      </c>
      <c r="G599" s="11">
        <f>VLOOKUP(B599,'ITEMS LIST'!$B$2:$F$19,5,FALSE)</f>
        <v>714</v>
      </c>
      <c r="H599" s="11">
        <f t="shared" si="36"/>
        <v>0</v>
      </c>
      <c r="I599" s="11">
        <f t="shared" si="37"/>
        <v>0</v>
      </c>
      <c r="J599" s="11">
        <f t="shared" si="39"/>
        <v>0</v>
      </c>
    </row>
    <row r="600" spans="1:10" x14ac:dyDescent="0.3">
      <c r="A600" s="7">
        <v>44868.222222221739</v>
      </c>
      <c r="B600" s="8" t="s">
        <v>4</v>
      </c>
      <c r="C600" s="8">
        <v>0</v>
      </c>
      <c r="D600" t="str">
        <f t="shared" si="38"/>
        <v>Thursday</v>
      </c>
      <c r="E600">
        <v>45</v>
      </c>
      <c r="F600" s="11">
        <f>VLOOKUP(B600,'ITEMS LIST'!$B$2:$F$19,4,FALSE)</f>
        <v>1379</v>
      </c>
      <c r="G600" s="11">
        <f>VLOOKUP(B600,'ITEMS LIST'!$B$2:$F$19,5,FALSE)</f>
        <v>890</v>
      </c>
      <c r="H600" s="11">
        <f t="shared" si="36"/>
        <v>0</v>
      </c>
      <c r="I600" s="11">
        <f t="shared" si="37"/>
        <v>0</v>
      </c>
      <c r="J600" s="11">
        <f t="shared" si="39"/>
        <v>0</v>
      </c>
    </row>
    <row r="601" spans="1:10" x14ac:dyDescent="0.3">
      <c r="A601" s="7">
        <v>44868.277777777294</v>
      </c>
      <c r="B601" s="8" t="s">
        <v>5</v>
      </c>
      <c r="C601" s="8">
        <v>1</v>
      </c>
      <c r="D601" t="str">
        <f t="shared" si="38"/>
        <v>Thursday</v>
      </c>
      <c r="E601">
        <v>45</v>
      </c>
      <c r="F601" s="11">
        <f>VLOOKUP(B601,'ITEMS LIST'!$B$2:$F$19,4,FALSE)</f>
        <v>849</v>
      </c>
      <c r="G601" s="11">
        <f>VLOOKUP(B601,'ITEMS LIST'!$B$2:$F$19,5,FALSE)</f>
        <v>530</v>
      </c>
      <c r="H601" s="11">
        <f t="shared" si="36"/>
        <v>849</v>
      </c>
      <c r="I601" s="11">
        <f t="shared" si="37"/>
        <v>530</v>
      </c>
      <c r="J601" s="11">
        <f t="shared" si="39"/>
        <v>319</v>
      </c>
    </row>
    <row r="602" spans="1:10" x14ac:dyDescent="0.3">
      <c r="A602" s="7">
        <v>44868.333333332848</v>
      </c>
      <c r="B602" s="8" t="s">
        <v>6</v>
      </c>
      <c r="C602" s="8">
        <v>0</v>
      </c>
      <c r="D602" t="str">
        <f t="shared" si="38"/>
        <v>Thursday</v>
      </c>
      <c r="E602">
        <v>45</v>
      </c>
      <c r="F602" s="11">
        <f>VLOOKUP(B602,'ITEMS LIST'!$B$2:$F$19,4,FALSE)</f>
        <v>1000</v>
      </c>
      <c r="G602" s="11">
        <f>VLOOKUP(B602,'ITEMS LIST'!$B$2:$F$19,5,FALSE)</f>
        <v>768</v>
      </c>
      <c r="H602" s="11">
        <f t="shared" si="36"/>
        <v>0</v>
      </c>
      <c r="I602" s="11">
        <f t="shared" si="37"/>
        <v>0</v>
      </c>
      <c r="J602" s="11">
        <f t="shared" si="39"/>
        <v>0</v>
      </c>
    </row>
    <row r="603" spans="1:10" x14ac:dyDescent="0.3">
      <c r="A603" s="7">
        <v>44868.388888888403</v>
      </c>
      <c r="B603" s="8" t="s">
        <v>7</v>
      </c>
      <c r="C603" s="8">
        <v>0</v>
      </c>
      <c r="D603" t="str">
        <f t="shared" si="38"/>
        <v>Thursday</v>
      </c>
      <c r="E603">
        <v>45</v>
      </c>
      <c r="F603" s="11">
        <f>VLOOKUP(B603,'ITEMS LIST'!$B$2:$F$19,4,FALSE)</f>
        <v>680</v>
      </c>
      <c r="G603" s="11">
        <f>VLOOKUP(B603,'ITEMS LIST'!$B$2:$F$19,5,FALSE)</f>
        <v>570</v>
      </c>
      <c r="H603" s="11">
        <f t="shared" si="36"/>
        <v>0</v>
      </c>
      <c r="I603" s="11">
        <f t="shared" si="37"/>
        <v>0</v>
      </c>
      <c r="J603" s="11">
        <f t="shared" si="39"/>
        <v>0</v>
      </c>
    </row>
    <row r="604" spans="1:10" x14ac:dyDescent="0.3">
      <c r="A604" s="7">
        <v>44868.444444443958</v>
      </c>
      <c r="B604" s="8" t="s">
        <v>8</v>
      </c>
      <c r="C604" s="8">
        <v>0</v>
      </c>
      <c r="D604" t="str">
        <f t="shared" si="38"/>
        <v>Thursday</v>
      </c>
      <c r="E604">
        <v>45</v>
      </c>
      <c r="F604" s="11">
        <f>VLOOKUP(B604,'ITEMS LIST'!$B$2:$F$19,4,FALSE)</f>
        <v>199</v>
      </c>
      <c r="G604" s="11">
        <f>VLOOKUP(B604,'ITEMS LIST'!$B$2:$F$19,5,FALSE)</f>
        <v>140</v>
      </c>
      <c r="H604" s="11">
        <f t="shared" si="36"/>
        <v>0</v>
      </c>
      <c r="I604" s="11">
        <f t="shared" si="37"/>
        <v>0</v>
      </c>
      <c r="J604" s="11">
        <f t="shared" si="39"/>
        <v>0</v>
      </c>
    </row>
    <row r="605" spans="1:10" x14ac:dyDescent="0.3">
      <c r="A605" s="7">
        <v>44868.499999999513</v>
      </c>
      <c r="B605" s="8" t="s">
        <v>9</v>
      </c>
      <c r="C605" s="8">
        <v>0</v>
      </c>
      <c r="D605" t="str">
        <f t="shared" si="38"/>
        <v>Thursday</v>
      </c>
      <c r="E605">
        <v>45</v>
      </c>
      <c r="F605" s="11">
        <f>VLOOKUP(B605,'ITEMS LIST'!$B$2:$F$19,4,FALSE)</f>
        <v>219</v>
      </c>
      <c r="G605" s="11">
        <f>VLOOKUP(B605,'ITEMS LIST'!$B$2:$F$19,5,FALSE)</f>
        <v>132</v>
      </c>
      <c r="H605" s="11">
        <f t="shared" si="36"/>
        <v>0</v>
      </c>
      <c r="I605" s="11">
        <f t="shared" si="37"/>
        <v>0</v>
      </c>
      <c r="J605" s="11">
        <f t="shared" si="39"/>
        <v>0</v>
      </c>
    </row>
    <row r="606" spans="1:10" x14ac:dyDescent="0.3">
      <c r="A606" s="7">
        <v>44868.555555555067</v>
      </c>
      <c r="B606" s="8" t="s">
        <v>10</v>
      </c>
      <c r="C606" s="8">
        <v>0</v>
      </c>
      <c r="D606" t="str">
        <f t="shared" si="38"/>
        <v>Thursday</v>
      </c>
      <c r="E606">
        <v>45</v>
      </c>
      <c r="F606" s="11">
        <f>VLOOKUP(B606,'ITEMS LIST'!$B$2:$F$19,4,FALSE)</f>
        <v>1469</v>
      </c>
      <c r="G606" s="11">
        <f>VLOOKUP(B606,'ITEMS LIST'!$B$2:$F$19,5,FALSE)</f>
        <v>1184</v>
      </c>
      <c r="H606" s="11">
        <f t="shared" si="36"/>
        <v>0</v>
      </c>
      <c r="I606" s="11">
        <f t="shared" si="37"/>
        <v>0</v>
      </c>
      <c r="J606" s="11">
        <f t="shared" si="39"/>
        <v>0</v>
      </c>
    </row>
    <row r="607" spans="1:10" x14ac:dyDescent="0.3">
      <c r="A607" s="7">
        <v>44868.611111110622</v>
      </c>
      <c r="B607" s="8" t="s">
        <v>11</v>
      </c>
      <c r="C607" s="8">
        <v>0</v>
      </c>
      <c r="D607" t="str">
        <f t="shared" si="38"/>
        <v>Thursday</v>
      </c>
      <c r="E607">
        <v>45</v>
      </c>
      <c r="F607" s="11">
        <f>VLOOKUP(B607,'ITEMS LIST'!$B$2:$F$19,4,FALSE)</f>
        <v>89</v>
      </c>
      <c r="G607" s="11">
        <f>VLOOKUP(B607,'ITEMS LIST'!$B$2:$F$19,5,FALSE)</f>
        <v>59</v>
      </c>
      <c r="H607" s="11">
        <f t="shared" si="36"/>
        <v>0</v>
      </c>
      <c r="I607" s="11">
        <f t="shared" si="37"/>
        <v>0</v>
      </c>
      <c r="J607" s="11">
        <f t="shared" si="39"/>
        <v>0</v>
      </c>
    </row>
    <row r="608" spans="1:10" x14ac:dyDescent="0.3">
      <c r="A608" s="7">
        <v>44868.666666666177</v>
      </c>
      <c r="B608" s="8" t="s">
        <v>12</v>
      </c>
      <c r="C608" s="8">
        <v>0</v>
      </c>
      <c r="D608" t="str">
        <f t="shared" si="38"/>
        <v>Thursday</v>
      </c>
      <c r="E608">
        <v>45</v>
      </c>
      <c r="F608" s="11">
        <f>VLOOKUP(B608,'ITEMS LIST'!$B$2:$F$19,4,FALSE)</f>
        <v>310</v>
      </c>
      <c r="G608" s="11">
        <f>VLOOKUP(B608,'ITEMS LIST'!$B$2:$F$19,5,FALSE)</f>
        <v>206</v>
      </c>
      <c r="H608" s="11">
        <f t="shared" si="36"/>
        <v>0</v>
      </c>
      <c r="I608" s="11">
        <f t="shared" si="37"/>
        <v>0</v>
      </c>
      <c r="J608" s="11">
        <f t="shared" si="39"/>
        <v>0</v>
      </c>
    </row>
    <row r="609" spans="1:10" x14ac:dyDescent="0.3">
      <c r="A609" s="7">
        <v>44868.722222221731</v>
      </c>
      <c r="B609" s="8" t="s">
        <v>13</v>
      </c>
      <c r="C609" s="8">
        <v>0</v>
      </c>
      <c r="D609" t="str">
        <f t="shared" si="38"/>
        <v>Thursday</v>
      </c>
      <c r="E609">
        <v>45</v>
      </c>
      <c r="F609" s="11">
        <f>VLOOKUP(B609,'ITEMS LIST'!$B$2:$F$19,4,FALSE)</f>
        <v>540</v>
      </c>
      <c r="G609" s="11">
        <f>VLOOKUP(B609,'ITEMS LIST'!$B$2:$F$19,5,FALSE)</f>
        <v>397</v>
      </c>
      <c r="H609" s="11">
        <f t="shared" si="36"/>
        <v>0</v>
      </c>
      <c r="I609" s="11">
        <f t="shared" si="37"/>
        <v>0</v>
      </c>
      <c r="J609" s="11">
        <f t="shared" si="39"/>
        <v>0</v>
      </c>
    </row>
    <row r="610" spans="1:10" x14ac:dyDescent="0.3">
      <c r="A610" s="7">
        <v>44868.777777777286</v>
      </c>
      <c r="B610" s="8" t="s">
        <v>14</v>
      </c>
      <c r="C610" s="8">
        <v>0</v>
      </c>
      <c r="D610" t="str">
        <f t="shared" si="38"/>
        <v>Thursday</v>
      </c>
      <c r="E610">
        <v>45</v>
      </c>
      <c r="F610" s="11">
        <f>VLOOKUP(B610,'ITEMS LIST'!$B$2:$F$19,4,FALSE)</f>
        <v>360</v>
      </c>
      <c r="G610" s="11">
        <f>VLOOKUP(B610,'ITEMS LIST'!$B$2:$F$19,5,FALSE)</f>
        <v>248</v>
      </c>
      <c r="H610" s="11">
        <f t="shared" si="36"/>
        <v>0</v>
      </c>
      <c r="I610" s="11">
        <f t="shared" si="37"/>
        <v>0</v>
      </c>
      <c r="J610" s="11">
        <f t="shared" si="39"/>
        <v>0</v>
      </c>
    </row>
    <row r="611" spans="1:10" x14ac:dyDescent="0.3">
      <c r="A611" s="7">
        <v>44868.833333332841</v>
      </c>
      <c r="B611" s="8" t="s">
        <v>15</v>
      </c>
      <c r="C611" s="8">
        <v>0</v>
      </c>
      <c r="D611" t="str">
        <f t="shared" si="38"/>
        <v>Thursday</v>
      </c>
      <c r="E611">
        <v>45</v>
      </c>
      <c r="F611" s="11">
        <f>VLOOKUP(B611,'ITEMS LIST'!$B$2:$F$19,4,FALSE)</f>
        <v>250</v>
      </c>
      <c r="G611" s="11">
        <f>VLOOKUP(B611,'ITEMS LIST'!$B$2:$F$19,5,FALSE)</f>
        <v>190</v>
      </c>
      <c r="H611" s="11">
        <f t="shared" si="36"/>
        <v>0</v>
      </c>
      <c r="I611" s="11">
        <f t="shared" si="37"/>
        <v>0</v>
      </c>
      <c r="J611" s="11">
        <f t="shared" si="39"/>
        <v>0</v>
      </c>
    </row>
    <row r="612" spans="1:10" x14ac:dyDescent="0.3">
      <c r="A612" s="7">
        <v>44868.888888888396</v>
      </c>
      <c r="B612" s="8" t="s">
        <v>16</v>
      </c>
      <c r="C612" s="8">
        <v>0</v>
      </c>
      <c r="D612" t="str">
        <f t="shared" si="38"/>
        <v>Thursday</v>
      </c>
      <c r="E612">
        <v>45</v>
      </c>
      <c r="F612" s="11">
        <f>VLOOKUP(B612,'ITEMS LIST'!$B$2:$F$19,4,FALSE)</f>
        <v>120</v>
      </c>
      <c r="G612" s="11">
        <f>VLOOKUP(B612,'ITEMS LIST'!$B$2:$F$19,5,FALSE)</f>
        <v>85</v>
      </c>
      <c r="H612" s="11">
        <f t="shared" si="36"/>
        <v>0</v>
      </c>
      <c r="I612" s="11">
        <f t="shared" si="37"/>
        <v>0</v>
      </c>
      <c r="J612" s="11">
        <f t="shared" si="39"/>
        <v>0</v>
      </c>
    </row>
    <row r="613" spans="1:10" x14ac:dyDescent="0.3">
      <c r="A613" s="7">
        <v>44868.94444444395</v>
      </c>
      <c r="B613" s="8" t="s">
        <v>17</v>
      </c>
      <c r="C613" s="8">
        <v>0</v>
      </c>
      <c r="D613" t="str">
        <f t="shared" si="38"/>
        <v>Thursday</v>
      </c>
      <c r="E613">
        <v>45</v>
      </c>
      <c r="F613" s="11">
        <f>VLOOKUP(B613,'ITEMS LIST'!$B$2:$F$19,4,FALSE)</f>
        <v>80</v>
      </c>
      <c r="G613" s="11">
        <f>VLOOKUP(B613,'ITEMS LIST'!$B$2:$F$19,5,FALSE)</f>
        <v>55</v>
      </c>
      <c r="H613" s="11">
        <f t="shared" si="36"/>
        <v>0</v>
      </c>
      <c r="I613" s="11">
        <f t="shared" si="37"/>
        <v>0</v>
      </c>
      <c r="J613" s="11">
        <f t="shared" si="39"/>
        <v>0</v>
      </c>
    </row>
    <row r="614" spans="1:10" x14ac:dyDescent="0.3">
      <c r="A614" s="7">
        <v>44868.999999999505</v>
      </c>
      <c r="B614" s="8" t="s">
        <v>0</v>
      </c>
      <c r="C614" s="8">
        <v>0</v>
      </c>
      <c r="D614" t="str">
        <f t="shared" si="38"/>
        <v>Friday</v>
      </c>
      <c r="E614">
        <v>45</v>
      </c>
      <c r="F614" s="11">
        <f>VLOOKUP(B614,'ITEMS LIST'!$B$2:$F$19,4,FALSE)</f>
        <v>549</v>
      </c>
      <c r="G614" s="11">
        <f>VLOOKUP(B614,'ITEMS LIST'!$B$2:$F$19,5,FALSE)</f>
        <v>365</v>
      </c>
      <c r="H614" s="11">
        <f t="shared" si="36"/>
        <v>0</v>
      </c>
      <c r="I614" s="11">
        <f t="shared" si="37"/>
        <v>0</v>
      </c>
      <c r="J614" s="11">
        <f t="shared" si="39"/>
        <v>0</v>
      </c>
    </row>
    <row r="615" spans="1:10" x14ac:dyDescent="0.3">
      <c r="A615" s="7">
        <v>44869.05555555506</v>
      </c>
      <c r="B615" s="8" t="s">
        <v>1</v>
      </c>
      <c r="C615" s="8">
        <v>0</v>
      </c>
      <c r="D615" t="str">
        <f t="shared" si="38"/>
        <v>Friday</v>
      </c>
      <c r="E615">
        <v>45</v>
      </c>
      <c r="F615" s="11">
        <f>VLOOKUP(B615,'ITEMS LIST'!$B$2:$F$19,4,FALSE)</f>
        <v>699</v>
      </c>
      <c r="G615" s="11">
        <f>VLOOKUP(B615,'ITEMS LIST'!$B$2:$F$19,5,FALSE)</f>
        <v>550</v>
      </c>
      <c r="H615" s="11">
        <f t="shared" si="36"/>
        <v>0</v>
      </c>
      <c r="I615" s="11">
        <f t="shared" si="37"/>
        <v>0</v>
      </c>
      <c r="J615" s="11">
        <f t="shared" si="39"/>
        <v>0</v>
      </c>
    </row>
    <row r="616" spans="1:10" x14ac:dyDescent="0.3">
      <c r="A616" s="7">
        <v>44869.111111110615</v>
      </c>
      <c r="B616" s="8" t="s">
        <v>2</v>
      </c>
      <c r="C616" s="8">
        <v>0</v>
      </c>
      <c r="D616" t="str">
        <f t="shared" si="38"/>
        <v>Friday</v>
      </c>
      <c r="E616">
        <v>45</v>
      </c>
      <c r="F616" s="11">
        <f>VLOOKUP(B616,'ITEMS LIST'!$B$2:$F$19,4,FALSE)</f>
        <v>739</v>
      </c>
      <c r="G616" s="11">
        <f>VLOOKUP(B616,'ITEMS LIST'!$B$2:$F$19,5,FALSE)</f>
        <v>620</v>
      </c>
      <c r="H616" s="11">
        <f t="shared" si="36"/>
        <v>0</v>
      </c>
      <c r="I616" s="11">
        <f t="shared" si="37"/>
        <v>0</v>
      </c>
      <c r="J616" s="11">
        <f t="shared" si="39"/>
        <v>0</v>
      </c>
    </row>
    <row r="617" spans="1:10" x14ac:dyDescent="0.3">
      <c r="A617" s="7">
        <v>44869.166666666169</v>
      </c>
      <c r="B617" s="8" t="s">
        <v>3</v>
      </c>
      <c r="C617" s="8">
        <v>0</v>
      </c>
      <c r="D617" t="str">
        <f t="shared" si="38"/>
        <v>Friday</v>
      </c>
      <c r="E617">
        <v>45</v>
      </c>
      <c r="F617" s="11">
        <f>VLOOKUP(B617,'ITEMS LIST'!$B$2:$F$19,4,FALSE)</f>
        <v>899</v>
      </c>
      <c r="G617" s="11">
        <f>VLOOKUP(B617,'ITEMS LIST'!$B$2:$F$19,5,FALSE)</f>
        <v>714</v>
      </c>
      <c r="H617" s="11">
        <f t="shared" si="36"/>
        <v>0</v>
      </c>
      <c r="I617" s="11">
        <f t="shared" si="37"/>
        <v>0</v>
      </c>
      <c r="J617" s="11">
        <f t="shared" si="39"/>
        <v>0</v>
      </c>
    </row>
    <row r="618" spans="1:10" x14ac:dyDescent="0.3">
      <c r="A618" s="7">
        <v>44869.222222221724</v>
      </c>
      <c r="B618" s="8" t="s">
        <v>4</v>
      </c>
      <c r="C618" s="8">
        <v>0</v>
      </c>
      <c r="D618" t="str">
        <f t="shared" si="38"/>
        <v>Friday</v>
      </c>
      <c r="E618">
        <v>45</v>
      </c>
      <c r="F618" s="11">
        <f>VLOOKUP(B618,'ITEMS LIST'!$B$2:$F$19,4,FALSE)</f>
        <v>1379</v>
      </c>
      <c r="G618" s="11">
        <f>VLOOKUP(B618,'ITEMS LIST'!$B$2:$F$19,5,FALSE)</f>
        <v>890</v>
      </c>
      <c r="H618" s="11">
        <f t="shared" si="36"/>
        <v>0</v>
      </c>
      <c r="I618" s="11">
        <f t="shared" si="37"/>
        <v>0</v>
      </c>
      <c r="J618" s="11">
        <f t="shared" si="39"/>
        <v>0</v>
      </c>
    </row>
    <row r="619" spans="1:10" x14ac:dyDescent="0.3">
      <c r="A619" s="7">
        <v>44869.277777777279</v>
      </c>
      <c r="B619" s="8" t="s">
        <v>5</v>
      </c>
      <c r="C619" s="8">
        <v>0</v>
      </c>
      <c r="D619" t="str">
        <f t="shared" si="38"/>
        <v>Friday</v>
      </c>
      <c r="E619">
        <v>45</v>
      </c>
      <c r="F619" s="11">
        <f>VLOOKUP(B619,'ITEMS LIST'!$B$2:$F$19,4,FALSE)</f>
        <v>849</v>
      </c>
      <c r="G619" s="11">
        <f>VLOOKUP(B619,'ITEMS LIST'!$B$2:$F$19,5,FALSE)</f>
        <v>530</v>
      </c>
      <c r="H619" s="11">
        <f t="shared" si="36"/>
        <v>0</v>
      </c>
      <c r="I619" s="11">
        <f t="shared" si="37"/>
        <v>0</v>
      </c>
      <c r="J619" s="11">
        <f t="shared" si="39"/>
        <v>0</v>
      </c>
    </row>
    <row r="620" spans="1:10" x14ac:dyDescent="0.3">
      <c r="A620" s="7">
        <v>44869.333333332834</v>
      </c>
      <c r="B620" s="8" t="s">
        <v>6</v>
      </c>
      <c r="C620" s="8">
        <v>0</v>
      </c>
      <c r="D620" t="str">
        <f t="shared" si="38"/>
        <v>Friday</v>
      </c>
      <c r="E620">
        <v>45</v>
      </c>
      <c r="F620" s="11">
        <f>VLOOKUP(B620,'ITEMS LIST'!$B$2:$F$19,4,FALSE)</f>
        <v>1000</v>
      </c>
      <c r="G620" s="11">
        <f>VLOOKUP(B620,'ITEMS LIST'!$B$2:$F$19,5,FALSE)</f>
        <v>768</v>
      </c>
      <c r="H620" s="11">
        <f t="shared" si="36"/>
        <v>0</v>
      </c>
      <c r="I620" s="11">
        <f t="shared" si="37"/>
        <v>0</v>
      </c>
      <c r="J620" s="11">
        <f t="shared" si="39"/>
        <v>0</v>
      </c>
    </row>
    <row r="621" spans="1:10" x14ac:dyDescent="0.3">
      <c r="A621" s="7">
        <v>44869.388888888388</v>
      </c>
      <c r="B621" s="8" t="s">
        <v>7</v>
      </c>
      <c r="C621" s="8">
        <v>0</v>
      </c>
      <c r="D621" t="str">
        <f t="shared" si="38"/>
        <v>Friday</v>
      </c>
      <c r="E621">
        <v>45</v>
      </c>
      <c r="F621" s="11">
        <f>VLOOKUP(B621,'ITEMS LIST'!$B$2:$F$19,4,FALSE)</f>
        <v>680</v>
      </c>
      <c r="G621" s="11">
        <f>VLOOKUP(B621,'ITEMS LIST'!$B$2:$F$19,5,FALSE)</f>
        <v>570</v>
      </c>
      <c r="H621" s="11">
        <f t="shared" si="36"/>
        <v>0</v>
      </c>
      <c r="I621" s="11">
        <f t="shared" si="37"/>
        <v>0</v>
      </c>
      <c r="J621" s="11">
        <f t="shared" si="39"/>
        <v>0</v>
      </c>
    </row>
    <row r="622" spans="1:10" x14ac:dyDescent="0.3">
      <c r="A622" s="7">
        <v>44869.444444443943</v>
      </c>
      <c r="B622" s="8" t="s">
        <v>8</v>
      </c>
      <c r="C622" s="8">
        <v>0</v>
      </c>
      <c r="D622" t="str">
        <f t="shared" si="38"/>
        <v>Friday</v>
      </c>
      <c r="E622">
        <v>45</v>
      </c>
      <c r="F622" s="11">
        <f>VLOOKUP(B622,'ITEMS LIST'!$B$2:$F$19,4,FALSE)</f>
        <v>199</v>
      </c>
      <c r="G622" s="11">
        <f>VLOOKUP(B622,'ITEMS LIST'!$B$2:$F$19,5,FALSE)</f>
        <v>140</v>
      </c>
      <c r="H622" s="11">
        <f t="shared" si="36"/>
        <v>0</v>
      </c>
      <c r="I622" s="11">
        <f t="shared" si="37"/>
        <v>0</v>
      </c>
      <c r="J622" s="11">
        <f t="shared" si="39"/>
        <v>0</v>
      </c>
    </row>
    <row r="623" spans="1:10" x14ac:dyDescent="0.3">
      <c r="A623" s="7">
        <v>44869.499999999498</v>
      </c>
      <c r="B623" s="8" t="s">
        <v>9</v>
      </c>
      <c r="C623" s="8">
        <v>0</v>
      </c>
      <c r="D623" t="str">
        <f t="shared" si="38"/>
        <v>Friday</v>
      </c>
      <c r="E623">
        <v>45</v>
      </c>
      <c r="F623" s="11">
        <f>VLOOKUP(B623,'ITEMS LIST'!$B$2:$F$19,4,FALSE)</f>
        <v>219</v>
      </c>
      <c r="G623" s="11">
        <f>VLOOKUP(B623,'ITEMS LIST'!$B$2:$F$19,5,FALSE)</f>
        <v>132</v>
      </c>
      <c r="H623" s="11">
        <f t="shared" si="36"/>
        <v>0</v>
      </c>
      <c r="I623" s="11">
        <f t="shared" si="37"/>
        <v>0</v>
      </c>
      <c r="J623" s="11">
        <f t="shared" si="39"/>
        <v>0</v>
      </c>
    </row>
    <row r="624" spans="1:10" x14ac:dyDescent="0.3">
      <c r="A624" s="7">
        <v>44869.555555555053</v>
      </c>
      <c r="B624" s="8" t="s">
        <v>10</v>
      </c>
      <c r="C624" s="8">
        <v>0</v>
      </c>
      <c r="D624" t="str">
        <f t="shared" si="38"/>
        <v>Friday</v>
      </c>
      <c r="E624">
        <v>45</v>
      </c>
      <c r="F624" s="11">
        <f>VLOOKUP(B624,'ITEMS LIST'!$B$2:$F$19,4,FALSE)</f>
        <v>1469</v>
      </c>
      <c r="G624" s="11">
        <f>VLOOKUP(B624,'ITEMS LIST'!$B$2:$F$19,5,FALSE)</f>
        <v>1184</v>
      </c>
      <c r="H624" s="11">
        <f t="shared" si="36"/>
        <v>0</v>
      </c>
      <c r="I624" s="11">
        <f t="shared" si="37"/>
        <v>0</v>
      </c>
      <c r="J624" s="11">
        <f t="shared" si="39"/>
        <v>0</v>
      </c>
    </row>
    <row r="625" spans="1:10" x14ac:dyDescent="0.3">
      <c r="A625" s="7">
        <v>44869.611111110607</v>
      </c>
      <c r="B625" s="8" t="s">
        <v>11</v>
      </c>
      <c r="C625" s="8">
        <v>0</v>
      </c>
      <c r="D625" t="str">
        <f t="shared" si="38"/>
        <v>Friday</v>
      </c>
      <c r="E625">
        <v>45</v>
      </c>
      <c r="F625" s="11">
        <f>VLOOKUP(B625,'ITEMS LIST'!$B$2:$F$19,4,FALSE)</f>
        <v>89</v>
      </c>
      <c r="G625" s="11">
        <f>VLOOKUP(B625,'ITEMS LIST'!$B$2:$F$19,5,FALSE)</f>
        <v>59</v>
      </c>
      <c r="H625" s="11">
        <f t="shared" si="36"/>
        <v>0</v>
      </c>
      <c r="I625" s="11">
        <f t="shared" si="37"/>
        <v>0</v>
      </c>
      <c r="J625" s="11">
        <f t="shared" si="39"/>
        <v>0</v>
      </c>
    </row>
    <row r="626" spans="1:10" x14ac:dyDescent="0.3">
      <c r="A626" s="7">
        <v>44869.666666666162</v>
      </c>
      <c r="B626" s="8" t="s">
        <v>12</v>
      </c>
      <c r="C626" s="8">
        <v>0</v>
      </c>
      <c r="D626" t="str">
        <f t="shared" si="38"/>
        <v>Friday</v>
      </c>
      <c r="E626">
        <v>45</v>
      </c>
      <c r="F626" s="11">
        <f>VLOOKUP(B626,'ITEMS LIST'!$B$2:$F$19,4,FALSE)</f>
        <v>310</v>
      </c>
      <c r="G626" s="11">
        <f>VLOOKUP(B626,'ITEMS LIST'!$B$2:$F$19,5,FALSE)</f>
        <v>206</v>
      </c>
      <c r="H626" s="11">
        <f t="shared" si="36"/>
        <v>0</v>
      </c>
      <c r="I626" s="11">
        <f t="shared" si="37"/>
        <v>0</v>
      </c>
      <c r="J626" s="11">
        <f t="shared" si="39"/>
        <v>0</v>
      </c>
    </row>
    <row r="627" spans="1:10" x14ac:dyDescent="0.3">
      <c r="A627" s="7">
        <v>44869.722222221717</v>
      </c>
      <c r="B627" s="8" t="s">
        <v>13</v>
      </c>
      <c r="C627" s="8">
        <v>0</v>
      </c>
      <c r="D627" t="str">
        <f t="shared" si="38"/>
        <v>Friday</v>
      </c>
      <c r="E627">
        <v>45</v>
      </c>
      <c r="F627" s="11">
        <f>VLOOKUP(B627,'ITEMS LIST'!$B$2:$F$19,4,FALSE)</f>
        <v>540</v>
      </c>
      <c r="G627" s="11">
        <f>VLOOKUP(B627,'ITEMS LIST'!$B$2:$F$19,5,FALSE)</f>
        <v>397</v>
      </c>
      <c r="H627" s="11">
        <f t="shared" si="36"/>
        <v>0</v>
      </c>
      <c r="I627" s="11">
        <f t="shared" si="37"/>
        <v>0</v>
      </c>
      <c r="J627" s="11">
        <f t="shared" si="39"/>
        <v>0</v>
      </c>
    </row>
    <row r="628" spans="1:10" x14ac:dyDescent="0.3">
      <c r="A628" s="7">
        <v>44869.777777777272</v>
      </c>
      <c r="B628" s="8" t="s">
        <v>14</v>
      </c>
      <c r="C628" s="8">
        <v>0</v>
      </c>
      <c r="D628" t="str">
        <f t="shared" si="38"/>
        <v>Friday</v>
      </c>
      <c r="E628">
        <v>45</v>
      </c>
      <c r="F628" s="11">
        <f>VLOOKUP(B628,'ITEMS LIST'!$B$2:$F$19,4,FALSE)</f>
        <v>360</v>
      </c>
      <c r="G628" s="11">
        <f>VLOOKUP(B628,'ITEMS LIST'!$B$2:$F$19,5,FALSE)</f>
        <v>248</v>
      </c>
      <c r="H628" s="11">
        <f t="shared" si="36"/>
        <v>0</v>
      </c>
      <c r="I628" s="11">
        <f t="shared" si="37"/>
        <v>0</v>
      </c>
      <c r="J628" s="11">
        <f t="shared" si="39"/>
        <v>0</v>
      </c>
    </row>
    <row r="629" spans="1:10" x14ac:dyDescent="0.3">
      <c r="A629" s="7">
        <v>44869.833333332826</v>
      </c>
      <c r="B629" s="8" t="s">
        <v>15</v>
      </c>
      <c r="C629" s="8">
        <v>0</v>
      </c>
      <c r="D629" t="str">
        <f t="shared" si="38"/>
        <v>Friday</v>
      </c>
      <c r="E629">
        <v>45</v>
      </c>
      <c r="F629" s="11">
        <f>VLOOKUP(B629,'ITEMS LIST'!$B$2:$F$19,4,FALSE)</f>
        <v>250</v>
      </c>
      <c r="G629" s="11">
        <f>VLOOKUP(B629,'ITEMS LIST'!$B$2:$F$19,5,FALSE)</f>
        <v>190</v>
      </c>
      <c r="H629" s="11">
        <f t="shared" si="36"/>
        <v>0</v>
      </c>
      <c r="I629" s="11">
        <f t="shared" si="37"/>
        <v>0</v>
      </c>
      <c r="J629" s="11">
        <f t="shared" si="39"/>
        <v>0</v>
      </c>
    </row>
    <row r="630" spans="1:10" x14ac:dyDescent="0.3">
      <c r="A630" s="7">
        <v>44869.888888888381</v>
      </c>
      <c r="B630" s="8" t="s">
        <v>16</v>
      </c>
      <c r="C630" s="8">
        <v>0</v>
      </c>
      <c r="D630" t="str">
        <f t="shared" si="38"/>
        <v>Friday</v>
      </c>
      <c r="E630">
        <v>45</v>
      </c>
      <c r="F630" s="11">
        <f>VLOOKUP(B630,'ITEMS LIST'!$B$2:$F$19,4,FALSE)</f>
        <v>120</v>
      </c>
      <c r="G630" s="11">
        <f>VLOOKUP(B630,'ITEMS LIST'!$B$2:$F$19,5,FALSE)</f>
        <v>85</v>
      </c>
      <c r="H630" s="11">
        <f t="shared" si="36"/>
        <v>0</v>
      </c>
      <c r="I630" s="11">
        <f t="shared" si="37"/>
        <v>0</v>
      </c>
      <c r="J630" s="11">
        <f t="shared" si="39"/>
        <v>0</v>
      </c>
    </row>
    <row r="631" spans="1:10" x14ac:dyDescent="0.3">
      <c r="A631" s="7">
        <v>44869.944444443936</v>
      </c>
      <c r="B631" s="8" t="s">
        <v>17</v>
      </c>
      <c r="C631" s="8">
        <v>0</v>
      </c>
      <c r="D631" t="str">
        <f t="shared" si="38"/>
        <v>Friday</v>
      </c>
      <c r="E631">
        <v>45</v>
      </c>
      <c r="F631" s="11">
        <f>VLOOKUP(B631,'ITEMS LIST'!$B$2:$F$19,4,FALSE)</f>
        <v>80</v>
      </c>
      <c r="G631" s="11">
        <f>VLOOKUP(B631,'ITEMS LIST'!$B$2:$F$19,5,FALSE)</f>
        <v>55</v>
      </c>
      <c r="H631" s="11">
        <f t="shared" si="36"/>
        <v>0</v>
      </c>
      <c r="I631" s="11">
        <f t="shared" si="37"/>
        <v>0</v>
      </c>
      <c r="J631" s="11">
        <f t="shared" si="39"/>
        <v>0</v>
      </c>
    </row>
    <row r="632" spans="1:10" x14ac:dyDescent="0.3">
      <c r="A632" s="7">
        <v>44869.999999999491</v>
      </c>
      <c r="B632" s="8" t="s">
        <v>0</v>
      </c>
      <c r="C632" s="8">
        <v>0</v>
      </c>
      <c r="D632" t="str">
        <f t="shared" si="38"/>
        <v>Saturday</v>
      </c>
      <c r="E632">
        <v>45</v>
      </c>
      <c r="F632" s="11">
        <f>VLOOKUP(B632,'ITEMS LIST'!$B$2:$F$19,4,FALSE)</f>
        <v>549</v>
      </c>
      <c r="G632" s="11">
        <f>VLOOKUP(B632,'ITEMS LIST'!$B$2:$F$19,5,FALSE)</f>
        <v>365</v>
      </c>
      <c r="H632" s="11">
        <f t="shared" si="36"/>
        <v>0</v>
      </c>
      <c r="I632" s="11">
        <f t="shared" si="37"/>
        <v>0</v>
      </c>
      <c r="J632" s="11">
        <f t="shared" si="39"/>
        <v>0</v>
      </c>
    </row>
    <row r="633" spans="1:10" x14ac:dyDescent="0.3">
      <c r="A633" s="7">
        <v>44870.055555555045</v>
      </c>
      <c r="B633" s="8" t="s">
        <v>1</v>
      </c>
      <c r="C633" s="8">
        <v>0</v>
      </c>
      <c r="D633" t="str">
        <f t="shared" si="38"/>
        <v>Saturday</v>
      </c>
      <c r="E633">
        <v>45</v>
      </c>
      <c r="F633" s="11">
        <f>VLOOKUP(B633,'ITEMS LIST'!$B$2:$F$19,4,FALSE)</f>
        <v>699</v>
      </c>
      <c r="G633" s="11">
        <f>VLOOKUP(B633,'ITEMS LIST'!$B$2:$F$19,5,FALSE)</f>
        <v>550</v>
      </c>
      <c r="H633" s="11">
        <f t="shared" si="36"/>
        <v>0</v>
      </c>
      <c r="I633" s="11">
        <f t="shared" si="37"/>
        <v>0</v>
      </c>
      <c r="J633" s="11">
        <f t="shared" si="39"/>
        <v>0</v>
      </c>
    </row>
    <row r="634" spans="1:10" x14ac:dyDescent="0.3">
      <c r="A634" s="7">
        <v>44870.1111111106</v>
      </c>
      <c r="B634" s="8" t="s">
        <v>2</v>
      </c>
      <c r="C634" s="8">
        <v>0</v>
      </c>
      <c r="D634" t="str">
        <f t="shared" si="38"/>
        <v>Saturday</v>
      </c>
      <c r="E634">
        <v>45</v>
      </c>
      <c r="F634" s="11">
        <f>VLOOKUP(B634,'ITEMS LIST'!$B$2:$F$19,4,FALSE)</f>
        <v>739</v>
      </c>
      <c r="G634" s="11">
        <f>VLOOKUP(B634,'ITEMS LIST'!$B$2:$F$19,5,FALSE)</f>
        <v>620</v>
      </c>
      <c r="H634" s="11">
        <f t="shared" si="36"/>
        <v>0</v>
      </c>
      <c r="I634" s="11">
        <f t="shared" si="37"/>
        <v>0</v>
      </c>
      <c r="J634" s="11">
        <f t="shared" si="39"/>
        <v>0</v>
      </c>
    </row>
    <row r="635" spans="1:10" x14ac:dyDescent="0.3">
      <c r="A635" s="7">
        <v>44870.166666666155</v>
      </c>
      <c r="B635" s="8" t="s">
        <v>3</v>
      </c>
      <c r="C635" s="8">
        <v>0</v>
      </c>
      <c r="D635" t="str">
        <f t="shared" si="38"/>
        <v>Saturday</v>
      </c>
      <c r="E635">
        <v>45</v>
      </c>
      <c r="F635" s="11">
        <f>VLOOKUP(B635,'ITEMS LIST'!$B$2:$F$19,4,FALSE)</f>
        <v>899</v>
      </c>
      <c r="G635" s="11">
        <f>VLOOKUP(B635,'ITEMS LIST'!$B$2:$F$19,5,FALSE)</f>
        <v>714</v>
      </c>
      <c r="H635" s="11">
        <f t="shared" si="36"/>
        <v>0</v>
      </c>
      <c r="I635" s="11">
        <f t="shared" si="37"/>
        <v>0</v>
      </c>
      <c r="J635" s="11">
        <f t="shared" si="39"/>
        <v>0</v>
      </c>
    </row>
    <row r="636" spans="1:10" x14ac:dyDescent="0.3">
      <c r="A636" s="7">
        <v>44870.22222222171</v>
      </c>
      <c r="B636" s="8" t="s">
        <v>4</v>
      </c>
      <c r="C636" s="8">
        <v>0</v>
      </c>
      <c r="D636" t="str">
        <f t="shared" si="38"/>
        <v>Saturday</v>
      </c>
      <c r="E636">
        <v>45</v>
      </c>
      <c r="F636" s="11">
        <f>VLOOKUP(B636,'ITEMS LIST'!$B$2:$F$19,4,FALSE)</f>
        <v>1379</v>
      </c>
      <c r="G636" s="11">
        <f>VLOOKUP(B636,'ITEMS LIST'!$B$2:$F$19,5,FALSE)</f>
        <v>890</v>
      </c>
      <c r="H636" s="11">
        <f t="shared" si="36"/>
        <v>0</v>
      </c>
      <c r="I636" s="11">
        <f t="shared" si="37"/>
        <v>0</v>
      </c>
      <c r="J636" s="11">
        <f t="shared" si="39"/>
        <v>0</v>
      </c>
    </row>
    <row r="637" spans="1:10" x14ac:dyDescent="0.3">
      <c r="A637" s="7">
        <v>44870.277777777264</v>
      </c>
      <c r="B637" s="8" t="s">
        <v>5</v>
      </c>
      <c r="C637" s="8">
        <v>0</v>
      </c>
      <c r="D637" t="str">
        <f t="shared" si="38"/>
        <v>Saturday</v>
      </c>
      <c r="E637">
        <v>45</v>
      </c>
      <c r="F637" s="11">
        <f>VLOOKUP(B637,'ITEMS LIST'!$B$2:$F$19,4,FALSE)</f>
        <v>849</v>
      </c>
      <c r="G637" s="11">
        <f>VLOOKUP(B637,'ITEMS LIST'!$B$2:$F$19,5,FALSE)</f>
        <v>530</v>
      </c>
      <c r="H637" s="11">
        <f t="shared" si="36"/>
        <v>0</v>
      </c>
      <c r="I637" s="11">
        <f t="shared" si="37"/>
        <v>0</v>
      </c>
      <c r="J637" s="11">
        <f t="shared" si="39"/>
        <v>0</v>
      </c>
    </row>
    <row r="638" spans="1:10" x14ac:dyDescent="0.3">
      <c r="A638" s="7">
        <v>44870.333333332819</v>
      </c>
      <c r="B638" s="8" t="s">
        <v>6</v>
      </c>
      <c r="C638" s="8">
        <v>0</v>
      </c>
      <c r="D638" t="str">
        <f t="shared" si="38"/>
        <v>Saturday</v>
      </c>
      <c r="E638">
        <v>45</v>
      </c>
      <c r="F638" s="11">
        <f>VLOOKUP(B638,'ITEMS LIST'!$B$2:$F$19,4,FALSE)</f>
        <v>1000</v>
      </c>
      <c r="G638" s="11">
        <f>VLOOKUP(B638,'ITEMS LIST'!$B$2:$F$19,5,FALSE)</f>
        <v>768</v>
      </c>
      <c r="H638" s="11">
        <f t="shared" si="36"/>
        <v>0</v>
      </c>
      <c r="I638" s="11">
        <f t="shared" si="37"/>
        <v>0</v>
      </c>
      <c r="J638" s="11">
        <f t="shared" si="39"/>
        <v>0</v>
      </c>
    </row>
    <row r="639" spans="1:10" x14ac:dyDescent="0.3">
      <c r="A639" s="7">
        <v>44870.388888888374</v>
      </c>
      <c r="B639" s="8" t="s">
        <v>7</v>
      </c>
      <c r="C639" s="8">
        <v>0</v>
      </c>
      <c r="D639" t="str">
        <f t="shared" si="38"/>
        <v>Saturday</v>
      </c>
      <c r="E639">
        <v>45</v>
      </c>
      <c r="F639" s="11">
        <f>VLOOKUP(B639,'ITEMS LIST'!$B$2:$F$19,4,FALSE)</f>
        <v>680</v>
      </c>
      <c r="G639" s="11">
        <f>VLOOKUP(B639,'ITEMS LIST'!$B$2:$F$19,5,FALSE)</f>
        <v>570</v>
      </c>
      <c r="H639" s="11">
        <f t="shared" si="36"/>
        <v>0</v>
      </c>
      <c r="I639" s="11">
        <f t="shared" si="37"/>
        <v>0</v>
      </c>
      <c r="J639" s="11">
        <f t="shared" si="39"/>
        <v>0</v>
      </c>
    </row>
    <row r="640" spans="1:10" x14ac:dyDescent="0.3">
      <c r="A640" s="7">
        <v>44870.444444443929</v>
      </c>
      <c r="B640" s="8" t="s">
        <v>8</v>
      </c>
      <c r="C640" s="8">
        <v>0</v>
      </c>
      <c r="D640" t="str">
        <f t="shared" si="38"/>
        <v>Saturday</v>
      </c>
      <c r="E640">
        <v>45</v>
      </c>
      <c r="F640" s="11">
        <f>VLOOKUP(B640,'ITEMS LIST'!$B$2:$F$19,4,FALSE)</f>
        <v>199</v>
      </c>
      <c r="G640" s="11">
        <f>VLOOKUP(B640,'ITEMS LIST'!$B$2:$F$19,5,FALSE)</f>
        <v>140</v>
      </c>
      <c r="H640" s="11">
        <f t="shared" si="36"/>
        <v>0</v>
      </c>
      <c r="I640" s="11">
        <f t="shared" si="37"/>
        <v>0</v>
      </c>
      <c r="J640" s="11">
        <f t="shared" si="39"/>
        <v>0</v>
      </c>
    </row>
    <row r="641" spans="1:10" x14ac:dyDescent="0.3">
      <c r="A641" s="7">
        <v>44870.499999999483</v>
      </c>
      <c r="B641" s="8" t="s">
        <v>9</v>
      </c>
      <c r="C641" s="8">
        <v>0</v>
      </c>
      <c r="D641" t="str">
        <f t="shared" si="38"/>
        <v>Saturday</v>
      </c>
      <c r="E641">
        <v>45</v>
      </c>
      <c r="F641" s="11">
        <f>VLOOKUP(B641,'ITEMS LIST'!$B$2:$F$19,4,FALSE)</f>
        <v>219</v>
      </c>
      <c r="G641" s="11">
        <f>VLOOKUP(B641,'ITEMS LIST'!$B$2:$F$19,5,FALSE)</f>
        <v>132</v>
      </c>
      <c r="H641" s="11">
        <f t="shared" si="36"/>
        <v>0</v>
      </c>
      <c r="I641" s="11">
        <f t="shared" si="37"/>
        <v>0</v>
      </c>
      <c r="J641" s="11">
        <f t="shared" si="39"/>
        <v>0</v>
      </c>
    </row>
    <row r="642" spans="1:10" x14ac:dyDescent="0.3">
      <c r="A642" s="7">
        <v>44870.555555555038</v>
      </c>
      <c r="B642" s="8" t="s">
        <v>10</v>
      </c>
      <c r="C642" s="8">
        <v>0</v>
      </c>
      <c r="D642" t="str">
        <f t="shared" si="38"/>
        <v>Saturday</v>
      </c>
      <c r="E642">
        <v>45</v>
      </c>
      <c r="F642" s="11">
        <f>VLOOKUP(B642,'ITEMS LIST'!$B$2:$F$19,4,FALSE)</f>
        <v>1469</v>
      </c>
      <c r="G642" s="11">
        <f>VLOOKUP(B642,'ITEMS LIST'!$B$2:$F$19,5,FALSE)</f>
        <v>1184</v>
      </c>
      <c r="H642" s="11">
        <f t="shared" ref="H642:H705" si="40">C642*F642</f>
        <v>0</v>
      </c>
      <c r="I642" s="11">
        <f t="shared" ref="I642:I705" si="41">C642*G642</f>
        <v>0</v>
      </c>
      <c r="J642" s="11">
        <f t="shared" si="39"/>
        <v>0</v>
      </c>
    </row>
    <row r="643" spans="1:10" x14ac:dyDescent="0.3">
      <c r="A643" s="7">
        <v>44870.611111110593</v>
      </c>
      <c r="B643" s="8" t="s">
        <v>11</v>
      </c>
      <c r="C643" s="8">
        <v>0</v>
      </c>
      <c r="D643" t="str">
        <f t="shared" ref="D643:D706" si="42">TEXT(A643,"dddd")</f>
        <v>Saturday</v>
      </c>
      <c r="E643">
        <v>45</v>
      </c>
      <c r="F643" s="11">
        <f>VLOOKUP(B643,'ITEMS LIST'!$B$2:$F$19,4,FALSE)</f>
        <v>89</v>
      </c>
      <c r="G643" s="11">
        <f>VLOOKUP(B643,'ITEMS LIST'!$B$2:$F$19,5,FALSE)</f>
        <v>59</v>
      </c>
      <c r="H643" s="11">
        <f t="shared" si="40"/>
        <v>0</v>
      </c>
      <c r="I643" s="11">
        <f t="shared" si="41"/>
        <v>0</v>
      </c>
      <c r="J643" s="11">
        <f t="shared" ref="J643:J706" si="43">H643-I643</f>
        <v>0</v>
      </c>
    </row>
    <row r="644" spans="1:10" x14ac:dyDescent="0.3">
      <c r="A644" s="7">
        <v>44870.666666666148</v>
      </c>
      <c r="B644" s="8" t="s">
        <v>12</v>
      </c>
      <c r="C644" s="8">
        <v>0</v>
      </c>
      <c r="D644" t="str">
        <f t="shared" si="42"/>
        <v>Saturday</v>
      </c>
      <c r="E644">
        <v>45</v>
      </c>
      <c r="F644" s="11">
        <f>VLOOKUP(B644,'ITEMS LIST'!$B$2:$F$19,4,FALSE)</f>
        <v>310</v>
      </c>
      <c r="G644" s="11">
        <f>VLOOKUP(B644,'ITEMS LIST'!$B$2:$F$19,5,FALSE)</f>
        <v>206</v>
      </c>
      <c r="H644" s="11">
        <f t="shared" si="40"/>
        <v>0</v>
      </c>
      <c r="I644" s="11">
        <f t="shared" si="41"/>
        <v>0</v>
      </c>
      <c r="J644" s="11">
        <f t="shared" si="43"/>
        <v>0</v>
      </c>
    </row>
    <row r="645" spans="1:10" x14ac:dyDescent="0.3">
      <c r="A645" s="7">
        <v>44870.722222221702</v>
      </c>
      <c r="B645" s="8" t="s">
        <v>13</v>
      </c>
      <c r="C645" s="8">
        <v>0</v>
      </c>
      <c r="D645" t="str">
        <f t="shared" si="42"/>
        <v>Saturday</v>
      </c>
      <c r="E645">
        <v>45</v>
      </c>
      <c r="F645" s="11">
        <f>VLOOKUP(B645,'ITEMS LIST'!$B$2:$F$19,4,FALSE)</f>
        <v>540</v>
      </c>
      <c r="G645" s="11">
        <f>VLOOKUP(B645,'ITEMS LIST'!$B$2:$F$19,5,FALSE)</f>
        <v>397</v>
      </c>
      <c r="H645" s="11">
        <f t="shared" si="40"/>
        <v>0</v>
      </c>
      <c r="I645" s="11">
        <f t="shared" si="41"/>
        <v>0</v>
      </c>
      <c r="J645" s="11">
        <f t="shared" si="43"/>
        <v>0</v>
      </c>
    </row>
    <row r="646" spans="1:10" x14ac:dyDescent="0.3">
      <c r="A646" s="7">
        <v>44870.777777777257</v>
      </c>
      <c r="B646" s="8" t="s">
        <v>14</v>
      </c>
      <c r="C646" s="8">
        <v>0</v>
      </c>
      <c r="D646" t="str">
        <f t="shared" si="42"/>
        <v>Saturday</v>
      </c>
      <c r="E646">
        <v>45</v>
      </c>
      <c r="F646" s="11">
        <f>VLOOKUP(B646,'ITEMS LIST'!$B$2:$F$19,4,FALSE)</f>
        <v>360</v>
      </c>
      <c r="G646" s="11">
        <f>VLOOKUP(B646,'ITEMS LIST'!$B$2:$F$19,5,FALSE)</f>
        <v>248</v>
      </c>
      <c r="H646" s="11">
        <f t="shared" si="40"/>
        <v>0</v>
      </c>
      <c r="I646" s="11">
        <f t="shared" si="41"/>
        <v>0</v>
      </c>
      <c r="J646" s="11">
        <f t="shared" si="43"/>
        <v>0</v>
      </c>
    </row>
    <row r="647" spans="1:10" x14ac:dyDescent="0.3">
      <c r="A647" s="7">
        <v>44870.833333332812</v>
      </c>
      <c r="B647" s="8" t="s">
        <v>15</v>
      </c>
      <c r="C647" s="8">
        <v>0</v>
      </c>
      <c r="D647" t="str">
        <f t="shared" si="42"/>
        <v>Saturday</v>
      </c>
      <c r="E647">
        <v>45</v>
      </c>
      <c r="F647" s="11">
        <f>VLOOKUP(B647,'ITEMS LIST'!$B$2:$F$19,4,FALSE)</f>
        <v>250</v>
      </c>
      <c r="G647" s="11">
        <f>VLOOKUP(B647,'ITEMS LIST'!$B$2:$F$19,5,FALSE)</f>
        <v>190</v>
      </c>
      <c r="H647" s="11">
        <f t="shared" si="40"/>
        <v>0</v>
      </c>
      <c r="I647" s="11">
        <f t="shared" si="41"/>
        <v>0</v>
      </c>
      <c r="J647" s="11">
        <f t="shared" si="43"/>
        <v>0</v>
      </c>
    </row>
    <row r="648" spans="1:10" x14ac:dyDescent="0.3">
      <c r="A648" s="7">
        <v>44870.888888888367</v>
      </c>
      <c r="B648" s="8" t="s">
        <v>16</v>
      </c>
      <c r="C648" s="8">
        <v>0</v>
      </c>
      <c r="D648" t="str">
        <f t="shared" si="42"/>
        <v>Saturday</v>
      </c>
      <c r="E648">
        <v>45</v>
      </c>
      <c r="F648" s="11">
        <f>VLOOKUP(B648,'ITEMS LIST'!$B$2:$F$19,4,FALSE)</f>
        <v>120</v>
      </c>
      <c r="G648" s="11">
        <f>VLOOKUP(B648,'ITEMS LIST'!$B$2:$F$19,5,FALSE)</f>
        <v>85</v>
      </c>
      <c r="H648" s="11">
        <f t="shared" si="40"/>
        <v>0</v>
      </c>
      <c r="I648" s="11">
        <f t="shared" si="41"/>
        <v>0</v>
      </c>
      <c r="J648" s="11">
        <f t="shared" si="43"/>
        <v>0</v>
      </c>
    </row>
    <row r="649" spans="1:10" x14ac:dyDescent="0.3">
      <c r="A649" s="7">
        <v>44870.944444443921</v>
      </c>
      <c r="B649" s="8" t="s">
        <v>17</v>
      </c>
      <c r="C649" s="8">
        <v>0</v>
      </c>
      <c r="D649" t="str">
        <f t="shared" si="42"/>
        <v>Saturday</v>
      </c>
      <c r="E649">
        <v>45</v>
      </c>
      <c r="F649" s="11">
        <f>VLOOKUP(B649,'ITEMS LIST'!$B$2:$F$19,4,FALSE)</f>
        <v>80</v>
      </c>
      <c r="G649" s="11">
        <f>VLOOKUP(B649,'ITEMS LIST'!$B$2:$F$19,5,FALSE)</f>
        <v>55</v>
      </c>
      <c r="H649" s="11">
        <f t="shared" si="40"/>
        <v>0</v>
      </c>
      <c r="I649" s="11">
        <f t="shared" si="41"/>
        <v>0</v>
      </c>
      <c r="J649" s="11">
        <f t="shared" si="43"/>
        <v>0</v>
      </c>
    </row>
    <row r="650" spans="1:10" x14ac:dyDescent="0.3">
      <c r="A650" s="7">
        <v>44870.999999999476</v>
      </c>
      <c r="B650" s="8" t="s">
        <v>0</v>
      </c>
      <c r="C650" s="8">
        <v>0</v>
      </c>
      <c r="D650" t="str">
        <f t="shared" si="42"/>
        <v>Sunday</v>
      </c>
      <c r="E650">
        <v>46</v>
      </c>
      <c r="F650" s="11">
        <f>VLOOKUP(B650,'ITEMS LIST'!$B$2:$F$19,4,FALSE)</f>
        <v>549</v>
      </c>
      <c r="G650" s="11">
        <f>VLOOKUP(B650,'ITEMS LIST'!$B$2:$F$19,5,FALSE)</f>
        <v>365</v>
      </c>
      <c r="H650" s="11">
        <f t="shared" si="40"/>
        <v>0</v>
      </c>
      <c r="I650" s="11">
        <f t="shared" si="41"/>
        <v>0</v>
      </c>
      <c r="J650" s="11">
        <f t="shared" si="43"/>
        <v>0</v>
      </c>
    </row>
    <row r="651" spans="1:10" x14ac:dyDescent="0.3">
      <c r="A651" s="7">
        <v>44871.055555555031</v>
      </c>
      <c r="B651" s="8" t="s">
        <v>1</v>
      </c>
      <c r="C651" s="8">
        <v>0</v>
      </c>
      <c r="D651" t="str">
        <f t="shared" si="42"/>
        <v>Sunday</v>
      </c>
      <c r="E651">
        <v>46</v>
      </c>
      <c r="F651" s="11">
        <f>VLOOKUP(B651,'ITEMS LIST'!$B$2:$F$19,4,FALSE)</f>
        <v>699</v>
      </c>
      <c r="G651" s="11">
        <f>VLOOKUP(B651,'ITEMS LIST'!$B$2:$F$19,5,FALSE)</f>
        <v>550</v>
      </c>
      <c r="H651" s="11">
        <f t="shared" si="40"/>
        <v>0</v>
      </c>
      <c r="I651" s="11">
        <f t="shared" si="41"/>
        <v>0</v>
      </c>
      <c r="J651" s="11">
        <f t="shared" si="43"/>
        <v>0</v>
      </c>
    </row>
    <row r="652" spans="1:10" x14ac:dyDescent="0.3">
      <c r="A652" s="7">
        <v>44871.111111110586</v>
      </c>
      <c r="B652" s="8" t="s">
        <v>2</v>
      </c>
      <c r="C652" s="8">
        <v>0</v>
      </c>
      <c r="D652" t="str">
        <f t="shared" si="42"/>
        <v>Sunday</v>
      </c>
      <c r="E652">
        <v>46</v>
      </c>
      <c r="F652" s="11">
        <f>VLOOKUP(B652,'ITEMS LIST'!$B$2:$F$19,4,FALSE)</f>
        <v>739</v>
      </c>
      <c r="G652" s="11">
        <f>VLOOKUP(B652,'ITEMS LIST'!$B$2:$F$19,5,FALSE)</f>
        <v>620</v>
      </c>
      <c r="H652" s="11">
        <f t="shared" si="40"/>
        <v>0</v>
      </c>
      <c r="I652" s="11">
        <f t="shared" si="41"/>
        <v>0</v>
      </c>
      <c r="J652" s="11">
        <f t="shared" si="43"/>
        <v>0</v>
      </c>
    </row>
    <row r="653" spans="1:10" x14ac:dyDescent="0.3">
      <c r="A653" s="7">
        <v>44871.16666666614</v>
      </c>
      <c r="B653" s="8" t="s">
        <v>3</v>
      </c>
      <c r="C653" s="8">
        <v>0</v>
      </c>
      <c r="D653" t="str">
        <f t="shared" si="42"/>
        <v>Sunday</v>
      </c>
      <c r="E653">
        <v>46</v>
      </c>
      <c r="F653" s="11">
        <f>VLOOKUP(B653,'ITEMS LIST'!$B$2:$F$19,4,FALSE)</f>
        <v>899</v>
      </c>
      <c r="G653" s="11">
        <f>VLOOKUP(B653,'ITEMS LIST'!$B$2:$F$19,5,FALSE)</f>
        <v>714</v>
      </c>
      <c r="H653" s="11">
        <f t="shared" si="40"/>
        <v>0</v>
      </c>
      <c r="I653" s="11">
        <f t="shared" si="41"/>
        <v>0</v>
      </c>
      <c r="J653" s="11">
        <f t="shared" si="43"/>
        <v>0</v>
      </c>
    </row>
    <row r="654" spans="1:10" x14ac:dyDescent="0.3">
      <c r="A654" s="7">
        <v>44871.222222221695</v>
      </c>
      <c r="B654" s="8" t="s">
        <v>4</v>
      </c>
      <c r="C654" s="8">
        <v>0</v>
      </c>
      <c r="D654" t="str">
        <f t="shared" si="42"/>
        <v>Sunday</v>
      </c>
      <c r="E654">
        <v>46</v>
      </c>
      <c r="F654" s="11">
        <f>VLOOKUP(B654,'ITEMS LIST'!$B$2:$F$19,4,FALSE)</f>
        <v>1379</v>
      </c>
      <c r="G654" s="11">
        <f>VLOOKUP(B654,'ITEMS LIST'!$B$2:$F$19,5,FALSE)</f>
        <v>890</v>
      </c>
      <c r="H654" s="11">
        <f t="shared" si="40"/>
        <v>0</v>
      </c>
      <c r="I654" s="11">
        <f t="shared" si="41"/>
        <v>0</v>
      </c>
      <c r="J654" s="11">
        <f t="shared" si="43"/>
        <v>0</v>
      </c>
    </row>
    <row r="655" spans="1:10" x14ac:dyDescent="0.3">
      <c r="A655" s="7">
        <v>44871.27777777725</v>
      </c>
      <c r="B655" s="8" t="s">
        <v>5</v>
      </c>
      <c r="C655" s="8">
        <v>0</v>
      </c>
      <c r="D655" t="str">
        <f t="shared" si="42"/>
        <v>Sunday</v>
      </c>
      <c r="E655">
        <v>46</v>
      </c>
      <c r="F655" s="11">
        <f>VLOOKUP(B655,'ITEMS LIST'!$B$2:$F$19,4,FALSE)</f>
        <v>849</v>
      </c>
      <c r="G655" s="11">
        <f>VLOOKUP(B655,'ITEMS LIST'!$B$2:$F$19,5,FALSE)</f>
        <v>530</v>
      </c>
      <c r="H655" s="11">
        <f t="shared" si="40"/>
        <v>0</v>
      </c>
      <c r="I655" s="11">
        <f t="shared" si="41"/>
        <v>0</v>
      </c>
      <c r="J655" s="11">
        <f t="shared" si="43"/>
        <v>0</v>
      </c>
    </row>
    <row r="656" spans="1:10" x14ac:dyDescent="0.3">
      <c r="A656" s="7">
        <v>44871.333333332805</v>
      </c>
      <c r="B656" s="8" t="s">
        <v>6</v>
      </c>
      <c r="C656" s="8">
        <v>0</v>
      </c>
      <c r="D656" t="str">
        <f t="shared" si="42"/>
        <v>Sunday</v>
      </c>
      <c r="E656">
        <v>46</v>
      </c>
      <c r="F656" s="11">
        <f>VLOOKUP(B656,'ITEMS LIST'!$B$2:$F$19,4,FALSE)</f>
        <v>1000</v>
      </c>
      <c r="G656" s="11">
        <f>VLOOKUP(B656,'ITEMS LIST'!$B$2:$F$19,5,FALSE)</f>
        <v>768</v>
      </c>
      <c r="H656" s="11">
        <f t="shared" si="40"/>
        <v>0</v>
      </c>
      <c r="I656" s="11">
        <f t="shared" si="41"/>
        <v>0</v>
      </c>
      <c r="J656" s="11">
        <f t="shared" si="43"/>
        <v>0</v>
      </c>
    </row>
    <row r="657" spans="1:10" x14ac:dyDescent="0.3">
      <c r="A657" s="7">
        <v>44871.388888888359</v>
      </c>
      <c r="B657" s="8" t="s">
        <v>7</v>
      </c>
      <c r="C657" s="8">
        <v>0</v>
      </c>
      <c r="D657" t="str">
        <f t="shared" si="42"/>
        <v>Sunday</v>
      </c>
      <c r="E657">
        <v>46</v>
      </c>
      <c r="F657" s="11">
        <f>VLOOKUP(B657,'ITEMS LIST'!$B$2:$F$19,4,FALSE)</f>
        <v>680</v>
      </c>
      <c r="G657" s="11">
        <f>VLOOKUP(B657,'ITEMS LIST'!$B$2:$F$19,5,FALSE)</f>
        <v>570</v>
      </c>
      <c r="H657" s="11">
        <f t="shared" si="40"/>
        <v>0</v>
      </c>
      <c r="I657" s="11">
        <f t="shared" si="41"/>
        <v>0</v>
      </c>
      <c r="J657" s="11">
        <f t="shared" si="43"/>
        <v>0</v>
      </c>
    </row>
    <row r="658" spans="1:10" x14ac:dyDescent="0.3">
      <c r="A658" s="7">
        <v>44871.444444443914</v>
      </c>
      <c r="B658" s="8" t="s">
        <v>8</v>
      </c>
      <c r="C658" s="8">
        <v>0</v>
      </c>
      <c r="D658" t="str">
        <f t="shared" si="42"/>
        <v>Sunday</v>
      </c>
      <c r="E658">
        <v>46</v>
      </c>
      <c r="F658" s="11">
        <f>VLOOKUP(B658,'ITEMS LIST'!$B$2:$F$19,4,FALSE)</f>
        <v>199</v>
      </c>
      <c r="G658" s="11">
        <f>VLOOKUP(B658,'ITEMS LIST'!$B$2:$F$19,5,FALSE)</f>
        <v>140</v>
      </c>
      <c r="H658" s="11">
        <f t="shared" si="40"/>
        <v>0</v>
      </c>
      <c r="I658" s="11">
        <f t="shared" si="41"/>
        <v>0</v>
      </c>
      <c r="J658" s="11">
        <f t="shared" si="43"/>
        <v>0</v>
      </c>
    </row>
    <row r="659" spans="1:10" x14ac:dyDescent="0.3">
      <c r="A659" s="7">
        <v>44871.499999999469</v>
      </c>
      <c r="B659" s="8" t="s">
        <v>9</v>
      </c>
      <c r="C659" s="8">
        <v>0</v>
      </c>
      <c r="D659" t="str">
        <f t="shared" si="42"/>
        <v>Sunday</v>
      </c>
      <c r="E659">
        <v>46</v>
      </c>
      <c r="F659" s="11">
        <f>VLOOKUP(B659,'ITEMS LIST'!$B$2:$F$19,4,FALSE)</f>
        <v>219</v>
      </c>
      <c r="G659" s="11">
        <f>VLOOKUP(B659,'ITEMS LIST'!$B$2:$F$19,5,FALSE)</f>
        <v>132</v>
      </c>
      <c r="H659" s="11">
        <f t="shared" si="40"/>
        <v>0</v>
      </c>
      <c r="I659" s="11">
        <f t="shared" si="41"/>
        <v>0</v>
      </c>
      <c r="J659" s="11">
        <f t="shared" si="43"/>
        <v>0</v>
      </c>
    </row>
    <row r="660" spans="1:10" x14ac:dyDescent="0.3">
      <c r="A660" s="7">
        <v>44871.555555555024</v>
      </c>
      <c r="B660" s="8" t="s">
        <v>10</v>
      </c>
      <c r="C660" s="8">
        <v>0</v>
      </c>
      <c r="D660" t="str">
        <f t="shared" si="42"/>
        <v>Sunday</v>
      </c>
      <c r="E660">
        <v>46</v>
      </c>
      <c r="F660" s="11">
        <f>VLOOKUP(B660,'ITEMS LIST'!$B$2:$F$19,4,FALSE)</f>
        <v>1469</v>
      </c>
      <c r="G660" s="11">
        <f>VLOOKUP(B660,'ITEMS LIST'!$B$2:$F$19,5,FALSE)</f>
        <v>1184</v>
      </c>
      <c r="H660" s="11">
        <f t="shared" si="40"/>
        <v>0</v>
      </c>
      <c r="I660" s="11">
        <f t="shared" si="41"/>
        <v>0</v>
      </c>
      <c r="J660" s="11">
        <f t="shared" si="43"/>
        <v>0</v>
      </c>
    </row>
    <row r="661" spans="1:10" x14ac:dyDescent="0.3">
      <c r="A661" s="7">
        <v>44871.611111110578</v>
      </c>
      <c r="B661" s="8" t="s">
        <v>11</v>
      </c>
      <c r="C661" s="8">
        <v>0</v>
      </c>
      <c r="D661" t="str">
        <f t="shared" si="42"/>
        <v>Sunday</v>
      </c>
      <c r="E661">
        <v>46</v>
      </c>
      <c r="F661" s="11">
        <f>VLOOKUP(B661,'ITEMS LIST'!$B$2:$F$19,4,FALSE)</f>
        <v>89</v>
      </c>
      <c r="G661" s="11">
        <f>VLOOKUP(B661,'ITEMS LIST'!$B$2:$F$19,5,FALSE)</f>
        <v>59</v>
      </c>
      <c r="H661" s="11">
        <f t="shared" si="40"/>
        <v>0</v>
      </c>
      <c r="I661" s="11">
        <f t="shared" si="41"/>
        <v>0</v>
      </c>
      <c r="J661" s="11">
        <f t="shared" si="43"/>
        <v>0</v>
      </c>
    </row>
    <row r="662" spans="1:10" x14ac:dyDescent="0.3">
      <c r="A662" s="7">
        <v>44871.666666666133</v>
      </c>
      <c r="B662" s="8" t="s">
        <v>12</v>
      </c>
      <c r="C662" s="8">
        <v>0</v>
      </c>
      <c r="D662" t="str">
        <f t="shared" si="42"/>
        <v>Sunday</v>
      </c>
      <c r="E662">
        <v>46</v>
      </c>
      <c r="F662" s="11">
        <f>VLOOKUP(B662,'ITEMS LIST'!$B$2:$F$19,4,FALSE)</f>
        <v>310</v>
      </c>
      <c r="G662" s="11">
        <f>VLOOKUP(B662,'ITEMS LIST'!$B$2:$F$19,5,FALSE)</f>
        <v>206</v>
      </c>
      <c r="H662" s="11">
        <f t="shared" si="40"/>
        <v>0</v>
      </c>
      <c r="I662" s="11">
        <f t="shared" si="41"/>
        <v>0</v>
      </c>
      <c r="J662" s="11">
        <f t="shared" si="43"/>
        <v>0</v>
      </c>
    </row>
    <row r="663" spans="1:10" x14ac:dyDescent="0.3">
      <c r="A663" s="7">
        <v>44871.722222221688</v>
      </c>
      <c r="B663" s="8" t="s">
        <v>13</v>
      </c>
      <c r="C663" s="8">
        <v>0</v>
      </c>
      <c r="D663" t="str">
        <f t="shared" si="42"/>
        <v>Sunday</v>
      </c>
      <c r="E663">
        <v>46</v>
      </c>
      <c r="F663" s="11">
        <f>VLOOKUP(B663,'ITEMS LIST'!$B$2:$F$19,4,FALSE)</f>
        <v>540</v>
      </c>
      <c r="G663" s="11">
        <f>VLOOKUP(B663,'ITEMS LIST'!$B$2:$F$19,5,FALSE)</f>
        <v>397</v>
      </c>
      <c r="H663" s="11">
        <f t="shared" si="40"/>
        <v>0</v>
      </c>
      <c r="I663" s="11">
        <f t="shared" si="41"/>
        <v>0</v>
      </c>
      <c r="J663" s="11">
        <f t="shared" si="43"/>
        <v>0</v>
      </c>
    </row>
    <row r="664" spans="1:10" x14ac:dyDescent="0.3">
      <c r="A664" s="7">
        <v>44871.777777777243</v>
      </c>
      <c r="B664" s="8" t="s">
        <v>14</v>
      </c>
      <c r="C664" s="8">
        <v>0</v>
      </c>
      <c r="D664" t="str">
        <f t="shared" si="42"/>
        <v>Sunday</v>
      </c>
      <c r="E664">
        <v>46</v>
      </c>
      <c r="F664" s="11">
        <f>VLOOKUP(B664,'ITEMS LIST'!$B$2:$F$19,4,FALSE)</f>
        <v>360</v>
      </c>
      <c r="G664" s="11">
        <f>VLOOKUP(B664,'ITEMS LIST'!$B$2:$F$19,5,FALSE)</f>
        <v>248</v>
      </c>
      <c r="H664" s="11">
        <f t="shared" si="40"/>
        <v>0</v>
      </c>
      <c r="I664" s="11">
        <f t="shared" si="41"/>
        <v>0</v>
      </c>
      <c r="J664" s="11">
        <f t="shared" si="43"/>
        <v>0</v>
      </c>
    </row>
    <row r="665" spans="1:10" x14ac:dyDescent="0.3">
      <c r="A665" s="7">
        <v>44871.833333332797</v>
      </c>
      <c r="B665" s="8" t="s">
        <v>15</v>
      </c>
      <c r="C665" s="8">
        <v>0</v>
      </c>
      <c r="D665" t="str">
        <f t="shared" si="42"/>
        <v>Sunday</v>
      </c>
      <c r="E665">
        <v>46</v>
      </c>
      <c r="F665" s="11">
        <f>VLOOKUP(B665,'ITEMS LIST'!$B$2:$F$19,4,FALSE)</f>
        <v>250</v>
      </c>
      <c r="G665" s="11">
        <f>VLOOKUP(B665,'ITEMS LIST'!$B$2:$F$19,5,FALSE)</f>
        <v>190</v>
      </c>
      <c r="H665" s="11">
        <f t="shared" si="40"/>
        <v>0</v>
      </c>
      <c r="I665" s="11">
        <f t="shared" si="41"/>
        <v>0</v>
      </c>
      <c r="J665" s="11">
        <f t="shared" si="43"/>
        <v>0</v>
      </c>
    </row>
    <row r="666" spans="1:10" x14ac:dyDescent="0.3">
      <c r="A666" s="7">
        <v>44871.888888888352</v>
      </c>
      <c r="B666" s="8" t="s">
        <v>16</v>
      </c>
      <c r="C666" s="8">
        <v>0</v>
      </c>
      <c r="D666" t="str">
        <f t="shared" si="42"/>
        <v>Sunday</v>
      </c>
      <c r="E666">
        <v>46</v>
      </c>
      <c r="F666" s="11">
        <f>VLOOKUP(B666,'ITEMS LIST'!$B$2:$F$19,4,FALSE)</f>
        <v>120</v>
      </c>
      <c r="G666" s="11">
        <f>VLOOKUP(B666,'ITEMS LIST'!$B$2:$F$19,5,FALSE)</f>
        <v>85</v>
      </c>
      <c r="H666" s="11">
        <f t="shared" si="40"/>
        <v>0</v>
      </c>
      <c r="I666" s="11">
        <f t="shared" si="41"/>
        <v>0</v>
      </c>
      <c r="J666" s="11">
        <f t="shared" si="43"/>
        <v>0</v>
      </c>
    </row>
    <row r="667" spans="1:10" x14ac:dyDescent="0.3">
      <c r="A667" s="7">
        <v>44871.944444443907</v>
      </c>
      <c r="B667" s="8" t="s">
        <v>17</v>
      </c>
      <c r="C667" s="8">
        <v>0</v>
      </c>
      <c r="D667" t="str">
        <f t="shared" si="42"/>
        <v>Sunday</v>
      </c>
      <c r="E667">
        <v>46</v>
      </c>
      <c r="F667" s="11">
        <f>VLOOKUP(B667,'ITEMS LIST'!$B$2:$F$19,4,FALSE)</f>
        <v>80</v>
      </c>
      <c r="G667" s="11">
        <f>VLOOKUP(B667,'ITEMS LIST'!$B$2:$F$19,5,FALSE)</f>
        <v>55</v>
      </c>
      <c r="H667" s="11">
        <f t="shared" si="40"/>
        <v>0</v>
      </c>
      <c r="I667" s="11">
        <f t="shared" si="41"/>
        <v>0</v>
      </c>
      <c r="J667" s="11">
        <f t="shared" si="43"/>
        <v>0</v>
      </c>
    </row>
    <row r="668" spans="1:10" x14ac:dyDescent="0.3">
      <c r="A668" s="7">
        <v>44871.999999999462</v>
      </c>
      <c r="B668" s="8" t="s">
        <v>0</v>
      </c>
      <c r="C668" s="8">
        <v>0</v>
      </c>
      <c r="D668" t="str">
        <f t="shared" si="42"/>
        <v>Monday</v>
      </c>
      <c r="E668">
        <v>46</v>
      </c>
      <c r="F668" s="11">
        <f>VLOOKUP(B668,'ITEMS LIST'!$B$2:$F$19,4,FALSE)</f>
        <v>549</v>
      </c>
      <c r="G668" s="11">
        <f>VLOOKUP(B668,'ITEMS LIST'!$B$2:$F$19,5,FALSE)</f>
        <v>365</v>
      </c>
      <c r="H668" s="11">
        <f t="shared" si="40"/>
        <v>0</v>
      </c>
      <c r="I668" s="11">
        <f t="shared" si="41"/>
        <v>0</v>
      </c>
      <c r="J668" s="11">
        <f t="shared" si="43"/>
        <v>0</v>
      </c>
    </row>
    <row r="669" spans="1:10" x14ac:dyDescent="0.3">
      <c r="A669" s="7">
        <v>44872.055555555016</v>
      </c>
      <c r="B669" s="8" t="s">
        <v>1</v>
      </c>
      <c r="C669" s="8">
        <v>0</v>
      </c>
      <c r="D669" t="str">
        <f t="shared" si="42"/>
        <v>Monday</v>
      </c>
      <c r="E669">
        <v>46</v>
      </c>
      <c r="F669" s="11">
        <f>VLOOKUP(B669,'ITEMS LIST'!$B$2:$F$19,4,FALSE)</f>
        <v>699</v>
      </c>
      <c r="G669" s="11">
        <f>VLOOKUP(B669,'ITEMS LIST'!$B$2:$F$19,5,FALSE)</f>
        <v>550</v>
      </c>
      <c r="H669" s="11">
        <f t="shared" si="40"/>
        <v>0</v>
      </c>
      <c r="I669" s="11">
        <f t="shared" si="41"/>
        <v>0</v>
      </c>
      <c r="J669" s="11">
        <f t="shared" si="43"/>
        <v>0</v>
      </c>
    </row>
    <row r="670" spans="1:10" x14ac:dyDescent="0.3">
      <c r="A670" s="7">
        <v>44872.111111110571</v>
      </c>
      <c r="B670" s="8" t="s">
        <v>2</v>
      </c>
      <c r="C670" s="8">
        <v>0</v>
      </c>
      <c r="D670" t="str">
        <f t="shared" si="42"/>
        <v>Monday</v>
      </c>
      <c r="E670">
        <v>46</v>
      </c>
      <c r="F670" s="11">
        <f>VLOOKUP(B670,'ITEMS LIST'!$B$2:$F$19,4,FALSE)</f>
        <v>739</v>
      </c>
      <c r="G670" s="11">
        <f>VLOOKUP(B670,'ITEMS LIST'!$B$2:$F$19,5,FALSE)</f>
        <v>620</v>
      </c>
      <c r="H670" s="11">
        <f t="shared" si="40"/>
        <v>0</v>
      </c>
      <c r="I670" s="11">
        <f t="shared" si="41"/>
        <v>0</v>
      </c>
      <c r="J670" s="11">
        <f t="shared" si="43"/>
        <v>0</v>
      </c>
    </row>
    <row r="671" spans="1:10" x14ac:dyDescent="0.3">
      <c r="A671" s="7">
        <v>44872.166666666126</v>
      </c>
      <c r="B671" s="8" t="s">
        <v>3</v>
      </c>
      <c r="C671" s="8">
        <v>0</v>
      </c>
      <c r="D671" t="str">
        <f t="shared" si="42"/>
        <v>Monday</v>
      </c>
      <c r="E671">
        <v>46</v>
      </c>
      <c r="F671" s="11">
        <f>VLOOKUP(B671,'ITEMS LIST'!$B$2:$F$19,4,FALSE)</f>
        <v>899</v>
      </c>
      <c r="G671" s="11">
        <f>VLOOKUP(B671,'ITEMS LIST'!$B$2:$F$19,5,FALSE)</f>
        <v>714</v>
      </c>
      <c r="H671" s="11">
        <f t="shared" si="40"/>
        <v>0</v>
      </c>
      <c r="I671" s="11">
        <f t="shared" si="41"/>
        <v>0</v>
      </c>
      <c r="J671" s="11">
        <f t="shared" si="43"/>
        <v>0</v>
      </c>
    </row>
    <row r="672" spans="1:10" x14ac:dyDescent="0.3">
      <c r="A672" s="7">
        <v>44872.222222221681</v>
      </c>
      <c r="B672" s="8" t="s">
        <v>4</v>
      </c>
      <c r="C672" s="8">
        <v>0</v>
      </c>
      <c r="D672" t="str">
        <f t="shared" si="42"/>
        <v>Monday</v>
      </c>
      <c r="E672">
        <v>46</v>
      </c>
      <c r="F672" s="11">
        <f>VLOOKUP(B672,'ITEMS LIST'!$B$2:$F$19,4,FALSE)</f>
        <v>1379</v>
      </c>
      <c r="G672" s="11">
        <f>VLOOKUP(B672,'ITEMS LIST'!$B$2:$F$19,5,FALSE)</f>
        <v>890</v>
      </c>
      <c r="H672" s="11">
        <f t="shared" si="40"/>
        <v>0</v>
      </c>
      <c r="I672" s="11">
        <f t="shared" si="41"/>
        <v>0</v>
      </c>
      <c r="J672" s="11">
        <f t="shared" si="43"/>
        <v>0</v>
      </c>
    </row>
    <row r="673" spans="1:10" x14ac:dyDescent="0.3">
      <c r="A673" s="7">
        <v>44872.277777777235</v>
      </c>
      <c r="B673" s="8" t="s">
        <v>5</v>
      </c>
      <c r="C673" s="8">
        <v>0</v>
      </c>
      <c r="D673" t="str">
        <f t="shared" si="42"/>
        <v>Monday</v>
      </c>
      <c r="E673">
        <v>46</v>
      </c>
      <c r="F673" s="11">
        <f>VLOOKUP(B673,'ITEMS LIST'!$B$2:$F$19,4,FALSE)</f>
        <v>849</v>
      </c>
      <c r="G673" s="11">
        <f>VLOOKUP(B673,'ITEMS LIST'!$B$2:$F$19,5,FALSE)</f>
        <v>530</v>
      </c>
      <c r="H673" s="11">
        <f t="shared" si="40"/>
        <v>0</v>
      </c>
      <c r="I673" s="11">
        <f t="shared" si="41"/>
        <v>0</v>
      </c>
      <c r="J673" s="11">
        <f t="shared" si="43"/>
        <v>0</v>
      </c>
    </row>
    <row r="674" spans="1:10" x14ac:dyDescent="0.3">
      <c r="A674" s="7">
        <v>44872.33333333279</v>
      </c>
      <c r="B674" s="8" t="s">
        <v>6</v>
      </c>
      <c r="C674" s="8">
        <v>0</v>
      </c>
      <c r="D674" t="str">
        <f t="shared" si="42"/>
        <v>Monday</v>
      </c>
      <c r="E674">
        <v>46</v>
      </c>
      <c r="F674" s="11">
        <f>VLOOKUP(B674,'ITEMS LIST'!$B$2:$F$19,4,FALSE)</f>
        <v>1000</v>
      </c>
      <c r="G674" s="11">
        <f>VLOOKUP(B674,'ITEMS LIST'!$B$2:$F$19,5,FALSE)</f>
        <v>768</v>
      </c>
      <c r="H674" s="11">
        <f t="shared" si="40"/>
        <v>0</v>
      </c>
      <c r="I674" s="11">
        <f t="shared" si="41"/>
        <v>0</v>
      </c>
      <c r="J674" s="11">
        <f t="shared" si="43"/>
        <v>0</v>
      </c>
    </row>
    <row r="675" spans="1:10" x14ac:dyDescent="0.3">
      <c r="A675" s="7">
        <v>44872.388888888345</v>
      </c>
      <c r="B675" s="8" t="s">
        <v>7</v>
      </c>
      <c r="C675" s="8">
        <v>0</v>
      </c>
      <c r="D675" t="str">
        <f t="shared" si="42"/>
        <v>Monday</v>
      </c>
      <c r="E675">
        <v>46</v>
      </c>
      <c r="F675" s="11">
        <f>VLOOKUP(B675,'ITEMS LIST'!$B$2:$F$19,4,FALSE)</f>
        <v>680</v>
      </c>
      <c r="G675" s="11">
        <f>VLOOKUP(B675,'ITEMS LIST'!$B$2:$F$19,5,FALSE)</f>
        <v>570</v>
      </c>
      <c r="H675" s="11">
        <f t="shared" si="40"/>
        <v>0</v>
      </c>
      <c r="I675" s="11">
        <f t="shared" si="41"/>
        <v>0</v>
      </c>
      <c r="J675" s="11">
        <f t="shared" si="43"/>
        <v>0</v>
      </c>
    </row>
    <row r="676" spans="1:10" x14ac:dyDescent="0.3">
      <c r="A676" s="7">
        <v>44872.4444444439</v>
      </c>
      <c r="B676" s="8" t="s">
        <v>8</v>
      </c>
      <c r="C676" s="8">
        <v>0</v>
      </c>
      <c r="D676" t="str">
        <f t="shared" si="42"/>
        <v>Monday</v>
      </c>
      <c r="E676">
        <v>46</v>
      </c>
      <c r="F676" s="11">
        <f>VLOOKUP(B676,'ITEMS LIST'!$B$2:$F$19,4,FALSE)</f>
        <v>199</v>
      </c>
      <c r="G676" s="11">
        <f>VLOOKUP(B676,'ITEMS LIST'!$B$2:$F$19,5,FALSE)</f>
        <v>140</v>
      </c>
      <c r="H676" s="11">
        <f t="shared" si="40"/>
        <v>0</v>
      </c>
      <c r="I676" s="11">
        <f t="shared" si="41"/>
        <v>0</v>
      </c>
      <c r="J676" s="11">
        <f t="shared" si="43"/>
        <v>0</v>
      </c>
    </row>
    <row r="677" spans="1:10" x14ac:dyDescent="0.3">
      <c r="A677" s="7">
        <v>44872.499999999454</v>
      </c>
      <c r="B677" s="8" t="s">
        <v>9</v>
      </c>
      <c r="C677" s="8">
        <v>0</v>
      </c>
      <c r="D677" t="str">
        <f t="shared" si="42"/>
        <v>Monday</v>
      </c>
      <c r="E677">
        <v>46</v>
      </c>
      <c r="F677" s="11">
        <f>VLOOKUP(B677,'ITEMS LIST'!$B$2:$F$19,4,FALSE)</f>
        <v>219</v>
      </c>
      <c r="G677" s="11">
        <f>VLOOKUP(B677,'ITEMS LIST'!$B$2:$F$19,5,FALSE)</f>
        <v>132</v>
      </c>
      <c r="H677" s="11">
        <f t="shared" si="40"/>
        <v>0</v>
      </c>
      <c r="I677" s="11">
        <f t="shared" si="41"/>
        <v>0</v>
      </c>
      <c r="J677" s="11">
        <f t="shared" si="43"/>
        <v>0</v>
      </c>
    </row>
    <row r="678" spans="1:10" x14ac:dyDescent="0.3">
      <c r="A678" s="7">
        <v>44872.555555555009</v>
      </c>
      <c r="B678" s="8" t="s">
        <v>10</v>
      </c>
      <c r="C678" s="8">
        <v>0</v>
      </c>
      <c r="D678" t="str">
        <f t="shared" si="42"/>
        <v>Monday</v>
      </c>
      <c r="E678">
        <v>46</v>
      </c>
      <c r="F678" s="11">
        <f>VLOOKUP(B678,'ITEMS LIST'!$B$2:$F$19,4,FALSE)</f>
        <v>1469</v>
      </c>
      <c r="G678" s="11">
        <f>VLOOKUP(B678,'ITEMS LIST'!$B$2:$F$19,5,FALSE)</f>
        <v>1184</v>
      </c>
      <c r="H678" s="11">
        <f t="shared" si="40"/>
        <v>0</v>
      </c>
      <c r="I678" s="11">
        <f t="shared" si="41"/>
        <v>0</v>
      </c>
      <c r="J678" s="11">
        <f t="shared" si="43"/>
        <v>0</v>
      </c>
    </row>
    <row r="679" spans="1:10" x14ac:dyDescent="0.3">
      <c r="A679" s="7">
        <v>44872.611111110564</v>
      </c>
      <c r="B679" s="8" t="s">
        <v>11</v>
      </c>
      <c r="C679" s="8">
        <v>0</v>
      </c>
      <c r="D679" t="str">
        <f t="shared" si="42"/>
        <v>Monday</v>
      </c>
      <c r="E679">
        <v>46</v>
      </c>
      <c r="F679" s="11">
        <f>VLOOKUP(B679,'ITEMS LIST'!$B$2:$F$19,4,FALSE)</f>
        <v>89</v>
      </c>
      <c r="G679" s="11">
        <f>VLOOKUP(B679,'ITEMS LIST'!$B$2:$F$19,5,FALSE)</f>
        <v>59</v>
      </c>
      <c r="H679" s="11">
        <f t="shared" si="40"/>
        <v>0</v>
      </c>
      <c r="I679" s="11">
        <f t="shared" si="41"/>
        <v>0</v>
      </c>
      <c r="J679" s="11">
        <f t="shared" si="43"/>
        <v>0</v>
      </c>
    </row>
    <row r="680" spans="1:10" x14ac:dyDescent="0.3">
      <c r="A680" s="7">
        <v>44872.666666666119</v>
      </c>
      <c r="B680" s="8" t="s">
        <v>12</v>
      </c>
      <c r="C680" s="8">
        <v>0</v>
      </c>
      <c r="D680" t="str">
        <f t="shared" si="42"/>
        <v>Monday</v>
      </c>
      <c r="E680">
        <v>46</v>
      </c>
      <c r="F680" s="11">
        <f>VLOOKUP(B680,'ITEMS LIST'!$B$2:$F$19,4,FALSE)</f>
        <v>310</v>
      </c>
      <c r="G680" s="11">
        <f>VLOOKUP(B680,'ITEMS LIST'!$B$2:$F$19,5,FALSE)</f>
        <v>206</v>
      </c>
      <c r="H680" s="11">
        <f t="shared" si="40"/>
        <v>0</v>
      </c>
      <c r="I680" s="11">
        <f t="shared" si="41"/>
        <v>0</v>
      </c>
      <c r="J680" s="11">
        <f t="shared" si="43"/>
        <v>0</v>
      </c>
    </row>
    <row r="681" spans="1:10" x14ac:dyDescent="0.3">
      <c r="A681" s="7">
        <v>44872.722222221673</v>
      </c>
      <c r="B681" s="8" t="s">
        <v>13</v>
      </c>
      <c r="C681" s="8">
        <v>0</v>
      </c>
      <c r="D681" t="str">
        <f t="shared" si="42"/>
        <v>Monday</v>
      </c>
      <c r="E681">
        <v>46</v>
      </c>
      <c r="F681" s="11">
        <f>VLOOKUP(B681,'ITEMS LIST'!$B$2:$F$19,4,FALSE)</f>
        <v>540</v>
      </c>
      <c r="G681" s="11">
        <f>VLOOKUP(B681,'ITEMS LIST'!$B$2:$F$19,5,FALSE)</f>
        <v>397</v>
      </c>
      <c r="H681" s="11">
        <f t="shared" si="40"/>
        <v>0</v>
      </c>
      <c r="I681" s="11">
        <f t="shared" si="41"/>
        <v>0</v>
      </c>
      <c r="J681" s="11">
        <f t="shared" si="43"/>
        <v>0</v>
      </c>
    </row>
    <row r="682" spans="1:10" x14ac:dyDescent="0.3">
      <c r="A682" s="7">
        <v>44872.777777777228</v>
      </c>
      <c r="B682" s="8" t="s">
        <v>14</v>
      </c>
      <c r="C682" s="8">
        <v>0</v>
      </c>
      <c r="D682" t="str">
        <f t="shared" si="42"/>
        <v>Monday</v>
      </c>
      <c r="E682">
        <v>46</v>
      </c>
      <c r="F682" s="11">
        <f>VLOOKUP(B682,'ITEMS LIST'!$B$2:$F$19,4,FALSE)</f>
        <v>360</v>
      </c>
      <c r="G682" s="11">
        <f>VLOOKUP(B682,'ITEMS LIST'!$B$2:$F$19,5,FALSE)</f>
        <v>248</v>
      </c>
      <c r="H682" s="11">
        <f t="shared" si="40"/>
        <v>0</v>
      </c>
      <c r="I682" s="11">
        <f t="shared" si="41"/>
        <v>0</v>
      </c>
      <c r="J682" s="11">
        <f t="shared" si="43"/>
        <v>0</v>
      </c>
    </row>
    <row r="683" spans="1:10" x14ac:dyDescent="0.3">
      <c r="A683" s="7">
        <v>44872.833333332783</v>
      </c>
      <c r="B683" s="8" t="s">
        <v>15</v>
      </c>
      <c r="C683" s="8">
        <v>0</v>
      </c>
      <c r="D683" t="str">
        <f t="shared" si="42"/>
        <v>Monday</v>
      </c>
      <c r="E683">
        <v>46</v>
      </c>
      <c r="F683" s="11">
        <f>VLOOKUP(B683,'ITEMS LIST'!$B$2:$F$19,4,FALSE)</f>
        <v>250</v>
      </c>
      <c r="G683" s="11">
        <f>VLOOKUP(B683,'ITEMS LIST'!$B$2:$F$19,5,FALSE)</f>
        <v>190</v>
      </c>
      <c r="H683" s="11">
        <f t="shared" si="40"/>
        <v>0</v>
      </c>
      <c r="I683" s="11">
        <f t="shared" si="41"/>
        <v>0</v>
      </c>
      <c r="J683" s="11">
        <f t="shared" si="43"/>
        <v>0</v>
      </c>
    </row>
    <row r="684" spans="1:10" x14ac:dyDescent="0.3">
      <c r="A684" s="7">
        <v>44872.888888888338</v>
      </c>
      <c r="B684" s="8" t="s">
        <v>16</v>
      </c>
      <c r="C684" s="8">
        <v>0</v>
      </c>
      <c r="D684" t="str">
        <f t="shared" si="42"/>
        <v>Monday</v>
      </c>
      <c r="E684">
        <v>46</v>
      </c>
      <c r="F684" s="11">
        <f>VLOOKUP(B684,'ITEMS LIST'!$B$2:$F$19,4,FALSE)</f>
        <v>120</v>
      </c>
      <c r="G684" s="11">
        <f>VLOOKUP(B684,'ITEMS LIST'!$B$2:$F$19,5,FALSE)</f>
        <v>85</v>
      </c>
      <c r="H684" s="11">
        <f t="shared" si="40"/>
        <v>0</v>
      </c>
      <c r="I684" s="11">
        <f t="shared" si="41"/>
        <v>0</v>
      </c>
      <c r="J684" s="11">
        <f t="shared" si="43"/>
        <v>0</v>
      </c>
    </row>
    <row r="685" spans="1:10" x14ac:dyDescent="0.3">
      <c r="A685" s="7">
        <v>44872.944444443892</v>
      </c>
      <c r="B685" s="8" t="s">
        <v>17</v>
      </c>
      <c r="C685" s="8">
        <v>0</v>
      </c>
      <c r="D685" t="str">
        <f t="shared" si="42"/>
        <v>Monday</v>
      </c>
      <c r="E685">
        <v>46</v>
      </c>
      <c r="F685" s="11">
        <f>VLOOKUP(B685,'ITEMS LIST'!$B$2:$F$19,4,FALSE)</f>
        <v>80</v>
      </c>
      <c r="G685" s="11">
        <f>VLOOKUP(B685,'ITEMS LIST'!$B$2:$F$19,5,FALSE)</f>
        <v>55</v>
      </c>
      <c r="H685" s="11">
        <f t="shared" si="40"/>
        <v>0</v>
      </c>
      <c r="I685" s="11">
        <f t="shared" si="41"/>
        <v>0</v>
      </c>
      <c r="J685" s="11">
        <f t="shared" si="43"/>
        <v>0</v>
      </c>
    </row>
    <row r="686" spans="1:10" x14ac:dyDescent="0.3">
      <c r="A686" s="7">
        <v>44872.999999999447</v>
      </c>
      <c r="B686" s="8" t="s">
        <v>0</v>
      </c>
      <c r="C686" s="8">
        <v>0</v>
      </c>
      <c r="D686" t="str">
        <f t="shared" si="42"/>
        <v>Tuesday</v>
      </c>
      <c r="E686">
        <v>46</v>
      </c>
      <c r="F686" s="11">
        <f>VLOOKUP(B686,'ITEMS LIST'!$B$2:$F$19,4,FALSE)</f>
        <v>549</v>
      </c>
      <c r="G686" s="11">
        <f>VLOOKUP(B686,'ITEMS LIST'!$B$2:$F$19,5,FALSE)</f>
        <v>365</v>
      </c>
      <c r="H686" s="11">
        <f t="shared" si="40"/>
        <v>0</v>
      </c>
      <c r="I686" s="11">
        <f t="shared" si="41"/>
        <v>0</v>
      </c>
      <c r="J686" s="11">
        <f t="shared" si="43"/>
        <v>0</v>
      </c>
    </row>
    <row r="687" spans="1:10" x14ac:dyDescent="0.3">
      <c r="A687" s="7">
        <v>44873.055555555002</v>
      </c>
      <c r="B687" s="8" t="s">
        <v>1</v>
      </c>
      <c r="C687" s="8">
        <v>0</v>
      </c>
      <c r="D687" t="str">
        <f t="shared" si="42"/>
        <v>Tuesday</v>
      </c>
      <c r="E687">
        <v>46</v>
      </c>
      <c r="F687" s="11">
        <f>VLOOKUP(B687,'ITEMS LIST'!$B$2:$F$19,4,FALSE)</f>
        <v>699</v>
      </c>
      <c r="G687" s="11">
        <f>VLOOKUP(B687,'ITEMS LIST'!$B$2:$F$19,5,FALSE)</f>
        <v>550</v>
      </c>
      <c r="H687" s="11">
        <f t="shared" si="40"/>
        <v>0</v>
      </c>
      <c r="I687" s="11">
        <f t="shared" si="41"/>
        <v>0</v>
      </c>
      <c r="J687" s="11">
        <f t="shared" si="43"/>
        <v>0</v>
      </c>
    </row>
    <row r="688" spans="1:10" x14ac:dyDescent="0.3">
      <c r="A688" s="7">
        <v>44873.111111110557</v>
      </c>
      <c r="B688" s="8" t="s">
        <v>2</v>
      </c>
      <c r="C688" s="8">
        <v>0</v>
      </c>
      <c r="D688" t="str">
        <f t="shared" si="42"/>
        <v>Tuesday</v>
      </c>
      <c r="E688">
        <v>46</v>
      </c>
      <c r="F688" s="11">
        <f>VLOOKUP(B688,'ITEMS LIST'!$B$2:$F$19,4,FALSE)</f>
        <v>739</v>
      </c>
      <c r="G688" s="11">
        <f>VLOOKUP(B688,'ITEMS LIST'!$B$2:$F$19,5,FALSE)</f>
        <v>620</v>
      </c>
      <c r="H688" s="11">
        <f t="shared" si="40"/>
        <v>0</v>
      </c>
      <c r="I688" s="11">
        <f t="shared" si="41"/>
        <v>0</v>
      </c>
      <c r="J688" s="11">
        <f t="shared" si="43"/>
        <v>0</v>
      </c>
    </row>
    <row r="689" spans="1:10" x14ac:dyDescent="0.3">
      <c r="A689" s="7">
        <v>44873.166666666111</v>
      </c>
      <c r="B689" s="8" t="s">
        <v>3</v>
      </c>
      <c r="C689" s="8">
        <v>0</v>
      </c>
      <c r="D689" t="str">
        <f t="shared" si="42"/>
        <v>Tuesday</v>
      </c>
      <c r="E689">
        <v>46</v>
      </c>
      <c r="F689" s="11">
        <f>VLOOKUP(B689,'ITEMS LIST'!$B$2:$F$19,4,FALSE)</f>
        <v>899</v>
      </c>
      <c r="G689" s="11">
        <f>VLOOKUP(B689,'ITEMS LIST'!$B$2:$F$19,5,FALSE)</f>
        <v>714</v>
      </c>
      <c r="H689" s="11">
        <f t="shared" si="40"/>
        <v>0</v>
      </c>
      <c r="I689" s="11">
        <f t="shared" si="41"/>
        <v>0</v>
      </c>
      <c r="J689" s="11">
        <f t="shared" si="43"/>
        <v>0</v>
      </c>
    </row>
    <row r="690" spans="1:10" x14ac:dyDescent="0.3">
      <c r="A690" s="7">
        <v>44873.222222221666</v>
      </c>
      <c r="B690" s="8" t="s">
        <v>4</v>
      </c>
      <c r="C690" s="8">
        <v>0</v>
      </c>
      <c r="D690" t="str">
        <f t="shared" si="42"/>
        <v>Tuesday</v>
      </c>
      <c r="E690">
        <v>46</v>
      </c>
      <c r="F690" s="11">
        <f>VLOOKUP(B690,'ITEMS LIST'!$B$2:$F$19,4,FALSE)</f>
        <v>1379</v>
      </c>
      <c r="G690" s="11">
        <f>VLOOKUP(B690,'ITEMS LIST'!$B$2:$F$19,5,FALSE)</f>
        <v>890</v>
      </c>
      <c r="H690" s="11">
        <f t="shared" si="40"/>
        <v>0</v>
      </c>
      <c r="I690" s="11">
        <f t="shared" si="41"/>
        <v>0</v>
      </c>
      <c r="J690" s="11">
        <f t="shared" si="43"/>
        <v>0</v>
      </c>
    </row>
    <row r="691" spans="1:10" x14ac:dyDescent="0.3">
      <c r="A691" s="7">
        <v>44873.277777777221</v>
      </c>
      <c r="B691" s="8" t="s">
        <v>5</v>
      </c>
      <c r="C691" s="8">
        <v>0</v>
      </c>
      <c r="D691" t="str">
        <f t="shared" si="42"/>
        <v>Tuesday</v>
      </c>
      <c r="E691">
        <v>46</v>
      </c>
      <c r="F691" s="11">
        <f>VLOOKUP(B691,'ITEMS LIST'!$B$2:$F$19,4,FALSE)</f>
        <v>849</v>
      </c>
      <c r="G691" s="11">
        <f>VLOOKUP(B691,'ITEMS LIST'!$B$2:$F$19,5,FALSE)</f>
        <v>530</v>
      </c>
      <c r="H691" s="11">
        <f t="shared" si="40"/>
        <v>0</v>
      </c>
      <c r="I691" s="11">
        <f t="shared" si="41"/>
        <v>0</v>
      </c>
      <c r="J691" s="11">
        <f t="shared" si="43"/>
        <v>0</v>
      </c>
    </row>
    <row r="692" spans="1:10" x14ac:dyDescent="0.3">
      <c r="A692" s="7">
        <v>44873.333333332776</v>
      </c>
      <c r="B692" s="8" t="s">
        <v>6</v>
      </c>
      <c r="C692" s="8">
        <v>0</v>
      </c>
      <c r="D692" t="str">
        <f t="shared" si="42"/>
        <v>Tuesday</v>
      </c>
      <c r="E692">
        <v>46</v>
      </c>
      <c r="F692" s="11">
        <f>VLOOKUP(B692,'ITEMS LIST'!$B$2:$F$19,4,FALSE)</f>
        <v>1000</v>
      </c>
      <c r="G692" s="11">
        <f>VLOOKUP(B692,'ITEMS LIST'!$B$2:$F$19,5,FALSE)</f>
        <v>768</v>
      </c>
      <c r="H692" s="11">
        <f t="shared" si="40"/>
        <v>0</v>
      </c>
      <c r="I692" s="11">
        <f t="shared" si="41"/>
        <v>0</v>
      </c>
      <c r="J692" s="11">
        <f t="shared" si="43"/>
        <v>0</v>
      </c>
    </row>
    <row r="693" spans="1:10" x14ac:dyDescent="0.3">
      <c r="A693" s="7">
        <v>44873.38888888833</v>
      </c>
      <c r="B693" s="8" t="s">
        <v>7</v>
      </c>
      <c r="C693" s="8">
        <v>0</v>
      </c>
      <c r="D693" t="str">
        <f t="shared" si="42"/>
        <v>Tuesday</v>
      </c>
      <c r="E693">
        <v>46</v>
      </c>
      <c r="F693" s="11">
        <f>VLOOKUP(B693,'ITEMS LIST'!$B$2:$F$19,4,FALSE)</f>
        <v>680</v>
      </c>
      <c r="G693" s="11">
        <f>VLOOKUP(B693,'ITEMS LIST'!$B$2:$F$19,5,FALSE)</f>
        <v>570</v>
      </c>
      <c r="H693" s="11">
        <f t="shared" si="40"/>
        <v>0</v>
      </c>
      <c r="I693" s="11">
        <f t="shared" si="41"/>
        <v>0</v>
      </c>
      <c r="J693" s="11">
        <f t="shared" si="43"/>
        <v>0</v>
      </c>
    </row>
    <row r="694" spans="1:10" x14ac:dyDescent="0.3">
      <c r="A694" s="7">
        <v>44873.444444443885</v>
      </c>
      <c r="B694" s="8" t="s">
        <v>8</v>
      </c>
      <c r="C694" s="8">
        <v>0</v>
      </c>
      <c r="D694" t="str">
        <f t="shared" si="42"/>
        <v>Tuesday</v>
      </c>
      <c r="E694">
        <v>46</v>
      </c>
      <c r="F694" s="11">
        <f>VLOOKUP(B694,'ITEMS LIST'!$B$2:$F$19,4,FALSE)</f>
        <v>199</v>
      </c>
      <c r="G694" s="11">
        <f>VLOOKUP(B694,'ITEMS LIST'!$B$2:$F$19,5,FALSE)</f>
        <v>140</v>
      </c>
      <c r="H694" s="11">
        <f t="shared" si="40"/>
        <v>0</v>
      </c>
      <c r="I694" s="11">
        <f t="shared" si="41"/>
        <v>0</v>
      </c>
      <c r="J694" s="11">
        <f t="shared" si="43"/>
        <v>0</v>
      </c>
    </row>
    <row r="695" spans="1:10" x14ac:dyDescent="0.3">
      <c r="A695" s="7">
        <v>44873.49999999944</v>
      </c>
      <c r="B695" s="8" t="s">
        <v>9</v>
      </c>
      <c r="C695" s="8">
        <v>0</v>
      </c>
      <c r="D695" t="str">
        <f t="shared" si="42"/>
        <v>Tuesday</v>
      </c>
      <c r="E695">
        <v>46</v>
      </c>
      <c r="F695" s="11">
        <f>VLOOKUP(B695,'ITEMS LIST'!$B$2:$F$19,4,FALSE)</f>
        <v>219</v>
      </c>
      <c r="G695" s="11">
        <f>VLOOKUP(B695,'ITEMS LIST'!$B$2:$F$19,5,FALSE)</f>
        <v>132</v>
      </c>
      <c r="H695" s="11">
        <f t="shared" si="40"/>
        <v>0</v>
      </c>
      <c r="I695" s="11">
        <f t="shared" si="41"/>
        <v>0</v>
      </c>
      <c r="J695" s="11">
        <f t="shared" si="43"/>
        <v>0</v>
      </c>
    </row>
    <row r="696" spans="1:10" x14ac:dyDescent="0.3">
      <c r="A696" s="7">
        <v>44873.555555554994</v>
      </c>
      <c r="B696" s="8" t="s">
        <v>10</v>
      </c>
      <c r="C696" s="8">
        <v>0</v>
      </c>
      <c r="D696" t="str">
        <f t="shared" si="42"/>
        <v>Tuesday</v>
      </c>
      <c r="E696">
        <v>46</v>
      </c>
      <c r="F696" s="11">
        <f>VLOOKUP(B696,'ITEMS LIST'!$B$2:$F$19,4,FALSE)</f>
        <v>1469</v>
      </c>
      <c r="G696" s="11">
        <f>VLOOKUP(B696,'ITEMS LIST'!$B$2:$F$19,5,FALSE)</f>
        <v>1184</v>
      </c>
      <c r="H696" s="11">
        <f t="shared" si="40"/>
        <v>0</v>
      </c>
      <c r="I696" s="11">
        <f t="shared" si="41"/>
        <v>0</v>
      </c>
      <c r="J696" s="11">
        <f t="shared" si="43"/>
        <v>0</v>
      </c>
    </row>
    <row r="697" spans="1:10" x14ac:dyDescent="0.3">
      <c r="A697" s="7">
        <v>44873.611111110549</v>
      </c>
      <c r="B697" s="8" t="s">
        <v>11</v>
      </c>
      <c r="C697" s="8">
        <v>0</v>
      </c>
      <c r="D697" t="str">
        <f t="shared" si="42"/>
        <v>Tuesday</v>
      </c>
      <c r="E697">
        <v>46</v>
      </c>
      <c r="F697" s="11">
        <f>VLOOKUP(B697,'ITEMS LIST'!$B$2:$F$19,4,FALSE)</f>
        <v>89</v>
      </c>
      <c r="G697" s="11">
        <f>VLOOKUP(B697,'ITEMS LIST'!$B$2:$F$19,5,FALSE)</f>
        <v>59</v>
      </c>
      <c r="H697" s="11">
        <f t="shared" si="40"/>
        <v>0</v>
      </c>
      <c r="I697" s="11">
        <f t="shared" si="41"/>
        <v>0</v>
      </c>
      <c r="J697" s="11">
        <f t="shared" si="43"/>
        <v>0</v>
      </c>
    </row>
    <row r="698" spans="1:10" x14ac:dyDescent="0.3">
      <c r="A698" s="7">
        <v>44873.666666666104</v>
      </c>
      <c r="B698" s="8" t="s">
        <v>12</v>
      </c>
      <c r="C698" s="8">
        <v>0</v>
      </c>
      <c r="D698" t="str">
        <f t="shared" si="42"/>
        <v>Tuesday</v>
      </c>
      <c r="E698">
        <v>46</v>
      </c>
      <c r="F698" s="11">
        <f>VLOOKUP(B698,'ITEMS LIST'!$B$2:$F$19,4,FALSE)</f>
        <v>310</v>
      </c>
      <c r="G698" s="11">
        <f>VLOOKUP(B698,'ITEMS LIST'!$B$2:$F$19,5,FALSE)</f>
        <v>206</v>
      </c>
      <c r="H698" s="11">
        <f t="shared" si="40"/>
        <v>0</v>
      </c>
      <c r="I698" s="11">
        <f t="shared" si="41"/>
        <v>0</v>
      </c>
      <c r="J698" s="11">
        <f t="shared" si="43"/>
        <v>0</v>
      </c>
    </row>
    <row r="699" spans="1:10" x14ac:dyDescent="0.3">
      <c r="A699" s="7">
        <v>44873.722222221659</v>
      </c>
      <c r="B699" s="8" t="s">
        <v>13</v>
      </c>
      <c r="C699" s="8">
        <v>0</v>
      </c>
      <c r="D699" t="str">
        <f t="shared" si="42"/>
        <v>Tuesday</v>
      </c>
      <c r="E699">
        <v>46</v>
      </c>
      <c r="F699" s="11">
        <f>VLOOKUP(B699,'ITEMS LIST'!$B$2:$F$19,4,FALSE)</f>
        <v>540</v>
      </c>
      <c r="G699" s="11">
        <f>VLOOKUP(B699,'ITEMS LIST'!$B$2:$F$19,5,FALSE)</f>
        <v>397</v>
      </c>
      <c r="H699" s="11">
        <f t="shared" si="40"/>
        <v>0</v>
      </c>
      <c r="I699" s="11">
        <f t="shared" si="41"/>
        <v>0</v>
      </c>
      <c r="J699" s="11">
        <f t="shared" si="43"/>
        <v>0</v>
      </c>
    </row>
    <row r="700" spans="1:10" x14ac:dyDescent="0.3">
      <c r="A700" s="7">
        <v>44873.777777777213</v>
      </c>
      <c r="B700" s="8" t="s">
        <v>14</v>
      </c>
      <c r="C700" s="8">
        <v>0</v>
      </c>
      <c r="D700" t="str">
        <f t="shared" si="42"/>
        <v>Tuesday</v>
      </c>
      <c r="E700">
        <v>46</v>
      </c>
      <c r="F700" s="11">
        <f>VLOOKUP(B700,'ITEMS LIST'!$B$2:$F$19,4,FALSE)</f>
        <v>360</v>
      </c>
      <c r="G700" s="11">
        <f>VLOOKUP(B700,'ITEMS LIST'!$B$2:$F$19,5,FALSE)</f>
        <v>248</v>
      </c>
      <c r="H700" s="11">
        <f t="shared" si="40"/>
        <v>0</v>
      </c>
      <c r="I700" s="11">
        <f t="shared" si="41"/>
        <v>0</v>
      </c>
      <c r="J700" s="11">
        <f t="shared" si="43"/>
        <v>0</v>
      </c>
    </row>
    <row r="701" spans="1:10" x14ac:dyDescent="0.3">
      <c r="A701" s="7">
        <v>44873.833333332768</v>
      </c>
      <c r="B701" s="8" t="s">
        <v>15</v>
      </c>
      <c r="C701" s="8">
        <v>0</v>
      </c>
      <c r="D701" t="str">
        <f t="shared" si="42"/>
        <v>Tuesday</v>
      </c>
      <c r="E701">
        <v>46</v>
      </c>
      <c r="F701" s="11">
        <f>VLOOKUP(B701,'ITEMS LIST'!$B$2:$F$19,4,FALSE)</f>
        <v>250</v>
      </c>
      <c r="G701" s="11">
        <f>VLOOKUP(B701,'ITEMS LIST'!$B$2:$F$19,5,FALSE)</f>
        <v>190</v>
      </c>
      <c r="H701" s="11">
        <f t="shared" si="40"/>
        <v>0</v>
      </c>
      <c r="I701" s="11">
        <f t="shared" si="41"/>
        <v>0</v>
      </c>
      <c r="J701" s="11">
        <f t="shared" si="43"/>
        <v>0</v>
      </c>
    </row>
    <row r="702" spans="1:10" x14ac:dyDescent="0.3">
      <c r="A702" s="7">
        <v>44873.888888888323</v>
      </c>
      <c r="B702" s="8" t="s">
        <v>16</v>
      </c>
      <c r="C702" s="8">
        <v>0</v>
      </c>
      <c r="D702" t="str">
        <f t="shared" si="42"/>
        <v>Tuesday</v>
      </c>
      <c r="E702">
        <v>46</v>
      </c>
      <c r="F702" s="11">
        <f>VLOOKUP(B702,'ITEMS LIST'!$B$2:$F$19,4,FALSE)</f>
        <v>120</v>
      </c>
      <c r="G702" s="11">
        <f>VLOOKUP(B702,'ITEMS LIST'!$B$2:$F$19,5,FALSE)</f>
        <v>85</v>
      </c>
      <c r="H702" s="11">
        <f t="shared" si="40"/>
        <v>0</v>
      </c>
      <c r="I702" s="11">
        <f t="shared" si="41"/>
        <v>0</v>
      </c>
      <c r="J702" s="11">
        <f t="shared" si="43"/>
        <v>0</v>
      </c>
    </row>
    <row r="703" spans="1:10" x14ac:dyDescent="0.3">
      <c r="A703" s="7">
        <v>44873.944444443878</v>
      </c>
      <c r="B703" s="8" t="s">
        <v>17</v>
      </c>
      <c r="C703" s="8">
        <v>0</v>
      </c>
      <c r="D703" t="str">
        <f t="shared" si="42"/>
        <v>Tuesday</v>
      </c>
      <c r="E703">
        <v>46</v>
      </c>
      <c r="F703" s="11">
        <f>VLOOKUP(B703,'ITEMS LIST'!$B$2:$F$19,4,FALSE)</f>
        <v>80</v>
      </c>
      <c r="G703" s="11">
        <f>VLOOKUP(B703,'ITEMS LIST'!$B$2:$F$19,5,FALSE)</f>
        <v>55</v>
      </c>
      <c r="H703" s="11">
        <f t="shared" si="40"/>
        <v>0</v>
      </c>
      <c r="I703" s="11">
        <f t="shared" si="41"/>
        <v>0</v>
      </c>
      <c r="J703" s="11">
        <f t="shared" si="43"/>
        <v>0</v>
      </c>
    </row>
    <row r="704" spans="1:10" x14ac:dyDescent="0.3">
      <c r="A704" s="7">
        <v>44873.999999999432</v>
      </c>
      <c r="B704" s="8" t="s">
        <v>0</v>
      </c>
      <c r="C704" s="8">
        <v>0</v>
      </c>
      <c r="D704" t="str">
        <f t="shared" si="42"/>
        <v>Wednesday</v>
      </c>
      <c r="E704">
        <v>46</v>
      </c>
      <c r="F704" s="11">
        <f>VLOOKUP(B704,'ITEMS LIST'!$B$2:$F$19,4,FALSE)</f>
        <v>549</v>
      </c>
      <c r="G704" s="11">
        <f>VLOOKUP(B704,'ITEMS LIST'!$B$2:$F$19,5,FALSE)</f>
        <v>365</v>
      </c>
      <c r="H704" s="11">
        <f t="shared" si="40"/>
        <v>0</v>
      </c>
      <c r="I704" s="11">
        <f t="shared" si="41"/>
        <v>0</v>
      </c>
      <c r="J704" s="11">
        <f t="shared" si="43"/>
        <v>0</v>
      </c>
    </row>
    <row r="705" spans="1:10" x14ac:dyDescent="0.3">
      <c r="A705" s="7">
        <v>44874.055555554987</v>
      </c>
      <c r="B705" s="8" t="s">
        <v>1</v>
      </c>
      <c r="C705" s="8">
        <v>0</v>
      </c>
      <c r="D705" t="str">
        <f t="shared" si="42"/>
        <v>Wednesday</v>
      </c>
      <c r="E705">
        <v>46</v>
      </c>
      <c r="F705" s="11">
        <f>VLOOKUP(B705,'ITEMS LIST'!$B$2:$F$19,4,FALSE)</f>
        <v>699</v>
      </c>
      <c r="G705" s="11">
        <f>VLOOKUP(B705,'ITEMS LIST'!$B$2:$F$19,5,FALSE)</f>
        <v>550</v>
      </c>
      <c r="H705" s="11">
        <f t="shared" si="40"/>
        <v>0</v>
      </c>
      <c r="I705" s="11">
        <f t="shared" si="41"/>
        <v>0</v>
      </c>
      <c r="J705" s="11">
        <f t="shared" si="43"/>
        <v>0</v>
      </c>
    </row>
    <row r="706" spans="1:10" x14ac:dyDescent="0.3">
      <c r="A706" s="7">
        <v>44874.111111110542</v>
      </c>
      <c r="B706" s="8" t="s">
        <v>2</v>
      </c>
      <c r="C706" s="8">
        <v>0</v>
      </c>
      <c r="D706" t="str">
        <f t="shared" si="42"/>
        <v>Wednesday</v>
      </c>
      <c r="E706">
        <v>46</v>
      </c>
      <c r="F706" s="11">
        <f>VLOOKUP(B706,'ITEMS LIST'!$B$2:$F$19,4,FALSE)</f>
        <v>739</v>
      </c>
      <c r="G706" s="11">
        <f>VLOOKUP(B706,'ITEMS LIST'!$B$2:$F$19,5,FALSE)</f>
        <v>620</v>
      </c>
      <c r="H706" s="11">
        <f t="shared" ref="H706:H769" si="44">C706*F706</f>
        <v>0</v>
      </c>
      <c r="I706" s="11">
        <f t="shared" ref="I706:I769" si="45">C706*G706</f>
        <v>0</v>
      </c>
      <c r="J706" s="11">
        <f t="shared" si="43"/>
        <v>0</v>
      </c>
    </row>
    <row r="707" spans="1:10" x14ac:dyDescent="0.3">
      <c r="A707" s="7">
        <v>44874.166666666097</v>
      </c>
      <c r="B707" s="8" t="s">
        <v>3</v>
      </c>
      <c r="C707" s="8">
        <v>0</v>
      </c>
      <c r="D707" t="str">
        <f t="shared" ref="D707:D770" si="46">TEXT(A707,"dddd")</f>
        <v>Wednesday</v>
      </c>
      <c r="E707">
        <v>46</v>
      </c>
      <c r="F707" s="11">
        <f>VLOOKUP(B707,'ITEMS LIST'!$B$2:$F$19,4,FALSE)</f>
        <v>899</v>
      </c>
      <c r="G707" s="11">
        <f>VLOOKUP(B707,'ITEMS LIST'!$B$2:$F$19,5,FALSE)</f>
        <v>714</v>
      </c>
      <c r="H707" s="11">
        <f t="shared" si="44"/>
        <v>0</v>
      </c>
      <c r="I707" s="11">
        <f t="shared" si="45"/>
        <v>0</v>
      </c>
      <c r="J707" s="11">
        <f t="shared" ref="J707:J770" si="47">H707-I707</f>
        <v>0</v>
      </c>
    </row>
    <row r="708" spans="1:10" x14ac:dyDescent="0.3">
      <c r="A708" s="7">
        <v>44874.222222221651</v>
      </c>
      <c r="B708" s="8" t="s">
        <v>4</v>
      </c>
      <c r="C708" s="8">
        <v>0</v>
      </c>
      <c r="D708" t="str">
        <f t="shared" si="46"/>
        <v>Wednesday</v>
      </c>
      <c r="E708">
        <v>46</v>
      </c>
      <c r="F708" s="11">
        <f>VLOOKUP(B708,'ITEMS LIST'!$B$2:$F$19,4,FALSE)</f>
        <v>1379</v>
      </c>
      <c r="G708" s="11">
        <f>VLOOKUP(B708,'ITEMS LIST'!$B$2:$F$19,5,FALSE)</f>
        <v>890</v>
      </c>
      <c r="H708" s="11">
        <f t="shared" si="44"/>
        <v>0</v>
      </c>
      <c r="I708" s="11">
        <f t="shared" si="45"/>
        <v>0</v>
      </c>
      <c r="J708" s="11">
        <f t="shared" si="47"/>
        <v>0</v>
      </c>
    </row>
    <row r="709" spans="1:10" x14ac:dyDescent="0.3">
      <c r="A709" s="7">
        <v>44874.277777777206</v>
      </c>
      <c r="B709" s="8" t="s">
        <v>5</v>
      </c>
      <c r="C709" s="8">
        <v>0</v>
      </c>
      <c r="D709" t="str">
        <f t="shared" si="46"/>
        <v>Wednesday</v>
      </c>
      <c r="E709">
        <v>46</v>
      </c>
      <c r="F709" s="11">
        <f>VLOOKUP(B709,'ITEMS LIST'!$B$2:$F$19,4,FALSE)</f>
        <v>849</v>
      </c>
      <c r="G709" s="11">
        <f>VLOOKUP(B709,'ITEMS LIST'!$B$2:$F$19,5,FALSE)</f>
        <v>530</v>
      </c>
      <c r="H709" s="11">
        <f t="shared" si="44"/>
        <v>0</v>
      </c>
      <c r="I709" s="11">
        <f t="shared" si="45"/>
        <v>0</v>
      </c>
      <c r="J709" s="11">
        <f t="shared" si="47"/>
        <v>0</v>
      </c>
    </row>
    <row r="710" spans="1:10" x14ac:dyDescent="0.3">
      <c r="A710" s="7">
        <v>44874.333333332761</v>
      </c>
      <c r="B710" s="8" t="s">
        <v>6</v>
      </c>
      <c r="C710" s="8">
        <v>0</v>
      </c>
      <c r="D710" t="str">
        <f t="shared" si="46"/>
        <v>Wednesday</v>
      </c>
      <c r="E710">
        <v>46</v>
      </c>
      <c r="F710" s="11">
        <f>VLOOKUP(B710,'ITEMS LIST'!$B$2:$F$19,4,FALSE)</f>
        <v>1000</v>
      </c>
      <c r="G710" s="11">
        <f>VLOOKUP(B710,'ITEMS LIST'!$B$2:$F$19,5,FALSE)</f>
        <v>768</v>
      </c>
      <c r="H710" s="11">
        <f t="shared" si="44"/>
        <v>0</v>
      </c>
      <c r="I710" s="11">
        <f t="shared" si="45"/>
        <v>0</v>
      </c>
      <c r="J710" s="11">
        <f t="shared" si="47"/>
        <v>0</v>
      </c>
    </row>
    <row r="711" spans="1:10" x14ac:dyDescent="0.3">
      <c r="A711" s="7">
        <v>44874.388888888316</v>
      </c>
      <c r="B711" s="8" t="s">
        <v>7</v>
      </c>
      <c r="C711" s="8">
        <v>0</v>
      </c>
      <c r="D711" t="str">
        <f t="shared" si="46"/>
        <v>Wednesday</v>
      </c>
      <c r="E711">
        <v>46</v>
      </c>
      <c r="F711" s="11">
        <f>VLOOKUP(B711,'ITEMS LIST'!$B$2:$F$19,4,FALSE)</f>
        <v>680</v>
      </c>
      <c r="G711" s="11">
        <f>VLOOKUP(B711,'ITEMS LIST'!$B$2:$F$19,5,FALSE)</f>
        <v>570</v>
      </c>
      <c r="H711" s="11">
        <f t="shared" si="44"/>
        <v>0</v>
      </c>
      <c r="I711" s="11">
        <f t="shared" si="45"/>
        <v>0</v>
      </c>
      <c r="J711" s="11">
        <f t="shared" si="47"/>
        <v>0</v>
      </c>
    </row>
    <row r="712" spans="1:10" x14ac:dyDescent="0.3">
      <c r="A712" s="7">
        <v>44874.44444444387</v>
      </c>
      <c r="B712" s="8" t="s">
        <v>8</v>
      </c>
      <c r="C712" s="8">
        <v>0</v>
      </c>
      <c r="D712" t="str">
        <f t="shared" si="46"/>
        <v>Wednesday</v>
      </c>
      <c r="E712">
        <v>46</v>
      </c>
      <c r="F712" s="11">
        <f>VLOOKUP(B712,'ITEMS LIST'!$B$2:$F$19,4,FALSE)</f>
        <v>199</v>
      </c>
      <c r="G712" s="11">
        <f>VLOOKUP(B712,'ITEMS LIST'!$B$2:$F$19,5,FALSE)</f>
        <v>140</v>
      </c>
      <c r="H712" s="11">
        <f t="shared" si="44"/>
        <v>0</v>
      </c>
      <c r="I712" s="11">
        <f t="shared" si="45"/>
        <v>0</v>
      </c>
      <c r="J712" s="11">
        <f t="shared" si="47"/>
        <v>0</v>
      </c>
    </row>
    <row r="713" spans="1:10" x14ac:dyDescent="0.3">
      <c r="A713" s="7">
        <v>44874.499999999425</v>
      </c>
      <c r="B713" s="8" t="s">
        <v>9</v>
      </c>
      <c r="C713" s="8">
        <v>0</v>
      </c>
      <c r="D713" t="str">
        <f t="shared" si="46"/>
        <v>Wednesday</v>
      </c>
      <c r="E713">
        <v>46</v>
      </c>
      <c r="F713" s="11">
        <f>VLOOKUP(B713,'ITEMS LIST'!$B$2:$F$19,4,FALSE)</f>
        <v>219</v>
      </c>
      <c r="G713" s="11">
        <f>VLOOKUP(B713,'ITEMS LIST'!$B$2:$F$19,5,FALSE)</f>
        <v>132</v>
      </c>
      <c r="H713" s="11">
        <f t="shared" si="44"/>
        <v>0</v>
      </c>
      <c r="I713" s="11">
        <f t="shared" si="45"/>
        <v>0</v>
      </c>
      <c r="J713" s="11">
        <f t="shared" si="47"/>
        <v>0</v>
      </c>
    </row>
    <row r="714" spans="1:10" x14ac:dyDescent="0.3">
      <c r="A714" s="7">
        <v>44874.55555555498</v>
      </c>
      <c r="B714" s="8" t="s">
        <v>10</v>
      </c>
      <c r="C714" s="8">
        <v>0</v>
      </c>
      <c r="D714" t="str">
        <f t="shared" si="46"/>
        <v>Wednesday</v>
      </c>
      <c r="E714">
        <v>46</v>
      </c>
      <c r="F714" s="11">
        <f>VLOOKUP(B714,'ITEMS LIST'!$B$2:$F$19,4,FALSE)</f>
        <v>1469</v>
      </c>
      <c r="G714" s="11">
        <f>VLOOKUP(B714,'ITEMS LIST'!$B$2:$F$19,5,FALSE)</f>
        <v>1184</v>
      </c>
      <c r="H714" s="11">
        <f t="shared" si="44"/>
        <v>0</v>
      </c>
      <c r="I714" s="11">
        <f t="shared" si="45"/>
        <v>0</v>
      </c>
      <c r="J714" s="11">
        <f t="shared" si="47"/>
        <v>0</v>
      </c>
    </row>
    <row r="715" spans="1:10" x14ac:dyDescent="0.3">
      <c r="A715" s="7">
        <v>44874.611111110535</v>
      </c>
      <c r="B715" s="8" t="s">
        <v>11</v>
      </c>
      <c r="C715" s="8">
        <v>0</v>
      </c>
      <c r="D715" t="str">
        <f t="shared" si="46"/>
        <v>Wednesday</v>
      </c>
      <c r="E715">
        <v>46</v>
      </c>
      <c r="F715" s="11">
        <f>VLOOKUP(B715,'ITEMS LIST'!$B$2:$F$19,4,FALSE)</f>
        <v>89</v>
      </c>
      <c r="G715" s="11">
        <f>VLOOKUP(B715,'ITEMS LIST'!$B$2:$F$19,5,FALSE)</f>
        <v>59</v>
      </c>
      <c r="H715" s="11">
        <f t="shared" si="44"/>
        <v>0</v>
      </c>
      <c r="I715" s="11">
        <f t="shared" si="45"/>
        <v>0</v>
      </c>
      <c r="J715" s="11">
        <f t="shared" si="47"/>
        <v>0</v>
      </c>
    </row>
    <row r="716" spans="1:10" x14ac:dyDescent="0.3">
      <c r="A716" s="7">
        <v>44874.666666666089</v>
      </c>
      <c r="B716" s="8" t="s">
        <v>12</v>
      </c>
      <c r="C716" s="8">
        <v>0</v>
      </c>
      <c r="D716" t="str">
        <f t="shared" si="46"/>
        <v>Wednesday</v>
      </c>
      <c r="E716">
        <v>46</v>
      </c>
      <c r="F716" s="11">
        <f>VLOOKUP(B716,'ITEMS LIST'!$B$2:$F$19,4,FALSE)</f>
        <v>310</v>
      </c>
      <c r="G716" s="11">
        <f>VLOOKUP(B716,'ITEMS LIST'!$B$2:$F$19,5,FALSE)</f>
        <v>206</v>
      </c>
      <c r="H716" s="11">
        <f t="shared" si="44"/>
        <v>0</v>
      </c>
      <c r="I716" s="11">
        <f t="shared" si="45"/>
        <v>0</v>
      </c>
      <c r="J716" s="11">
        <f t="shared" si="47"/>
        <v>0</v>
      </c>
    </row>
    <row r="717" spans="1:10" x14ac:dyDescent="0.3">
      <c r="A717" s="7">
        <v>44874.722222221644</v>
      </c>
      <c r="B717" s="8" t="s">
        <v>13</v>
      </c>
      <c r="C717" s="8">
        <v>0</v>
      </c>
      <c r="D717" t="str">
        <f t="shared" si="46"/>
        <v>Wednesday</v>
      </c>
      <c r="E717">
        <v>46</v>
      </c>
      <c r="F717" s="11">
        <f>VLOOKUP(B717,'ITEMS LIST'!$B$2:$F$19,4,FALSE)</f>
        <v>540</v>
      </c>
      <c r="G717" s="11">
        <f>VLOOKUP(B717,'ITEMS LIST'!$B$2:$F$19,5,FALSE)</f>
        <v>397</v>
      </c>
      <c r="H717" s="11">
        <f t="shared" si="44"/>
        <v>0</v>
      </c>
      <c r="I717" s="11">
        <f t="shared" si="45"/>
        <v>0</v>
      </c>
      <c r="J717" s="11">
        <f t="shared" si="47"/>
        <v>0</v>
      </c>
    </row>
    <row r="718" spans="1:10" x14ac:dyDescent="0.3">
      <c r="A718" s="7">
        <v>44874.777777777199</v>
      </c>
      <c r="B718" s="8" t="s">
        <v>14</v>
      </c>
      <c r="C718" s="8">
        <v>0</v>
      </c>
      <c r="D718" t="str">
        <f t="shared" si="46"/>
        <v>Wednesday</v>
      </c>
      <c r="E718">
        <v>46</v>
      </c>
      <c r="F718" s="11">
        <f>VLOOKUP(B718,'ITEMS LIST'!$B$2:$F$19,4,FALSE)</f>
        <v>360</v>
      </c>
      <c r="G718" s="11">
        <f>VLOOKUP(B718,'ITEMS LIST'!$B$2:$F$19,5,FALSE)</f>
        <v>248</v>
      </c>
      <c r="H718" s="11">
        <f t="shared" si="44"/>
        <v>0</v>
      </c>
      <c r="I718" s="11">
        <f t="shared" si="45"/>
        <v>0</v>
      </c>
      <c r="J718" s="11">
        <f t="shared" si="47"/>
        <v>0</v>
      </c>
    </row>
    <row r="719" spans="1:10" x14ac:dyDescent="0.3">
      <c r="A719" s="7">
        <v>44874.833333332754</v>
      </c>
      <c r="B719" s="8" t="s">
        <v>15</v>
      </c>
      <c r="C719" s="8">
        <v>0</v>
      </c>
      <c r="D719" t="str">
        <f t="shared" si="46"/>
        <v>Wednesday</v>
      </c>
      <c r="E719">
        <v>46</v>
      </c>
      <c r="F719" s="11">
        <f>VLOOKUP(B719,'ITEMS LIST'!$B$2:$F$19,4,FALSE)</f>
        <v>250</v>
      </c>
      <c r="G719" s="11">
        <f>VLOOKUP(B719,'ITEMS LIST'!$B$2:$F$19,5,FALSE)</f>
        <v>190</v>
      </c>
      <c r="H719" s="11">
        <f t="shared" si="44"/>
        <v>0</v>
      </c>
      <c r="I719" s="11">
        <f t="shared" si="45"/>
        <v>0</v>
      </c>
      <c r="J719" s="11">
        <f t="shared" si="47"/>
        <v>0</v>
      </c>
    </row>
    <row r="720" spans="1:10" x14ac:dyDescent="0.3">
      <c r="A720" s="7">
        <v>44874.888888888308</v>
      </c>
      <c r="B720" s="8" t="s">
        <v>16</v>
      </c>
      <c r="C720" s="8">
        <v>0</v>
      </c>
      <c r="D720" t="str">
        <f t="shared" si="46"/>
        <v>Wednesday</v>
      </c>
      <c r="E720">
        <v>46</v>
      </c>
      <c r="F720" s="11">
        <f>VLOOKUP(B720,'ITEMS LIST'!$B$2:$F$19,4,FALSE)</f>
        <v>120</v>
      </c>
      <c r="G720" s="11">
        <f>VLOOKUP(B720,'ITEMS LIST'!$B$2:$F$19,5,FALSE)</f>
        <v>85</v>
      </c>
      <c r="H720" s="11">
        <f t="shared" si="44"/>
        <v>0</v>
      </c>
      <c r="I720" s="11">
        <f t="shared" si="45"/>
        <v>0</v>
      </c>
      <c r="J720" s="11">
        <f t="shared" si="47"/>
        <v>0</v>
      </c>
    </row>
    <row r="721" spans="1:10" x14ac:dyDescent="0.3">
      <c r="A721" s="7">
        <v>44874.944444443863</v>
      </c>
      <c r="B721" s="8" t="s">
        <v>17</v>
      </c>
      <c r="C721" s="8">
        <v>0</v>
      </c>
      <c r="D721" t="str">
        <f t="shared" si="46"/>
        <v>Wednesday</v>
      </c>
      <c r="E721">
        <v>46</v>
      </c>
      <c r="F721" s="11">
        <f>VLOOKUP(B721,'ITEMS LIST'!$B$2:$F$19,4,FALSE)</f>
        <v>80</v>
      </c>
      <c r="G721" s="11">
        <f>VLOOKUP(B721,'ITEMS LIST'!$B$2:$F$19,5,FALSE)</f>
        <v>55</v>
      </c>
      <c r="H721" s="11">
        <f t="shared" si="44"/>
        <v>0</v>
      </c>
      <c r="I721" s="11">
        <f t="shared" si="45"/>
        <v>0</v>
      </c>
      <c r="J721" s="11">
        <f t="shared" si="47"/>
        <v>0</v>
      </c>
    </row>
    <row r="722" spans="1:10" x14ac:dyDescent="0.3">
      <c r="A722" s="7">
        <v>44874.999999999418</v>
      </c>
      <c r="B722" s="8" t="s">
        <v>0</v>
      </c>
      <c r="C722" s="8">
        <v>0</v>
      </c>
      <c r="D722" t="str">
        <f t="shared" si="46"/>
        <v>Thursday</v>
      </c>
      <c r="E722">
        <v>46</v>
      </c>
      <c r="F722" s="11">
        <f>VLOOKUP(B722,'ITEMS LIST'!$B$2:$F$19,4,FALSE)</f>
        <v>549</v>
      </c>
      <c r="G722" s="11">
        <f>VLOOKUP(B722,'ITEMS LIST'!$B$2:$F$19,5,FALSE)</f>
        <v>365</v>
      </c>
      <c r="H722" s="11">
        <f t="shared" si="44"/>
        <v>0</v>
      </c>
      <c r="I722" s="11">
        <f t="shared" si="45"/>
        <v>0</v>
      </c>
      <c r="J722" s="11">
        <f t="shared" si="47"/>
        <v>0</v>
      </c>
    </row>
    <row r="723" spans="1:10" x14ac:dyDescent="0.3">
      <c r="A723" s="7">
        <v>44875.055555554973</v>
      </c>
      <c r="B723" s="8" t="s">
        <v>1</v>
      </c>
      <c r="C723" s="8">
        <v>0</v>
      </c>
      <c r="D723" t="str">
        <f t="shared" si="46"/>
        <v>Thursday</v>
      </c>
      <c r="E723">
        <v>46</v>
      </c>
      <c r="F723" s="11">
        <f>VLOOKUP(B723,'ITEMS LIST'!$B$2:$F$19,4,FALSE)</f>
        <v>699</v>
      </c>
      <c r="G723" s="11">
        <f>VLOOKUP(B723,'ITEMS LIST'!$B$2:$F$19,5,FALSE)</f>
        <v>550</v>
      </c>
      <c r="H723" s="11">
        <f t="shared" si="44"/>
        <v>0</v>
      </c>
      <c r="I723" s="11">
        <f t="shared" si="45"/>
        <v>0</v>
      </c>
      <c r="J723" s="11">
        <f t="shared" si="47"/>
        <v>0</v>
      </c>
    </row>
    <row r="724" spans="1:10" x14ac:dyDescent="0.3">
      <c r="A724" s="7">
        <v>44875.111111110527</v>
      </c>
      <c r="B724" s="8" t="s">
        <v>2</v>
      </c>
      <c r="C724" s="8">
        <v>0</v>
      </c>
      <c r="D724" t="str">
        <f t="shared" si="46"/>
        <v>Thursday</v>
      </c>
      <c r="E724">
        <v>46</v>
      </c>
      <c r="F724" s="11">
        <f>VLOOKUP(B724,'ITEMS LIST'!$B$2:$F$19,4,FALSE)</f>
        <v>739</v>
      </c>
      <c r="G724" s="11">
        <f>VLOOKUP(B724,'ITEMS LIST'!$B$2:$F$19,5,FALSE)</f>
        <v>620</v>
      </c>
      <c r="H724" s="11">
        <f t="shared" si="44"/>
        <v>0</v>
      </c>
      <c r="I724" s="11">
        <f t="shared" si="45"/>
        <v>0</v>
      </c>
      <c r="J724" s="11">
        <f t="shared" si="47"/>
        <v>0</v>
      </c>
    </row>
    <row r="725" spans="1:10" x14ac:dyDescent="0.3">
      <c r="A725" s="7">
        <v>44875.166666666082</v>
      </c>
      <c r="B725" s="8" t="s">
        <v>3</v>
      </c>
      <c r="C725" s="8">
        <v>0</v>
      </c>
      <c r="D725" t="str">
        <f t="shared" si="46"/>
        <v>Thursday</v>
      </c>
      <c r="E725">
        <v>46</v>
      </c>
      <c r="F725" s="11">
        <f>VLOOKUP(B725,'ITEMS LIST'!$B$2:$F$19,4,FALSE)</f>
        <v>899</v>
      </c>
      <c r="G725" s="11">
        <f>VLOOKUP(B725,'ITEMS LIST'!$B$2:$F$19,5,FALSE)</f>
        <v>714</v>
      </c>
      <c r="H725" s="11">
        <f t="shared" si="44"/>
        <v>0</v>
      </c>
      <c r="I725" s="11">
        <f t="shared" si="45"/>
        <v>0</v>
      </c>
      <c r="J725" s="11">
        <f t="shared" si="47"/>
        <v>0</v>
      </c>
    </row>
    <row r="726" spans="1:10" x14ac:dyDescent="0.3">
      <c r="A726" s="7">
        <v>44875.222222221637</v>
      </c>
      <c r="B726" s="8" t="s">
        <v>4</v>
      </c>
      <c r="C726" s="8">
        <v>0</v>
      </c>
      <c r="D726" t="str">
        <f t="shared" si="46"/>
        <v>Thursday</v>
      </c>
      <c r="E726">
        <v>46</v>
      </c>
      <c r="F726" s="11">
        <f>VLOOKUP(B726,'ITEMS LIST'!$B$2:$F$19,4,FALSE)</f>
        <v>1379</v>
      </c>
      <c r="G726" s="11">
        <f>VLOOKUP(B726,'ITEMS LIST'!$B$2:$F$19,5,FALSE)</f>
        <v>890</v>
      </c>
      <c r="H726" s="11">
        <f t="shared" si="44"/>
        <v>0</v>
      </c>
      <c r="I726" s="11">
        <f t="shared" si="45"/>
        <v>0</v>
      </c>
      <c r="J726" s="11">
        <f t="shared" si="47"/>
        <v>0</v>
      </c>
    </row>
    <row r="727" spans="1:10" x14ac:dyDescent="0.3">
      <c r="A727" s="7">
        <v>44875.277777777192</v>
      </c>
      <c r="B727" s="8" t="s">
        <v>5</v>
      </c>
      <c r="C727" s="8">
        <v>0</v>
      </c>
      <c r="D727" t="str">
        <f t="shared" si="46"/>
        <v>Thursday</v>
      </c>
      <c r="E727">
        <v>46</v>
      </c>
      <c r="F727" s="11">
        <f>VLOOKUP(B727,'ITEMS LIST'!$B$2:$F$19,4,FALSE)</f>
        <v>849</v>
      </c>
      <c r="G727" s="11">
        <f>VLOOKUP(B727,'ITEMS LIST'!$B$2:$F$19,5,FALSE)</f>
        <v>530</v>
      </c>
      <c r="H727" s="11">
        <f t="shared" si="44"/>
        <v>0</v>
      </c>
      <c r="I727" s="11">
        <f t="shared" si="45"/>
        <v>0</v>
      </c>
      <c r="J727" s="11">
        <f t="shared" si="47"/>
        <v>0</v>
      </c>
    </row>
    <row r="728" spans="1:10" x14ac:dyDescent="0.3">
      <c r="A728" s="7">
        <v>44875.333333332746</v>
      </c>
      <c r="B728" s="8" t="s">
        <v>6</v>
      </c>
      <c r="C728" s="8">
        <v>0</v>
      </c>
      <c r="D728" t="str">
        <f t="shared" si="46"/>
        <v>Thursday</v>
      </c>
      <c r="E728">
        <v>46</v>
      </c>
      <c r="F728" s="11">
        <f>VLOOKUP(B728,'ITEMS LIST'!$B$2:$F$19,4,FALSE)</f>
        <v>1000</v>
      </c>
      <c r="G728" s="11">
        <f>VLOOKUP(B728,'ITEMS LIST'!$B$2:$F$19,5,FALSE)</f>
        <v>768</v>
      </c>
      <c r="H728" s="11">
        <f t="shared" si="44"/>
        <v>0</v>
      </c>
      <c r="I728" s="11">
        <f t="shared" si="45"/>
        <v>0</v>
      </c>
      <c r="J728" s="11">
        <f t="shared" si="47"/>
        <v>0</v>
      </c>
    </row>
    <row r="729" spans="1:10" x14ac:dyDescent="0.3">
      <c r="A729" s="7">
        <v>44875.388888888301</v>
      </c>
      <c r="B729" s="8" t="s">
        <v>7</v>
      </c>
      <c r="C729" s="8">
        <v>0</v>
      </c>
      <c r="D729" t="str">
        <f t="shared" si="46"/>
        <v>Thursday</v>
      </c>
      <c r="E729">
        <v>46</v>
      </c>
      <c r="F729" s="11">
        <f>VLOOKUP(B729,'ITEMS LIST'!$B$2:$F$19,4,FALSE)</f>
        <v>680</v>
      </c>
      <c r="G729" s="11">
        <f>VLOOKUP(B729,'ITEMS LIST'!$B$2:$F$19,5,FALSE)</f>
        <v>570</v>
      </c>
      <c r="H729" s="11">
        <f t="shared" si="44"/>
        <v>0</v>
      </c>
      <c r="I729" s="11">
        <f t="shared" si="45"/>
        <v>0</v>
      </c>
      <c r="J729" s="11">
        <f t="shared" si="47"/>
        <v>0</v>
      </c>
    </row>
    <row r="730" spans="1:10" x14ac:dyDescent="0.3">
      <c r="A730" s="7">
        <v>44875.444444443856</v>
      </c>
      <c r="B730" s="8" t="s">
        <v>8</v>
      </c>
      <c r="C730" s="8">
        <v>0</v>
      </c>
      <c r="D730" t="str">
        <f t="shared" si="46"/>
        <v>Thursday</v>
      </c>
      <c r="E730">
        <v>46</v>
      </c>
      <c r="F730" s="11">
        <f>VLOOKUP(B730,'ITEMS LIST'!$B$2:$F$19,4,FALSE)</f>
        <v>199</v>
      </c>
      <c r="G730" s="11">
        <f>VLOOKUP(B730,'ITEMS LIST'!$B$2:$F$19,5,FALSE)</f>
        <v>140</v>
      </c>
      <c r="H730" s="11">
        <f t="shared" si="44"/>
        <v>0</v>
      </c>
      <c r="I730" s="11">
        <f t="shared" si="45"/>
        <v>0</v>
      </c>
      <c r="J730" s="11">
        <f t="shared" si="47"/>
        <v>0</v>
      </c>
    </row>
    <row r="731" spans="1:10" x14ac:dyDescent="0.3">
      <c r="A731" s="7">
        <v>44875.499999999411</v>
      </c>
      <c r="B731" s="8" t="s">
        <v>9</v>
      </c>
      <c r="C731" s="8">
        <v>0</v>
      </c>
      <c r="D731" t="str">
        <f t="shared" si="46"/>
        <v>Thursday</v>
      </c>
      <c r="E731">
        <v>46</v>
      </c>
      <c r="F731" s="11">
        <f>VLOOKUP(B731,'ITEMS LIST'!$B$2:$F$19,4,FALSE)</f>
        <v>219</v>
      </c>
      <c r="G731" s="11">
        <f>VLOOKUP(B731,'ITEMS LIST'!$B$2:$F$19,5,FALSE)</f>
        <v>132</v>
      </c>
      <c r="H731" s="11">
        <f t="shared" si="44"/>
        <v>0</v>
      </c>
      <c r="I731" s="11">
        <f t="shared" si="45"/>
        <v>0</v>
      </c>
      <c r="J731" s="11">
        <f t="shared" si="47"/>
        <v>0</v>
      </c>
    </row>
    <row r="732" spans="1:10" x14ac:dyDescent="0.3">
      <c r="A732" s="7">
        <v>44875.555555554965</v>
      </c>
      <c r="B732" s="8" t="s">
        <v>10</v>
      </c>
      <c r="C732" s="8">
        <v>0</v>
      </c>
      <c r="D732" t="str">
        <f t="shared" si="46"/>
        <v>Thursday</v>
      </c>
      <c r="E732">
        <v>46</v>
      </c>
      <c r="F732" s="11">
        <f>VLOOKUP(B732,'ITEMS LIST'!$B$2:$F$19,4,FALSE)</f>
        <v>1469</v>
      </c>
      <c r="G732" s="11">
        <f>VLOOKUP(B732,'ITEMS LIST'!$B$2:$F$19,5,FALSE)</f>
        <v>1184</v>
      </c>
      <c r="H732" s="11">
        <f t="shared" si="44"/>
        <v>0</v>
      </c>
      <c r="I732" s="11">
        <f t="shared" si="45"/>
        <v>0</v>
      </c>
      <c r="J732" s="11">
        <f t="shared" si="47"/>
        <v>0</v>
      </c>
    </row>
    <row r="733" spans="1:10" x14ac:dyDescent="0.3">
      <c r="A733" s="7">
        <v>44875.61111111052</v>
      </c>
      <c r="B733" s="8" t="s">
        <v>11</v>
      </c>
      <c r="C733" s="8">
        <v>0</v>
      </c>
      <c r="D733" t="str">
        <f t="shared" si="46"/>
        <v>Thursday</v>
      </c>
      <c r="E733">
        <v>46</v>
      </c>
      <c r="F733" s="11">
        <f>VLOOKUP(B733,'ITEMS LIST'!$B$2:$F$19,4,FALSE)</f>
        <v>89</v>
      </c>
      <c r="G733" s="11">
        <f>VLOOKUP(B733,'ITEMS LIST'!$B$2:$F$19,5,FALSE)</f>
        <v>59</v>
      </c>
      <c r="H733" s="11">
        <f t="shared" si="44"/>
        <v>0</v>
      </c>
      <c r="I733" s="11">
        <f t="shared" si="45"/>
        <v>0</v>
      </c>
      <c r="J733" s="11">
        <f t="shared" si="47"/>
        <v>0</v>
      </c>
    </row>
    <row r="734" spans="1:10" x14ac:dyDescent="0.3">
      <c r="A734" s="7">
        <v>44875.666666666075</v>
      </c>
      <c r="B734" s="8" t="s">
        <v>12</v>
      </c>
      <c r="C734" s="8">
        <v>0</v>
      </c>
      <c r="D734" t="str">
        <f t="shared" si="46"/>
        <v>Thursday</v>
      </c>
      <c r="E734">
        <v>46</v>
      </c>
      <c r="F734" s="11">
        <f>VLOOKUP(B734,'ITEMS LIST'!$B$2:$F$19,4,FALSE)</f>
        <v>310</v>
      </c>
      <c r="G734" s="11">
        <f>VLOOKUP(B734,'ITEMS LIST'!$B$2:$F$19,5,FALSE)</f>
        <v>206</v>
      </c>
      <c r="H734" s="11">
        <f t="shared" si="44"/>
        <v>0</v>
      </c>
      <c r="I734" s="11">
        <f t="shared" si="45"/>
        <v>0</v>
      </c>
      <c r="J734" s="11">
        <f t="shared" si="47"/>
        <v>0</v>
      </c>
    </row>
    <row r="735" spans="1:10" x14ac:dyDescent="0.3">
      <c r="A735" s="7">
        <v>44875.72222222163</v>
      </c>
      <c r="B735" s="8" t="s">
        <v>13</v>
      </c>
      <c r="C735" s="8">
        <v>0</v>
      </c>
      <c r="D735" t="str">
        <f t="shared" si="46"/>
        <v>Thursday</v>
      </c>
      <c r="E735">
        <v>46</v>
      </c>
      <c r="F735" s="11">
        <f>VLOOKUP(B735,'ITEMS LIST'!$B$2:$F$19,4,FALSE)</f>
        <v>540</v>
      </c>
      <c r="G735" s="11">
        <f>VLOOKUP(B735,'ITEMS LIST'!$B$2:$F$19,5,FALSE)</f>
        <v>397</v>
      </c>
      <c r="H735" s="11">
        <f t="shared" si="44"/>
        <v>0</v>
      </c>
      <c r="I735" s="11">
        <f t="shared" si="45"/>
        <v>0</v>
      </c>
      <c r="J735" s="11">
        <f t="shared" si="47"/>
        <v>0</v>
      </c>
    </row>
    <row r="736" spans="1:10" x14ac:dyDescent="0.3">
      <c r="A736" s="7">
        <v>44875.777777777184</v>
      </c>
      <c r="B736" s="8" t="s">
        <v>14</v>
      </c>
      <c r="C736" s="8">
        <v>0</v>
      </c>
      <c r="D736" t="str">
        <f t="shared" si="46"/>
        <v>Thursday</v>
      </c>
      <c r="E736">
        <v>46</v>
      </c>
      <c r="F736" s="11">
        <f>VLOOKUP(B736,'ITEMS LIST'!$B$2:$F$19,4,FALSE)</f>
        <v>360</v>
      </c>
      <c r="G736" s="11">
        <f>VLOOKUP(B736,'ITEMS LIST'!$B$2:$F$19,5,FALSE)</f>
        <v>248</v>
      </c>
      <c r="H736" s="11">
        <f t="shared" si="44"/>
        <v>0</v>
      </c>
      <c r="I736" s="11">
        <f t="shared" si="45"/>
        <v>0</v>
      </c>
      <c r="J736" s="11">
        <f t="shared" si="47"/>
        <v>0</v>
      </c>
    </row>
    <row r="737" spans="1:10" x14ac:dyDescent="0.3">
      <c r="A737" s="7">
        <v>44875.833333332739</v>
      </c>
      <c r="B737" s="8" t="s">
        <v>15</v>
      </c>
      <c r="C737" s="8">
        <v>0</v>
      </c>
      <c r="D737" t="str">
        <f t="shared" si="46"/>
        <v>Thursday</v>
      </c>
      <c r="E737">
        <v>46</v>
      </c>
      <c r="F737" s="11">
        <f>VLOOKUP(B737,'ITEMS LIST'!$B$2:$F$19,4,FALSE)</f>
        <v>250</v>
      </c>
      <c r="G737" s="11">
        <f>VLOOKUP(B737,'ITEMS LIST'!$B$2:$F$19,5,FALSE)</f>
        <v>190</v>
      </c>
      <c r="H737" s="11">
        <f t="shared" si="44"/>
        <v>0</v>
      </c>
      <c r="I737" s="11">
        <f t="shared" si="45"/>
        <v>0</v>
      </c>
      <c r="J737" s="11">
        <f t="shared" si="47"/>
        <v>0</v>
      </c>
    </row>
    <row r="738" spans="1:10" x14ac:dyDescent="0.3">
      <c r="A738" s="7">
        <v>44875.888888888294</v>
      </c>
      <c r="B738" s="8" t="s">
        <v>16</v>
      </c>
      <c r="C738" s="8">
        <v>0</v>
      </c>
      <c r="D738" t="str">
        <f t="shared" si="46"/>
        <v>Thursday</v>
      </c>
      <c r="E738">
        <v>46</v>
      </c>
      <c r="F738" s="11">
        <f>VLOOKUP(B738,'ITEMS LIST'!$B$2:$F$19,4,FALSE)</f>
        <v>120</v>
      </c>
      <c r="G738" s="11">
        <f>VLOOKUP(B738,'ITEMS LIST'!$B$2:$F$19,5,FALSE)</f>
        <v>85</v>
      </c>
      <c r="H738" s="11">
        <f t="shared" si="44"/>
        <v>0</v>
      </c>
      <c r="I738" s="11">
        <f t="shared" si="45"/>
        <v>0</v>
      </c>
      <c r="J738" s="11">
        <f t="shared" si="47"/>
        <v>0</v>
      </c>
    </row>
    <row r="739" spans="1:10" x14ac:dyDescent="0.3">
      <c r="A739" s="7">
        <v>44875.944444443849</v>
      </c>
      <c r="B739" s="8" t="s">
        <v>17</v>
      </c>
      <c r="C739" s="8">
        <v>0</v>
      </c>
      <c r="D739" t="str">
        <f t="shared" si="46"/>
        <v>Thursday</v>
      </c>
      <c r="E739">
        <v>46</v>
      </c>
      <c r="F739" s="11">
        <f>VLOOKUP(B739,'ITEMS LIST'!$B$2:$F$19,4,FALSE)</f>
        <v>80</v>
      </c>
      <c r="G739" s="11">
        <f>VLOOKUP(B739,'ITEMS LIST'!$B$2:$F$19,5,FALSE)</f>
        <v>55</v>
      </c>
      <c r="H739" s="11">
        <f t="shared" si="44"/>
        <v>0</v>
      </c>
      <c r="I739" s="11">
        <f t="shared" si="45"/>
        <v>0</v>
      </c>
      <c r="J739" s="11">
        <f t="shared" si="47"/>
        <v>0</v>
      </c>
    </row>
    <row r="740" spans="1:10" x14ac:dyDescent="0.3">
      <c r="A740" s="7">
        <v>44875.999999999403</v>
      </c>
      <c r="B740" s="8" t="s">
        <v>0</v>
      </c>
      <c r="C740" s="8">
        <v>0</v>
      </c>
      <c r="D740" t="str">
        <f t="shared" si="46"/>
        <v>Friday</v>
      </c>
      <c r="E740">
        <v>46</v>
      </c>
      <c r="F740" s="11">
        <f>VLOOKUP(B740,'ITEMS LIST'!$B$2:$F$19,4,FALSE)</f>
        <v>549</v>
      </c>
      <c r="G740" s="11">
        <f>VLOOKUP(B740,'ITEMS LIST'!$B$2:$F$19,5,FALSE)</f>
        <v>365</v>
      </c>
      <c r="H740" s="11">
        <f t="shared" si="44"/>
        <v>0</v>
      </c>
      <c r="I740" s="11">
        <f t="shared" si="45"/>
        <v>0</v>
      </c>
      <c r="J740" s="11">
        <f t="shared" si="47"/>
        <v>0</v>
      </c>
    </row>
    <row r="741" spans="1:10" x14ac:dyDescent="0.3">
      <c r="A741" s="7">
        <v>44876.055555554958</v>
      </c>
      <c r="B741" s="8" t="s">
        <v>1</v>
      </c>
      <c r="C741" s="8">
        <v>0</v>
      </c>
      <c r="D741" t="str">
        <f t="shared" si="46"/>
        <v>Friday</v>
      </c>
      <c r="E741">
        <v>46</v>
      </c>
      <c r="F741" s="11">
        <f>VLOOKUP(B741,'ITEMS LIST'!$B$2:$F$19,4,FALSE)</f>
        <v>699</v>
      </c>
      <c r="G741" s="11">
        <f>VLOOKUP(B741,'ITEMS LIST'!$B$2:$F$19,5,FALSE)</f>
        <v>550</v>
      </c>
      <c r="H741" s="11">
        <f t="shared" si="44"/>
        <v>0</v>
      </c>
      <c r="I741" s="11">
        <f t="shared" si="45"/>
        <v>0</v>
      </c>
      <c r="J741" s="11">
        <f t="shared" si="47"/>
        <v>0</v>
      </c>
    </row>
    <row r="742" spans="1:10" x14ac:dyDescent="0.3">
      <c r="A742" s="7">
        <v>44876.111111110513</v>
      </c>
      <c r="B742" s="8" t="s">
        <v>2</v>
      </c>
      <c r="C742" s="8">
        <v>0</v>
      </c>
      <c r="D742" t="str">
        <f t="shared" si="46"/>
        <v>Friday</v>
      </c>
      <c r="E742">
        <v>46</v>
      </c>
      <c r="F742" s="11">
        <f>VLOOKUP(B742,'ITEMS LIST'!$B$2:$F$19,4,FALSE)</f>
        <v>739</v>
      </c>
      <c r="G742" s="11">
        <f>VLOOKUP(B742,'ITEMS LIST'!$B$2:$F$19,5,FALSE)</f>
        <v>620</v>
      </c>
      <c r="H742" s="11">
        <f t="shared" si="44"/>
        <v>0</v>
      </c>
      <c r="I742" s="11">
        <f t="shared" si="45"/>
        <v>0</v>
      </c>
      <c r="J742" s="11">
        <f t="shared" si="47"/>
        <v>0</v>
      </c>
    </row>
    <row r="743" spans="1:10" x14ac:dyDescent="0.3">
      <c r="A743" s="7">
        <v>44876.166666666068</v>
      </c>
      <c r="B743" s="8" t="s">
        <v>3</v>
      </c>
      <c r="C743" s="8">
        <v>0</v>
      </c>
      <c r="D743" t="str">
        <f t="shared" si="46"/>
        <v>Friday</v>
      </c>
      <c r="E743">
        <v>46</v>
      </c>
      <c r="F743" s="11">
        <f>VLOOKUP(B743,'ITEMS LIST'!$B$2:$F$19,4,FALSE)</f>
        <v>899</v>
      </c>
      <c r="G743" s="11">
        <f>VLOOKUP(B743,'ITEMS LIST'!$B$2:$F$19,5,FALSE)</f>
        <v>714</v>
      </c>
      <c r="H743" s="11">
        <f t="shared" si="44"/>
        <v>0</v>
      </c>
      <c r="I743" s="11">
        <f t="shared" si="45"/>
        <v>0</v>
      </c>
      <c r="J743" s="11">
        <f t="shared" si="47"/>
        <v>0</v>
      </c>
    </row>
    <row r="744" spans="1:10" x14ac:dyDescent="0.3">
      <c r="A744" s="7">
        <v>44876.222222221622</v>
      </c>
      <c r="B744" s="8" t="s">
        <v>4</v>
      </c>
      <c r="C744" s="8">
        <v>0</v>
      </c>
      <c r="D744" t="str">
        <f t="shared" si="46"/>
        <v>Friday</v>
      </c>
      <c r="E744">
        <v>46</v>
      </c>
      <c r="F744" s="11">
        <f>VLOOKUP(B744,'ITEMS LIST'!$B$2:$F$19,4,FALSE)</f>
        <v>1379</v>
      </c>
      <c r="G744" s="11">
        <f>VLOOKUP(B744,'ITEMS LIST'!$B$2:$F$19,5,FALSE)</f>
        <v>890</v>
      </c>
      <c r="H744" s="11">
        <f t="shared" si="44"/>
        <v>0</v>
      </c>
      <c r="I744" s="11">
        <f t="shared" si="45"/>
        <v>0</v>
      </c>
      <c r="J744" s="11">
        <f t="shared" si="47"/>
        <v>0</v>
      </c>
    </row>
    <row r="745" spans="1:10" x14ac:dyDescent="0.3">
      <c r="A745" s="7">
        <v>44876.277777777177</v>
      </c>
      <c r="B745" s="8" t="s">
        <v>5</v>
      </c>
      <c r="C745" s="8">
        <v>0</v>
      </c>
      <c r="D745" t="str">
        <f t="shared" si="46"/>
        <v>Friday</v>
      </c>
      <c r="E745">
        <v>46</v>
      </c>
      <c r="F745" s="11">
        <f>VLOOKUP(B745,'ITEMS LIST'!$B$2:$F$19,4,FALSE)</f>
        <v>849</v>
      </c>
      <c r="G745" s="11">
        <f>VLOOKUP(B745,'ITEMS LIST'!$B$2:$F$19,5,FALSE)</f>
        <v>530</v>
      </c>
      <c r="H745" s="11">
        <f t="shared" si="44"/>
        <v>0</v>
      </c>
      <c r="I745" s="11">
        <f t="shared" si="45"/>
        <v>0</v>
      </c>
      <c r="J745" s="11">
        <f t="shared" si="47"/>
        <v>0</v>
      </c>
    </row>
    <row r="746" spans="1:10" x14ac:dyDescent="0.3">
      <c r="A746" s="7">
        <v>44876.333333332732</v>
      </c>
      <c r="B746" s="8" t="s">
        <v>6</v>
      </c>
      <c r="C746" s="8">
        <v>0</v>
      </c>
      <c r="D746" t="str">
        <f t="shared" si="46"/>
        <v>Friday</v>
      </c>
      <c r="E746">
        <v>46</v>
      </c>
      <c r="F746" s="11">
        <f>VLOOKUP(B746,'ITEMS LIST'!$B$2:$F$19,4,FALSE)</f>
        <v>1000</v>
      </c>
      <c r="G746" s="11">
        <f>VLOOKUP(B746,'ITEMS LIST'!$B$2:$F$19,5,FALSE)</f>
        <v>768</v>
      </c>
      <c r="H746" s="11">
        <f t="shared" si="44"/>
        <v>0</v>
      </c>
      <c r="I746" s="11">
        <f t="shared" si="45"/>
        <v>0</v>
      </c>
      <c r="J746" s="11">
        <f t="shared" si="47"/>
        <v>0</v>
      </c>
    </row>
    <row r="747" spans="1:10" x14ac:dyDescent="0.3">
      <c r="A747" s="7">
        <v>44876.388888888287</v>
      </c>
      <c r="B747" s="8" t="s">
        <v>7</v>
      </c>
      <c r="C747" s="8">
        <v>0</v>
      </c>
      <c r="D747" t="str">
        <f t="shared" si="46"/>
        <v>Friday</v>
      </c>
      <c r="E747">
        <v>46</v>
      </c>
      <c r="F747" s="11">
        <f>VLOOKUP(B747,'ITEMS LIST'!$B$2:$F$19,4,FALSE)</f>
        <v>680</v>
      </c>
      <c r="G747" s="11">
        <f>VLOOKUP(B747,'ITEMS LIST'!$B$2:$F$19,5,FALSE)</f>
        <v>570</v>
      </c>
      <c r="H747" s="11">
        <f t="shared" si="44"/>
        <v>0</v>
      </c>
      <c r="I747" s="11">
        <f t="shared" si="45"/>
        <v>0</v>
      </c>
      <c r="J747" s="11">
        <f t="shared" si="47"/>
        <v>0</v>
      </c>
    </row>
    <row r="748" spans="1:10" x14ac:dyDescent="0.3">
      <c r="A748" s="7">
        <v>44876.444444443841</v>
      </c>
      <c r="B748" s="8" t="s">
        <v>8</v>
      </c>
      <c r="C748" s="8">
        <v>0</v>
      </c>
      <c r="D748" t="str">
        <f t="shared" si="46"/>
        <v>Friday</v>
      </c>
      <c r="E748">
        <v>46</v>
      </c>
      <c r="F748" s="11">
        <f>VLOOKUP(B748,'ITEMS LIST'!$B$2:$F$19,4,FALSE)</f>
        <v>199</v>
      </c>
      <c r="G748" s="11">
        <f>VLOOKUP(B748,'ITEMS LIST'!$B$2:$F$19,5,FALSE)</f>
        <v>140</v>
      </c>
      <c r="H748" s="11">
        <f t="shared" si="44"/>
        <v>0</v>
      </c>
      <c r="I748" s="11">
        <f t="shared" si="45"/>
        <v>0</v>
      </c>
      <c r="J748" s="11">
        <f t="shared" si="47"/>
        <v>0</v>
      </c>
    </row>
    <row r="749" spans="1:10" x14ac:dyDescent="0.3">
      <c r="A749" s="7">
        <v>44876.499999999396</v>
      </c>
      <c r="B749" s="8" t="s">
        <v>9</v>
      </c>
      <c r="C749" s="8">
        <v>0</v>
      </c>
      <c r="D749" t="str">
        <f t="shared" si="46"/>
        <v>Friday</v>
      </c>
      <c r="E749">
        <v>46</v>
      </c>
      <c r="F749" s="11">
        <f>VLOOKUP(B749,'ITEMS LIST'!$B$2:$F$19,4,FALSE)</f>
        <v>219</v>
      </c>
      <c r="G749" s="11">
        <f>VLOOKUP(B749,'ITEMS LIST'!$B$2:$F$19,5,FALSE)</f>
        <v>132</v>
      </c>
      <c r="H749" s="11">
        <f t="shared" si="44"/>
        <v>0</v>
      </c>
      <c r="I749" s="11">
        <f t="shared" si="45"/>
        <v>0</v>
      </c>
      <c r="J749" s="11">
        <f t="shared" si="47"/>
        <v>0</v>
      </c>
    </row>
    <row r="750" spans="1:10" x14ac:dyDescent="0.3">
      <c r="A750" s="7">
        <v>44876.555555554951</v>
      </c>
      <c r="B750" s="8" t="s">
        <v>10</v>
      </c>
      <c r="C750" s="8">
        <v>0</v>
      </c>
      <c r="D750" t="str">
        <f t="shared" si="46"/>
        <v>Friday</v>
      </c>
      <c r="E750">
        <v>46</v>
      </c>
      <c r="F750" s="11">
        <f>VLOOKUP(B750,'ITEMS LIST'!$B$2:$F$19,4,FALSE)</f>
        <v>1469</v>
      </c>
      <c r="G750" s="11">
        <f>VLOOKUP(B750,'ITEMS LIST'!$B$2:$F$19,5,FALSE)</f>
        <v>1184</v>
      </c>
      <c r="H750" s="11">
        <f t="shared" si="44"/>
        <v>0</v>
      </c>
      <c r="I750" s="11">
        <f t="shared" si="45"/>
        <v>0</v>
      </c>
      <c r="J750" s="11">
        <f t="shared" si="47"/>
        <v>0</v>
      </c>
    </row>
    <row r="751" spans="1:10" x14ac:dyDescent="0.3">
      <c r="A751" s="7">
        <v>44876.611111110506</v>
      </c>
      <c r="B751" s="8" t="s">
        <v>11</v>
      </c>
      <c r="C751" s="8">
        <v>0</v>
      </c>
      <c r="D751" t="str">
        <f t="shared" si="46"/>
        <v>Friday</v>
      </c>
      <c r="E751">
        <v>46</v>
      </c>
      <c r="F751" s="11">
        <f>VLOOKUP(B751,'ITEMS LIST'!$B$2:$F$19,4,FALSE)</f>
        <v>89</v>
      </c>
      <c r="G751" s="11">
        <f>VLOOKUP(B751,'ITEMS LIST'!$B$2:$F$19,5,FALSE)</f>
        <v>59</v>
      </c>
      <c r="H751" s="11">
        <f t="shared" si="44"/>
        <v>0</v>
      </c>
      <c r="I751" s="11">
        <f t="shared" si="45"/>
        <v>0</v>
      </c>
      <c r="J751" s="11">
        <f t="shared" si="47"/>
        <v>0</v>
      </c>
    </row>
    <row r="752" spans="1:10" x14ac:dyDescent="0.3">
      <c r="A752" s="7">
        <v>44876.66666666606</v>
      </c>
      <c r="B752" s="8" t="s">
        <v>12</v>
      </c>
      <c r="C752" s="8">
        <v>0</v>
      </c>
      <c r="D752" t="str">
        <f t="shared" si="46"/>
        <v>Friday</v>
      </c>
      <c r="E752">
        <v>46</v>
      </c>
      <c r="F752" s="11">
        <f>VLOOKUP(B752,'ITEMS LIST'!$B$2:$F$19,4,FALSE)</f>
        <v>310</v>
      </c>
      <c r="G752" s="11">
        <f>VLOOKUP(B752,'ITEMS LIST'!$B$2:$F$19,5,FALSE)</f>
        <v>206</v>
      </c>
      <c r="H752" s="11">
        <f t="shared" si="44"/>
        <v>0</v>
      </c>
      <c r="I752" s="11">
        <f t="shared" si="45"/>
        <v>0</v>
      </c>
      <c r="J752" s="11">
        <f t="shared" si="47"/>
        <v>0</v>
      </c>
    </row>
    <row r="753" spans="1:10" x14ac:dyDescent="0.3">
      <c r="A753" s="7">
        <v>44876.722222221615</v>
      </c>
      <c r="B753" s="8" t="s">
        <v>13</v>
      </c>
      <c r="C753" s="8">
        <v>0</v>
      </c>
      <c r="D753" t="str">
        <f t="shared" si="46"/>
        <v>Friday</v>
      </c>
      <c r="E753">
        <v>46</v>
      </c>
      <c r="F753" s="11">
        <f>VLOOKUP(B753,'ITEMS LIST'!$B$2:$F$19,4,FALSE)</f>
        <v>540</v>
      </c>
      <c r="G753" s="11">
        <f>VLOOKUP(B753,'ITEMS LIST'!$B$2:$F$19,5,FALSE)</f>
        <v>397</v>
      </c>
      <c r="H753" s="11">
        <f t="shared" si="44"/>
        <v>0</v>
      </c>
      <c r="I753" s="11">
        <f t="shared" si="45"/>
        <v>0</v>
      </c>
      <c r="J753" s="11">
        <f t="shared" si="47"/>
        <v>0</v>
      </c>
    </row>
    <row r="754" spans="1:10" x14ac:dyDescent="0.3">
      <c r="A754" s="7">
        <v>44876.77777777717</v>
      </c>
      <c r="B754" s="8" t="s">
        <v>14</v>
      </c>
      <c r="C754" s="8">
        <v>0</v>
      </c>
      <c r="D754" t="str">
        <f t="shared" si="46"/>
        <v>Friday</v>
      </c>
      <c r="E754">
        <v>46</v>
      </c>
      <c r="F754" s="11">
        <f>VLOOKUP(B754,'ITEMS LIST'!$B$2:$F$19,4,FALSE)</f>
        <v>360</v>
      </c>
      <c r="G754" s="11">
        <f>VLOOKUP(B754,'ITEMS LIST'!$B$2:$F$19,5,FALSE)</f>
        <v>248</v>
      </c>
      <c r="H754" s="11">
        <f t="shared" si="44"/>
        <v>0</v>
      </c>
      <c r="I754" s="11">
        <f t="shared" si="45"/>
        <v>0</v>
      </c>
      <c r="J754" s="11">
        <f t="shared" si="47"/>
        <v>0</v>
      </c>
    </row>
    <row r="755" spans="1:10" x14ac:dyDescent="0.3">
      <c r="A755" s="7">
        <v>44876.833333332725</v>
      </c>
      <c r="B755" s="8" t="s">
        <v>15</v>
      </c>
      <c r="C755" s="8">
        <v>0</v>
      </c>
      <c r="D755" t="str">
        <f t="shared" si="46"/>
        <v>Friday</v>
      </c>
      <c r="E755">
        <v>46</v>
      </c>
      <c r="F755" s="11">
        <f>VLOOKUP(B755,'ITEMS LIST'!$B$2:$F$19,4,FALSE)</f>
        <v>250</v>
      </c>
      <c r="G755" s="11">
        <f>VLOOKUP(B755,'ITEMS LIST'!$B$2:$F$19,5,FALSE)</f>
        <v>190</v>
      </c>
      <c r="H755" s="11">
        <f t="shared" si="44"/>
        <v>0</v>
      </c>
      <c r="I755" s="11">
        <f t="shared" si="45"/>
        <v>0</v>
      </c>
      <c r="J755" s="11">
        <f t="shared" si="47"/>
        <v>0</v>
      </c>
    </row>
    <row r="756" spans="1:10" x14ac:dyDescent="0.3">
      <c r="A756" s="7">
        <v>44876.888888888279</v>
      </c>
      <c r="B756" s="8" t="s">
        <v>16</v>
      </c>
      <c r="C756" s="8">
        <v>0</v>
      </c>
      <c r="D756" t="str">
        <f t="shared" si="46"/>
        <v>Friday</v>
      </c>
      <c r="E756">
        <v>46</v>
      </c>
      <c r="F756" s="11">
        <f>VLOOKUP(B756,'ITEMS LIST'!$B$2:$F$19,4,FALSE)</f>
        <v>120</v>
      </c>
      <c r="G756" s="11">
        <f>VLOOKUP(B756,'ITEMS LIST'!$B$2:$F$19,5,FALSE)</f>
        <v>85</v>
      </c>
      <c r="H756" s="11">
        <f t="shared" si="44"/>
        <v>0</v>
      </c>
      <c r="I756" s="11">
        <f t="shared" si="45"/>
        <v>0</v>
      </c>
      <c r="J756" s="11">
        <f t="shared" si="47"/>
        <v>0</v>
      </c>
    </row>
    <row r="757" spans="1:10" x14ac:dyDescent="0.3">
      <c r="A757" s="7">
        <v>44876.944444443834</v>
      </c>
      <c r="B757" s="8" t="s">
        <v>17</v>
      </c>
      <c r="C757" s="8">
        <v>0</v>
      </c>
      <c r="D757" t="str">
        <f t="shared" si="46"/>
        <v>Friday</v>
      </c>
      <c r="E757">
        <v>46</v>
      </c>
      <c r="F757" s="11">
        <f>VLOOKUP(B757,'ITEMS LIST'!$B$2:$F$19,4,FALSE)</f>
        <v>80</v>
      </c>
      <c r="G757" s="11">
        <f>VLOOKUP(B757,'ITEMS LIST'!$B$2:$F$19,5,FALSE)</f>
        <v>55</v>
      </c>
      <c r="H757" s="11">
        <f t="shared" si="44"/>
        <v>0</v>
      </c>
      <c r="I757" s="11">
        <f t="shared" si="45"/>
        <v>0</v>
      </c>
      <c r="J757" s="11">
        <f t="shared" si="47"/>
        <v>0</v>
      </c>
    </row>
    <row r="758" spans="1:10" x14ac:dyDescent="0.3">
      <c r="A758" s="7">
        <v>44876.999999999389</v>
      </c>
      <c r="B758" s="8" t="s">
        <v>0</v>
      </c>
      <c r="C758" s="8">
        <v>0</v>
      </c>
      <c r="D758" t="str">
        <f t="shared" si="46"/>
        <v>Saturday</v>
      </c>
      <c r="E758">
        <v>46</v>
      </c>
      <c r="F758" s="11">
        <f>VLOOKUP(B758,'ITEMS LIST'!$B$2:$F$19,4,FALSE)</f>
        <v>549</v>
      </c>
      <c r="G758" s="11">
        <f>VLOOKUP(B758,'ITEMS LIST'!$B$2:$F$19,5,FALSE)</f>
        <v>365</v>
      </c>
      <c r="H758" s="11">
        <f t="shared" si="44"/>
        <v>0</v>
      </c>
      <c r="I758" s="11">
        <f t="shared" si="45"/>
        <v>0</v>
      </c>
      <c r="J758" s="11">
        <f t="shared" si="47"/>
        <v>0</v>
      </c>
    </row>
    <row r="759" spans="1:10" x14ac:dyDescent="0.3">
      <c r="A759" s="7">
        <v>44877.055555554944</v>
      </c>
      <c r="B759" s="8" t="s">
        <v>1</v>
      </c>
      <c r="C759" s="8">
        <v>1</v>
      </c>
      <c r="D759" t="str">
        <f t="shared" si="46"/>
        <v>Saturday</v>
      </c>
      <c r="E759">
        <v>46</v>
      </c>
      <c r="F759" s="11">
        <f>VLOOKUP(B759,'ITEMS LIST'!$B$2:$F$19,4,FALSE)</f>
        <v>699</v>
      </c>
      <c r="G759" s="11">
        <f>VLOOKUP(B759,'ITEMS LIST'!$B$2:$F$19,5,FALSE)</f>
        <v>550</v>
      </c>
      <c r="H759" s="11">
        <f t="shared" si="44"/>
        <v>699</v>
      </c>
      <c r="I759" s="11">
        <f t="shared" si="45"/>
        <v>550</v>
      </c>
      <c r="J759" s="11">
        <f t="shared" si="47"/>
        <v>149</v>
      </c>
    </row>
    <row r="760" spans="1:10" x14ac:dyDescent="0.3">
      <c r="A760" s="7">
        <v>44877.111111110498</v>
      </c>
      <c r="B760" s="8" t="s">
        <v>2</v>
      </c>
      <c r="C760" s="8">
        <v>2</v>
      </c>
      <c r="D760" t="str">
        <f t="shared" si="46"/>
        <v>Saturday</v>
      </c>
      <c r="E760">
        <v>46</v>
      </c>
      <c r="F760" s="11">
        <f>VLOOKUP(B760,'ITEMS LIST'!$B$2:$F$19,4,FALSE)</f>
        <v>739</v>
      </c>
      <c r="G760" s="11">
        <f>VLOOKUP(B760,'ITEMS LIST'!$B$2:$F$19,5,FALSE)</f>
        <v>620</v>
      </c>
      <c r="H760" s="11">
        <f t="shared" si="44"/>
        <v>1478</v>
      </c>
      <c r="I760" s="11">
        <f t="shared" si="45"/>
        <v>1240</v>
      </c>
      <c r="J760" s="11">
        <f t="shared" si="47"/>
        <v>238</v>
      </c>
    </row>
    <row r="761" spans="1:10" x14ac:dyDescent="0.3">
      <c r="A761" s="7">
        <v>44877.166666666053</v>
      </c>
      <c r="B761" s="8" t="s">
        <v>3</v>
      </c>
      <c r="C761" s="8">
        <v>1</v>
      </c>
      <c r="D761" t="str">
        <f t="shared" si="46"/>
        <v>Saturday</v>
      </c>
      <c r="E761">
        <v>46</v>
      </c>
      <c r="F761" s="11">
        <f>VLOOKUP(B761,'ITEMS LIST'!$B$2:$F$19,4,FALSE)</f>
        <v>899</v>
      </c>
      <c r="G761" s="11">
        <f>VLOOKUP(B761,'ITEMS LIST'!$B$2:$F$19,5,FALSE)</f>
        <v>714</v>
      </c>
      <c r="H761" s="11">
        <f t="shared" si="44"/>
        <v>899</v>
      </c>
      <c r="I761" s="11">
        <f t="shared" si="45"/>
        <v>714</v>
      </c>
      <c r="J761" s="11">
        <f t="shared" si="47"/>
        <v>185</v>
      </c>
    </row>
    <row r="762" spans="1:10" x14ac:dyDescent="0.3">
      <c r="A762" s="7">
        <v>44877.222222221608</v>
      </c>
      <c r="B762" s="8" t="s">
        <v>4</v>
      </c>
      <c r="C762" s="8">
        <v>0</v>
      </c>
      <c r="D762" t="str">
        <f t="shared" si="46"/>
        <v>Saturday</v>
      </c>
      <c r="E762">
        <v>46</v>
      </c>
      <c r="F762" s="11">
        <f>VLOOKUP(B762,'ITEMS LIST'!$B$2:$F$19,4,FALSE)</f>
        <v>1379</v>
      </c>
      <c r="G762" s="11">
        <f>VLOOKUP(B762,'ITEMS LIST'!$B$2:$F$19,5,FALSE)</f>
        <v>890</v>
      </c>
      <c r="H762" s="11">
        <f t="shared" si="44"/>
        <v>0</v>
      </c>
      <c r="I762" s="11">
        <f t="shared" si="45"/>
        <v>0</v>
      </c>
      <c r="J762" s="11">
        <f t="shared" si="47"/>
        <v>0</v>
      </c>
    </row>
    <row r="763" spans="1:10" x14ac:dyDescent="0.3">
      <c r="A763" s="7">
        <v>44877.277777777163</v>
      </c>
      <c r="B763" s="8" t="s">
        <v>5</v>
      </c>
      <c r="C763" s="8">
        <v>1</v>
      </c>
      <c r="D763" t="str">
        <f t="shared" si="46"/>
        <v>Saturday</v>
      </c>
      <c r="E763">
        <v>46</v>
      </c>
      <c r="F763" s="11">
        <f>VLOOKUP(B763,'ITEMS LIST'!$B$2:$F$19,4,FALSE)</f>
        <v>849</v>
      </c>
      <c r="G763" s="11">
        <f>VLOOKUP(B763,'ITEMS LIST'!$B$2:$F$19,5,FALSE)</f>
        <v>530</v>
      </c>
      <c r="H763" s="11">
        <f t="shared" si="44"/>
        <v>849</v>
      </c>
      <c r="I763" s="11">
        <f t="shared" si="45"/>
        <v>530</v>
      </c>
      <c r="J763" s="11">
        <f t="shared" si="47"/>
        <v>319</v>
      </c>
    </row>
    <row r="764" spans="1:10" x14ac:dyDescent="0.3">
      <c r="A764" s="7">
        <v>44877.333333332717</v>
      </c>
      <c r="B764" s="8" t="s">
        <v>6</v>
      </c>
      <c r="C764" s="8">
        <v>1</v>
      </c>
      <c r="D764" t="str">
        <f t="shared" si="46"/>
        <v>Saturday</v>
      </c>
      <c r="E764">
        <v>46</v>
      </c>
      <c r="F764" s="11">
        <f>VLOOKUP(B764,'ITEMS LIST'!$B$2:$F$19,4,FALSE)</f>
        <v>1000</v>
      </c>
      <c r="G764" s="11">
        <f>VLOOKUP(B764,'ITEMS LIST'!$B$2:$F$19,5,FALSE)</f>
        <v>768</v>
      </c>
      <c r="H764" s="11">
        <f t="shared" si="44"/>
        <v>1000</v>
      </c>
      <c r="I764" s="11">
        <f t="shared" si="45"/>
        <v>768</v>
      </c>
      <c r="J764" s="11">
        <f t="shared" si="47"/>
        <v>232</v>
      </c>
    </row>
    <row r="765" spans="1:10" x14ac:dyDescent="0.3">
      <c r="A765" s="7">
        <v>44877.388888888272</v>
      </c>
      <c r="B765" s="8" t="s">
        <v>7</v>
      </c>
      <c r="C765" s="8">
        <v>1</v>
      </c>
      <c r="D765" t="str">
        <f t="shared" si="46"/>
        <v>Saturday</v>
      </c>
      <c r="E765">
        <v>46</v>
      </c>
      <c r="F765" s="11">
        <f>VLOOKUP(B765,'ITEMS LIST'!$B$2:$F$19,4,FALSE)</f>
        <v>680</v>
      </c>
      <c r="G765" s="11">
        <f>VLOOKUP(B765,'ITEMS LIST'!$B$2:$F$19,5,FALSE)</f>
        <v>570</v>
      </c>
      <c r="H765" s="11">
        <f t="shared" si="44"/>
        <v>680</v>
      </c>
      <c r="I765" s="11">
        <f t="shared" si="45"/>
        <v>570</v>
      </c>
      <c r="J765" s="11">
        <f t="shared" si="47"/>
        <v>110</v>
      </c>
    </row>
    <row r="766" spans="1:10" x14ac:dyDescent="0.3">
      <c r="A766" s="7">
        <v>44877.444444443827</v>
      </c>
      <c r="B766" s="8" t="s">
        <v>8</v>
      </c>
      <c r="C766" s="8">
        <v>0</v>
      </c>
      <c r="D766" t="str">
        <f t="shared" si="46"/>
        <v>Saturday</v>
      </c>
      <c r="E766">
        <v>46</v>
      </c>
      <c r="F766" s="11">
        <f>VLOOKUP(B766,'ITEMS LIST'!$B$2:$F$19,4,FALSE)</f>
        <v>199</v>
      </c>
      <c r="G766" s="11">
        <f>VLOOKUP(B766,'ITEMS LIST'!$B$2:$F$19,5,FALSE)</f>
        <v>140</v>
      </c>
      <c r="H766" s="11">
        <f t="shared" si="44"/>
        <v>0</v>
      </c>
      <c r="I766" s="11">
        <f t="shared" si="45"/>
        <v>0</v>
      </c>
      <c r="J766" s="11">
        <f t="shared" si="47"/>
        <v>0</v>
      </c>
    </row>
    <row r="767" spans="1:10" x14ac:dyDescent="0.3">
      <c r="A767" s="7">
        <v>44877.499999999382</v>
      </c>
      <c r="B767" s="8" t="s">
        <v>9</v>
      </c>
      <c r="C767" s="8">
        <v>0</v>
      </c>
      <c r="D767" t="str">
        <f t="shared" si="46"/>
        <v>Saturday</v>
      </c>
      <c r="E767">
        <v>46</v>
      </c>
      <c r="F767" s="11">
        <f>VLOOKUP(B767,'ITEMS LIST'!$B$2:$F$19,4,FALSE)</f>
        <v>219</v>
      </c>
      <c r="G767" s="11">
        <f>VLOOKUP(B767,'ITEMS LIST'!$B$2:$F$19,5,FALSE)</f>
        <v>132</v>
      </c>
      <c r="H767" s="11">
        <f t="shared" si="44"/>
        <v>0</v>
      </c>
      <c r="I767" s="11">
        <f t="shared" si="45"/>
        <v>0</v>
      </c>
      <c r="J767" s="11">
        <f t="shared" si="47"/>
        <v>0</v>
      </c>
    </row>
    <row r="768" spans="1:10" x14ac:dyDescent="0.3">
      <c r="A768" s="7">
        <v>44877.555555554936</v>
      </c>
      <c r="B768" s="8" t="s">
        <v>10</v>
      </c>
      <c r="C768" s="8">
        <v>0</v>
      </c>
      <c r="D768" t="str">
        <f t="shared" si="46"/>
        <v>Saturday</v>
      </c>
      <c r="E768">
        <v>46</v>
      </c>
      <c r="F768" s="11">
        <f>VLOOKUP(B768,'ITEMS LIST'!$B$2:$F$19,4,FALSE)</f>
        <v>1469</v>
      </c>
      <c r="G768" s="11">
        <f>VLOOKUP(B768,'ITEMS LIST'!$B$2:$F$19,5,FALSE)</f>
        <v>1184</v>
      </c>
      <c r="H768" s="11">
        <f t="shared" si="44"/>
        <v>0</v>
      </c>
      <c r="I768" s="11">
        <f t="shared" si="45"/>
        <v>0</v>
      </c>
      <c r="J768" s="11">
        <f t="shared" si="47"/>
        <v>0</v>
      </c>
    </row>
    <row r="769" spans="1:10" x14ac:dyDescent="0.3">
      <c r="A769" s="7">
        <v>44877.611111110491</v>
      </c>
      <c r="B769" s="8" t="s">
        <v>11</v>
      </c>
      <c r="C769" s="8">
        <v>0</v>
      </c>
      <c r="D769" t="str">
        <f t="shared" si="46"/>
        <v>Saturday</v>
      </c>
      <c r="E769">
        <v>46</v>
      </c>
      <c r="F769" s="11">
        <f>VLOOKUP(B769,'ITEMS LIST'!$B$2:$F$19,4,FALSE)</f>
        <v>89</v>
      </c>
      <c r="G769" s="11">
        <f>VLOOKUP(B769,'ITEMS LIST'!$B$2:$F$19,5,FALSE)</f>
        <v>59</v>
      </c>
      <c r="H769" s="11">
        <f t="shared" si="44"/>
        <v>0</v>
      </c>
      <c r="I769" s="11">
        <f t="shared" si="45"/>
        <v>0</v>
      </c>
      <c r="J769" s="11">
        <f t="shared" si="47"/>
        <v>0</v>
      </c>
    </row>
    <row r="770" spans="1:10" x14ac:dyDescent="0.3">
      <c r="A770" s="7">
        <v>44877.666666666046</v>
      </c>
      <c r="B770" s="8" t="s">
        <v>12</v>
      </c>
      <c r="C770" s="8">
        <v>0</v>
      </c>
      <c r="D770" t="str">
        <f t="shared" si="46"/>
        <v>Saturday</v>
      </c>
      <c r="E770">
        <v>46</v>
      </c>
      <c r="F770" s="11">
        <f>VLOOKUP(B770,'ITEMS LIST'!$B$2:$F$19,4,FALSE)</f>
        <v>310</v>
      </c>
      <c r="G770" s="11">
        <f>VLOOKUP(B770,'ITEMS LIST'!$B$2:$F$19,5,FALSE)</f>
        <v>206</v>
      </c>
      <c r="H770" s="11">
        <f t="shared" ref="H770:H833" si="48">C770*F770</f>
        <v>0</v>
      </c>
      <c r="I770" s="11">
        <f t="shared" ref="I770:I833" si="49">C770*G770</f>
        <v>0</v>
      </c>
      <c r="J770" s="11">
        <f t="shared" si="47"/>
        <v>0</v>
      </c>
    </row>
    <row r="771" spans="1:10" x14ac:dyDescent="0.3">
      <c r="A771" s="7">
        <v>44877.722222221601</v>
      </c>
      <c r="B771" s="8" t="s">
        <v>13</v>
      </c>
      <c r="C771" s="8">
        <v>0</v>
      </c>
      <c r="D771" t="str">
        <f t="shared" ref="D771:D834" si="50">TEXT(A771,"dddd")</f>
        <v>Saturday</v>
      </c>
      <c r="E771">
        <v>46</v>
      </c>
      <c r="F771" s="11">
        <f>VLOOKUP(B771,'ITEMS LIST'!$B$2:$F$19,4,FALSE)</f>
        <v>540</v>
      </c>
      <c r="G771" s="11">
        <f>VLOOKUP(B771,'ITEMS LIST'!$B$2:$F$19,5,FALSE)</f>
        <v>397</v>
      </c>
      <c r="H771" s="11">
        <f t="shared" si="48"/>
        <v>0</v>
      </c>
      <c r="I771" s="11">
        <f t="shared" si="49"/>
        <v>0</v>
      </c>
      <c r="J771" s="11">
        <f t="shared" ref="J771:J834" si="51">H771-I771</f>
        <v>0</v>
      </c>
    </row>
    <row r="772" spans="1:10" x14ac:dyDescent="0.3">
      <c r="A772" s="7">
        <v>44877.777777777155</v>
      </c>
      <c r="B772" s="8" t="s">
        <v>14</v>
      </c>
      <c r="C772" s="8">
        <v>0</v>
      </c>
      <c r="D772" t="str">
        <f t="shared" si="50"/>
        <v>Saturday</v>
      </c>
      <c r="E772">
        <v>46</v>
      </c>
      <c r="F772" s="11">
        <f>VLOOKUP(B772,'ITEMS LIST'!$B$2:$F$19,4,FALSE)</f>
        <v>360</v>
      </c>
      <c r="G772" s="11">
        <f>VLOOKUP(B772,'ITEMS LIST'!$B$2:$F$19,5,FALSE)</f>
        <v>248</v>
      </c>
      <c r="H772" s="11">
        <f t="shared" si="48"/>
        <v>0</v>
      </c>
      <c r="I772" s="11">
        <f t="shared" si="49"/>
        <v>0</v>
      </c>
      <c r="J772" s="11">
        <f t="shared" si="51"/>
        <v>0</v>
      </c>
    </row>
    <row r="773" spans="1:10" x14ac:dyDescent="0.3">
      <c r="A773" s="7">
        <v>44877.83333333271</v>
      </c>
      <c r="B773" s="8" t="s">
        <v>15</v>
      </c>
      <c r="C773" s="8">
        <v>0</v>
      </c>
      <c r="D773" t="str">
        <f t="shared" si="50"/>
        <v>Saturday</v>
      </c>
      <c r="E773">
        <v>46</v>
      </c>
      <c r="F773" s="11">
        <f>VLOOKUP(B773,'ITEMS LIST'!$B$2:$F$19,4,FALSE)</f>
        <v>250</v>
      </c>
      <c r="G773" s="11">
        <f>VLOOKUP(B773,'ITEMS LIST'!$B$2:$F$19,5,FALSE)</f>
        <v>190</v>
      </c>
      <c r="H773" s="11">
        <f t="shared" si="48"/>
        <v>0</v>
      </c>
      <c r="I773" s="11">
        <f t="shared" si="49"/>
        <v>0</v>
      </c>
      <c r="J773" s="11">
        <f t="shared" si="51"/>
        <v>0</v>
      </c>
    </row>
    <row r="774" spans="1:10" x14ac:dyDescent="0.3">
      <c r="A774" s="7">
        <v>44877.888888888265</v>
      </c>
      <c r="B774" s="8" t="s">
        <v>16</v>
      </c>
      <c r="C774" s="8">
        <v>0</v>
      </c>
      <c r="D774" t="str">
        <f t="shared" si="50"/>
        <v>Saturday</v>
      </c>
      <c r="E774">
        <v>46</v>
      </c>
      <c r="F774" s="11">
        <f>VLOOKUP(B774,'ITEMS LIST'!$B$2:$F$19,4,FALSE)</f>
        <v>120</v>
      </c>
      <c r="G774" s="11">
        <f>VLOOKUP(B774,'ITEMS LIST'!$B$2:$F$19,5,FALSE)</f>
        <v>85</v>
      </c>
      <c r="H774" s="11">
        <f t="shared" si="48"/>
        <v>0</v>
      </c>
      <c r="I774" s="11">
        <f t="shared" si="49"/>
        <v>0</v>
      </c>
      <c r="J774" s="11">
        <f t="shared" si="51"/>
        <v>0</v>
      </c>
    </row>
    <row r="775" spans="1:10" x14ac:dyDescent="0.3">
      <c r="A775" s="7">
        <v>44877.94444444382</v>
      </c>
      <c r="B775" s="8" t="s">
        <v>17</v>
      </c>
      <c r="C775" s="8">
        <v>0</v>
      </c>
      <c r="D775" t="str">
        <f t="shared" si="50"/>
        <v>Saturday</v>
      </c>
      <c r="E775">
        <v>46</v>
      </c>
      <c r="F775" s="11">
        <f>VLOOKUP(B775,'ITEMS LIST'!$B$2:$F$19,4,FALSE)</f>
        <v>80</v>
      </c>
      <c r="G775" s="11">
        <f>VLOOKUP(B775,'ITEMS LIST'!$B$2:$F$19,5,FALSE)</f>
        <v>55</v>
      </c>
      <c r="H775" s="11">
        <f t="shared" si="48"/>
        <v>0</v>
      </c>
      <c r="I775" s="11">
        <f t="shared" si="49"/>
        <v>0</v>
      </c>
      <c r="J775" s="11">
        <f t="shared" si="51"/>
        <v>0</v>
      </c>
    </row>
    <row r="776" spans="1:10" x14ac:dyDescent="0.3">
      <c r="A776" s="7">
        <v>44877.999999999374</v>
      </c>
      <c r="B776" s="8" t="s">
        <v>0</v>
      </c>
      <c r="C776" s="8">
        <v>0</v>
      </c>
      <c r="D776" t="str">
        <f t="shared" si="50"/>
        <v>Sunday</v>
      </c>
      <c r="E776">
        <v>47</v>
      </c>
      <c r="F776" s="11">
        <f>VLOOKUP(B776,'ITEMS LIST'!$B$2:$F$19,4,FALSE)</f>
        <v>549</v>
      </c>
      <c r="G776" s="11">
        <f>VLOOKUP(B776,'ITEMS LIST'!$B$2:$F$19,5,FALSE)</f>
        <v>365</v>
      </c>
      <c r="H776" s="11">
        <f t="shared" si="48"/>
        <v>0</v>
      </c>
      <c r="I776" s="11">
        <f t="shared" si="49"/>
        <v>0</v>
      </c>
      <c r="J776" s="11">
        <f t="shared" si="51"/>
        <v>0</v>
      </c>
    </row>
    <row r="777" spans="1:10" x14ac:dyDescent="0.3">
      <c r="A777" s="7">
        <v>44878.055555554929</v>
      </c>
      <c r="B777" s="8" t="s">
        <v>1</v>
      </c>
      <c r="C777" s="8">
        <v>0</v>
      </c>
      <c r="D777" t="str">
        <f t="shared" si="50"/>
        <v>Sunday</v>
      </c>
      <c r="E777">
        <v>47</v>
      </c>
      <c r="F777" s="11">
        <f>VLOOKUP(B777,'ITEMS LIST'!$B$2:$F$19,4,FALSE)</f>
        <v>699</v>
      </c>
      <c r="G777" s="11">
        <f>VLOOKUP(B777,'ITEMS LIST'!$B$2:$F$19,5,FALSE)</f>
        <v>550</v>
      </c>
      <c r="H777" s="11">
        <f t="shared" si="48"/>
        <v>0</v>
      </c>
      <c r="I777" s="11">
        <f t="shared" si="49"/>
        <v>0</v>
      </c>
      <c r="J777" s="11">
        <f t="shared" si="51"/>
        <v>0</v>
      </c>
    </row>
    <row r="778" spans="1:10" x14ac:dyDescent="0.3">
      <c r="A778" s="7">
        <v>44878.111111110484</v>
      </c>
      <c r="B778" s="8" t="s">
        <v>2</v>
      </c>
      <c r="C778" s="8">
        <v>0</v>
      </c>
      <c r="D778" t="str">
        <f t="shared" si="50"/>
        <v>Sunday</v>
      </c>
      <c r="E778">
        <v>47</v>
      </c>
      <c r="F778" s="11">
        <f>VLOOKUP(B778,'ITEMS LIST'!$B$2:$F$19,4,FALSE)</f>
        <v>739</v>
      </c>
      <c r="G778" s="11">
        <f>VLOOKUP(B778,'ITEMS LIST'!$B$2:$F$19,5,FALSE)</f>
        <v>620</v>
      </c>
      <c r="H778" s="11">
        <f t="shared" si="48"/>
        <v>0</v>
      </c>
      <c r="I778" s="11">
        <f t="shared" si="49"/>
        <v>0</v>
      </c>
      <c r="J778" s="11">
        <f t="shared" si="51"/>
        <v>0</v>
      </c>
    </row>
    <row r="779" spans="1:10" x14ac:dyDescent="0.3">
      <c r="A779" s="7">
        <v>44878.166666666039</v>
      </c>
      <c r="B779" s="8" t="s">
        <v>3</v>
      </c>
      <c r="C779" s="8">
        <v>0</v>
      </c>
      <c r="D779" t="str">
        <f t="shared" si="50"/>
        <v>Sunday</v>
      </c>
      <c r="E779">
        <v>47</v>
      </c>
      <c r="F779" s="11">
        <f>VLOOKUP(B779,'ITEMS LIST'!$B$2:$F$19,4,FALSE)</f>
        <v>899</v>
      </c>
      <c r="G779" s="11">
        <f>VLOOKUP(B779,'ITEMS LIST'!$B$2:$F$19,5,FALSE)</f>
        <v>714</v>
      </c>
      <c r="H779" s="11">
        <f t="shared" si="48"/>
        <v>0</v>
      </c>
      <c r="I779" s="11">
        <f t="shared" si="49"/>
        <v>0</v>
      </c>
      <c r="J779" s="11">
        <f t="shared" si="51"/>
        <v>0</v>
      </c>
    </row>
    <row r="780" spans="1:10" x14ac:dyDescent="0.3">
      <c r="A780" s="7">
        <v>44878.222222221593</v>
      </c>
      <c r="B780" s="8" t="s">
        <v>4</v>
      </c>
      <c r="C780" s="8">
        <v>0</v>
      </c>
      <c r="D780" t="str">
        <f t="shared" si="50"/>
        <v>Sunday</v>
      </c>
      <c r="E780">
        <v>47</v>
      </c>
      <c r="F780" s="11">
        <f>VLOOKUP(B780,'ITEMS LIST'!$B$2:$F$19,4,FALSE)</f>
        <v>1379</v>
      </c>
      <c r="G780" s="11">
        <f>VLOOKUP(B780,'ITEMS LIST'!$B$2:$F$19,5,FALSE)</f>
        <v>890</v>
      </c>
      <c r="H780" s="11">
        <f t="shared" si="48"/>
        <v>0</v>
      </c>
      <c r="I780" s="11">
        <f t="shared" si="49"/>
        <v>0</v>
      </c>
      <c r="J780" s="11">
        <f t="shared" si="51"/>
        <v>0</v>
      </c>
    </row>
    <row r="781" spans="1:10" x14ac:dyDescent="0.3">
      <c r="A781" s="7">
        <v>44878.277777777148</v>
      </c>
      <c r="B781" s="8" t="s">
        <v>5</v>
      </c>
      <c r="C781" s="8">
        <v>0</v>
      </c>
      <c r="D781" t="str">
        <f t="shared" si="50"/>
        <v>Sunday</v>
      </c>
      <c r="E781">
        <v>47</v>
      </c>
      <c r="F781" s="11">
        <f>VLOOKUP(B781,'ITEMS LIST'!$B$2:$F$19,4,FALSE)</f>
        <v>849</v>
      </c>
      <c r="G781" s="11">
        <f>VLOOKUP(B781,'ITEMS LIST'!$B$2:$F$19,5,FALSE)</f>
        <v>530</v>
      </c>
      <c r="H781" s="11">
        <f t="shared" si="48"/>
        <v>0</v>
      </c>
      <c r="I781" s="11">
        <f t="shared" si="49"/>
        <v>0</v>
      </c>
      <c r="J781" s="11">
        <f t="shared" si="51"/>
        <v>0</v>
      </c>
    </row>
    <row r="782" spans="1:10" x14ac:dyDescent="0.3">
      <c r="A782" s="7">
        <v>44878.333333332703</v>
      </c>
      <c r="B782" s="8" t="s">
        <v>6</v>
      </c>
      <c r="C782" s="8">
        <v>0</v>
      </c>
      <c r="D782" t="str">
        <f t="shared" si="50"/>
        <v>Sunday</v>
      </c>
      <c r="E782">
        <v>47</v>
      </c>
      <c r="F782" s="11">
        <f>VLOOKUP(B782,'ITEMS LIST'!$B$2:$F$19,4,FALSE)</f>
        <v>1000</v>
      </c>
      <c r="G782" s="11">
        <f>VLOOKUP(B782,'ITEMS LIST'!$B$2:$F$19,5,FALSE)</f>
        <v>768</v>
      </c>
      <c r="H782" s="11">
        <f t="shared" si="48"/>
        <v>0</v>
      </c>
      <c r="I782" s="11">
        <f t="shared" si="49"/>
        <v>0</v>
      </c>
      <c r="J782" s="11">
        <f t="shared" si="51"/>
        <v>0</v>
      </c>
    </row>
    <row r="783" spans="1:10" x14ac:dyDescent="0.3">
      <c r="A783" s="7">
        <v>44878.388888888257</v>
      </c>
      <c r="B783" s="8" t="s">
        <v>7</v>
      </c>
      <c r="C783" s="8">
        <v>0</v>
      </c>
      <c r="D783" t="str">
        <f t="shared" si="50"/>
        <v>Sunday</v>
      </c>
      <c r="E783">
        <v>47</v>
      </c>
      <c r="F783" s="11">
        <f>VLOOKUP(B783,'ITEMS LIST'!$B$2:$F$19,4,FALSE)</f>
        <v>680</v>
      </c>
      <c r="G783" s="11">
        <f>VLOOKUP(B783,'ITEMS LIST'!$B$2:$F$19,5,FALSE)</f>
        <v>570</v>
      </c>
      <c r="H783" s="11">
        <f t="shared" si="48"/>
        <v>0</v>
      </c>
      <c r="I783" s="11">
        <f t="shared" si="49"/>
        <v>0</v>
      </c>
      <c r="J783" s="11">
        <f t="shared" si="51"/>
        <v>0</v>
      </c>
    </row>
    <row r="784" spans="1:10" x14ac:dyDescent="0.3">
      <c r="A784" s="7">
        <v>44878.444444443812</v>
      </c>
      <c r="B784" s="8" t="s">
        <v>8</v>
      </c>
      <c r="C784" s="8">
        <v>0</v>
      </c>
      <c r="D784" t="str">
        <f t="shared" si="50"/>
        <v>Sunday</v>
      </c>
      <c r="E784">
        <v>47</v>
      </c>
      <c r="F784" s="11">
        <f>VLOOKUP(B784,'ITEMS LIST'!$B$2:$F$19,4,FALSE)</f>
        <v>199</v>
      </c>
      <c r="G784" s="11">
        <f>VLOOKUP(B784,'ITEMS LIST'!$B$2:$F$19,5,FALSE)</f>
        <v>140</v>
      </c>
      <c r="H784" s="11">
        <f t="shared" si="48"/>
        <v>0</v>
      </c>
      <c r="I784" s="11">
        <f t="shared" si="49"/>
        <v>0</v>
      </c>
      <c r="J784" s="11">
        <f t="shared" si="51"/>
        <v>0</v>
      </c>
    </row>
    <row r="785" spans="1:10" x14ac:dyDescent="0.3">
      <c r="A785" s="7">
        <v>44878.499999999367</v>
      </c>
      <c r="B785" s="8" t="s">
        <v>9</v>
      </c>
      <c r="C785" s="8">
        <v>0</v>
      </c>
      <c r="D785" t="str">
        <f t="shared" si="50"/>
        <v>Sunday</v>
      </c>
      <c r="E785">
        <v>47</v>
      </c>
      <c r="F785" s="11">
        <f>VLOOKUP(B785,'ITEMS LIST'!$B$2:$F$19,4,FALSE)</f>
        <v>219</v>
      </c>
      <c r="G785" s="11">
        <f>VLOOKUP(B785,'ITEMS LIST'!$B$2:$F$19,5,FALSE)</f>
        <v>132</v>
      </c>
      <c r="H785" s="11">
        <f t="shared" si="48"/>
        <v>0</v>
      </c>
      <c r="I785" s="11">
        <f t="shared" si="49"/>
        <v>0</v>
      </c>
      <c r="J785" s="11">
        <f t="shared" si="51"/>
        <v>0</v>
      </c>
    </row>
    <row r="786" spans="1:10" x14ac:dyDescent="0.3">
      <c r="A786" s="7">
        <v>44878.555555554922</v>
      </c>
      <c r="B786" s="8" t="s">
        <v>10</v>
      </c>
      <c r="C786" s="8">
        <v>0</v>
      </c>
      <c r="D786" t="str">
        <f t="shared" si="50"/>
        <v>Sunday</v>
      </c>
      <c r="E786">
        <v>47</v>
      </c>
      <c r="F786" s="11">
        <f>VLOOKUP(B786,'ITEMS LIST'!$B$2:$F$19,4,FALSE)</f>
        <v>1469</v>
      </c>
      <c r="G786" s="11">
        <f>VLOOKUP(B786,'ITEMS LIST'!$B$2:$F$19,5,FALSE)</f>
        <v>1184</v>
      </c>
      <c r="H786" s="11">
        <f t="shared" si="48"/>
        <v>0</v>
      </c>
      <c r="I786" s="11">
        <f t="shared" si="49"/>
        <v>0</v>
      </c>
      <c r="J786" s="11">
        <f t="shared" si="51"/>
        <v>0</v>
      </c>
    </row>
    <row r="787" spans="1:10" x14ac:dyDescent="0.3">
      <c r="A787" s="7">
        <v>44878.611111110476</v>
      </c>
      <c r="B787" s="8" t="s">
        <v>11</v>
      </c>
      <c r="C787" s="8">
        <v>0</v>
      </c>
      <c r="D787" t="str">
        <f t="shared" si="50"/>
        <v>Sunday</v>
      </c>
      <c r="E787">
        <v>47</v>
      </c>
      <c r="F787" s="11">
        <f>VLOOKUP(B787,'ITEMS LIST'!$B$2:$F$19,4,FALSE)</f>
        <v>89</v>
      </c>
      <c r="G787" s="11">
        <f>VLOOKUP(B787,'ITEMS LIST'!$B$2:$F$19,5,FALSE)</f>
        <v>59</v>
      </c>
      <c r="H787" s="11">
        <f t="shared" si="48"/>
        <v>0</v>
      </c>
      <c r="I787" s="11">
        <f t="shared" si="49"/>
        <v>0</v>
      </c>
      <c r="J787" s="11">
        <f t="shared" si="51"/>
        <v>0</v>
      </c>
    </row>
    <row r="788" spans="1:10" x14ac:dyDescent="0.3">
      <c r="A788" s="7">
        <v>44878.666666666031</v>
      </c>
      <c r="B788" s="8" t="s">
        <v>12</v>
      </c>
      <c r="C788" s="8">
        <v>0</v>
      </c>
      <c r="D788" t="str">
        <f t="shared" si="50"/>
        <v>Sunday</v>
      </c>
      <c r="E788">
        <v>47</v>
      </c>
      <c r="F788" s="11">
        <f>VLOOKUP(B788,'ITEMS LIST'!$B$2:$F$19,4,FALSE)</f>
        <v>310</v>
      </c>
      <c r="G788" s="11">
        <f>VLOOKUP(B788,'ITEMS LIST'!$B$2:$F$19,5,FALSE)</f>
        <v>206</v>
      </c>
      <c r="H788" s="11">
        <f t="shared" si="48"/>
        <v>0</v>
      </c>
      <c r="I788" s="11">
        <f t="shared" si="49"/>
        <v>0</v>
      </c>
      <c r="J788" s="11">
        <f t="shared" si="51"/>
        <v>0</v>
      </c>
    </row>
    <row r="789" spans="1:10" x14ac:dyDescent="0.3">
      <c r="A789" s="7">
        <v>44878.722222221586</v>
      </c>
      <c r="B789" s="8" t="s">
        <v>13</v>
      </c>
      <c r="C789" s="8">
        <v>0</v>
      </c>
      <c r="D789" t="str">
        <f t="shared" si="50"/>
        <v>Sunday</v>
      </c>
      <c r="E789">
        <v>47</v>
      </c>
      <c r="F789" s="11">
        <f>VLOOKUP(B789,'ITEMS LIST'!$B$2:$F$19,4,FALSE)</f>
        <v>540</v>
      </c>
      <c r="G789" s="11">
        <f>VLOOKUP(B789,'ITEMS LIST'!$B$2:$F$19,5,FALSE)</f>
        <v>397</v>
      </c>
      <c r="H789" s="11">
        <f t="shared" si="48"/>
        <v>0</v>
      </c>
      <c r="I789" s="11">
        <f t="shared" si="49"/>
        <v>0</v>
      </c>
      <c r="J789" s="11">
        <f t="shared" si="51"/>
        <v>0</v>
      </c>
    </row>
    <row r="790" spans="1:10" x14ac:dyDescent="0.3">
      <c r="A790" s="7">
        <v>44878.777777777141</v>
      </c>
      <c r="B790" s="8" t="s">
        <v>14</v>
      </c>
      <c r="C790" s="8">
        <v>0</v>
      </c>
      <c r="D790" t="str">
        <f t="shared" si="50"/>
        <v>Sunday</v>
      </c>
      <c r="E790">
        <v>47</v>
      </c>
      <c r="F790" s="11">
        <f>VLOOKUP(B790,'ITEMS LIST'!$B$2:$F$19,4,FALSE)</f>
        <v>360</v>
      </c>
      <c r="G790" s="11">
        <f>VLOOKUP(B790,'ITEMS LIST'!$B$2:$F$19,5,FALSE)</f>
        <v>248</v>
      </c>
      <c r="H790" s="11">
        <f t="shared" si="48"/>
        <v>0</v>
      </c>
      <c r="I790" s="11">
        <f t="shared" si="49"/>
        <v>0</v>
      </c>
      <c r="J790" s="11">
        <f t="shared" si="51"/>
        <v>0</v>
      </c>
    </row>
    <row r="791" spans="1:10" x14ac:dyDescent="0.3">
      <c r="A791" s="7">
        <v>44878.833333332695</v>
      </c>
      <c r="B791" s="8" t="s">
        <v>15</v>
      </c>
      <c r="C791" s="8">
        <v>0</v>
      </c>
      <c r="D791" t="str">
        <f t="shared" si="50"/>
        <v>Sunday</v>
      </c>
      <c r="E791">
        <v>47</v>
      </c>
      <c r="F791" s="11">
        <f>VLOOKUP(B791,'ITEMS LIST'!$B$2:$F$19,4,FALSE)</f>
        <v>250</v>
      </c>
      <c r="G791" s="11">
        <f>VLOOKUP(B791,'ITEMS LIST'!$B$2:$F$19,5,FALSE)</f>
        <v>190</v>
      </c>
      <c r="H791" s="11">
        <f t="shared" si="48"/>
        <v>0</v>
      </c>
      <c r="I791" s="11">
        <f t="shared" si="49"/>
        <v>0</v>
      </c>
      <c r="J791" s="11">
        <f t="shared" si="51"/>
        <v>0</v>
      </c>
    </row>
    <row r="792" spans="1:10" x14ac:dyDescent="0.3">
      <c r="A792" s="7">
        <v>44878.88888888825</v>
      </c>
      <c r="B792" s="8" t="s">
        <v>16</v>
      </c>
      <c r="C792" s="8">
        <v>0</v>
      </c>
      <c r="D792" t="str">
        <f t="shared" si="50"/>
        <v>Sunday</v>
      </c>
      <c r="E792">
        <v>47</v>
      </c>
      <c r="F792" s="11">
        <f>VLOOKUP(B792,'ITEMS LIST'!$B$2:$F$19,4,FALSE)</f>
        <v>120</v>
      </c>
      <c r="G792" s="11">
        <f>VLOOKUP(B792,'ITEMS LIST'!$B$2:$F$19,5,FALSE)</f>
        <v>85</v>
      </c>
      <c r="H792" s="11">
        <f t="shared" si="48"/>
        <v>0</v>
      </c>
      <c r="I792" s="11">
        <f t="shared" si="49"/>
        <v>0</v>
      </c>
      <c r="J792" s="11">
        <f t="shared" si="51"/>
        <v>0</v>
      </c>
    </row>
    <row r="793" spans="1:10" x14ac:dyDescent="0.3">
      <c r="A793" s="7">
        <v>44878.944444443805</v>
      </c>
      <c r="B793" s="8" t="s">
        <v>17</v>
      </c>
      <c r="C793" s="8">
        <v>0</v>
      </c>
      <c r="D793" t="str">
        <f t="shared" si="50"/>
        <v>Sunday</v>
      </c>
      <c r="E793">
        <v>47</v>
      </c>
      <c r="F793" s="11">
        <f>VLOOKUP(B793,'ITEMS LIST'!$B$2:$F$19,4,FALSE)</f>
        <v>80</v>
      </c>
      <c r="G793" s="11">
        <f>VLOOKUP(B793,'ITEMS LIST'!$B$2:$F$19,5,FALSE)</f>
        <v>55</v>
      </c>
      <c r="H793" s="11">
        <f t="shared" si="48"/>
        <v>0</v>
      </c>
      <c r="I793" s="11">
        <f t="shared" si="49"/>
        <v>0</v>
      </c>
      <c r="J793" s="11">
        <f t="shared" si="51"/>
        <v>0</v>
      </c>
    </row>
    <row r="794" spans="1:10" x14ac:dyDescent="0.3">
      <c r="A794" s="7">
        <v>44878.99999999936</v>
      </c>
      <c r="B794" s="8" t="s">
        <v>0</v>
      </c>
      <c r="C794" s="8">
        <v>0</v>
      </c>
      <c r="D794" t="str">
        <f t="shared" si="50"/>
        <v>Monday</v>
      </c>
      <c r="E794">
        <v>47</v>
      </c>
      <c r="F794" s="11">
        <f>VLOOKUP(B794,'ITEMS LIST'!$B$2:$F$19,4,FALSE)</f>
        <v>549</v>
      </c>
      <c r="G794" s="11">
        <f>VLOOKUP(B794,'ITEMS LIST'!$B$2:$F$19,5,FALSE)</f>
        <v>365</v>
      </c>
      <c r="H794" s="11">
        <f t="shared" si="48"/>
        <v>0</v>
      </c>
      <c r="I794" s="11">
        <f t="shared" si="49"/>
        <v>0</v>
      </c>
      <c r="J794" s="11">
        <f t="shared" si="51"/>
        <v>0</v>
      </c>
    </row>
    <row r="795" spans="1:10" x14ac:dyDescent="0.3">
      <c r="A795" s="7">
        <v>44879.055555554914</v>
      </c>
      <c r="B795" s="8" t="s">
        <v>1</v>
      </c>
      <c r="C795" s="8">
        <v>0</v>
      </c>
      <c r="D795" t="str">
        <f t="shared" si="50"/>
        <v>Monday</v>
      </c>
      <c r="E795">
        <v>47</v>
      </c>
      <c r="F795" s="11">
        <f>VLOOKUP(B795,'ITEMS LIST'!$B$2:$F$19,4,FALSE)</f>
        <v>699</v>
      </c>
      <c r="G795" s="11">
        <f>VLOOKUP(B795,'ITEMS LIST'!$B$2:$F$19,5,FALSE)</f>
        <v>550</v>
      </c>
      <c r="H795" s="11">
        <f t="shared" si="48"/>
        <v>0</v>
      </c>
      <c r="I795" s="11">
        <f t="shared" si="49"/>
        <v>0</v>
      </c>
      <c r="J795" s="11">
        <f t="shared" si="51"/>
        <v>0</v>
      </c>
    </row>
    <row r="796" spans="1:10" x14ac:dyDescent="0.3">
      <c r="A796" s="7">
        <v>44879.111111110469</v>
      </c>
      <c r="B796" s="8" t="s">
        <v>2</v>
      </c>
      <c r="C796" s="8">
        <v>0</v>
      </c>
      <c r="D796" t="str">
        <f t="shared" si="50"/>
        <v>Monday</v>
      </c>
      <c r="E796">
        <v>47</v>
      </c>
      <c r="F796" s="11">
        <f>VLOOKUP(B796,'ITEMS LIST'!$B$2:$F$19,4,FALSE)</f>
        <v>739</v>
      </c>
      <c r="G796" s="11">
        <f>VLOOKUP(B796,'ITEMS LIST'!$B$2:$F$19,5,FALSE)</f>
        <v>620</v>
      </c>
      <c r="H796" s="11">
        <f t="shared" si="48"/>
        <v>0</v>
      </c>
      <c r="I796" s="11">
        <f t="shared" si="49"/>
        <v>0</v>
      </c>
      <c r="J796" s="11">
        <f t="shared" si="51"/>
        <v>0</v>
      </c>
    </row>
    <row r="797" spans="1:10" x14ac:dyDescent="0.3">
      <c r="A797" s="7">
        <v>44879.166666666024</v>
      </c>
      <c r="B797" s="8" t="s">
        <v>3</v>
      </c>
      <c r="C797" s="8">
        <v>0</v>
      </c>
      <c r="D797" t="str">
        <f t="shared" si="50"/>
        <v>Monday</v>
      </c>
      <c r="E797">
        <v>47</v>
      </c>
      <c r="F797" s="11">
        <f>VLOOKUP(B797,'ITEMS LIST'!$B$2:$F$19,4,FALSE)</f>
        <v>899</v>
      </c>
      <c r="G797" s="11">
        <f>VLOOKUP(B797,'ITEMS LIST'!$B$2:$F$19,5,FALSE)</f>
        <v>714</v>
      </c>
      <c r="H797" s="11">
        <f t="shared" si="48"/>
        <v>0</v>
      </c>
      <c r="I797" s="11">
        <f t="shared" si="49"/>
        <v>0</v>
      </c>
      <c r="J797" s="11">
        <f t="shared" si="51"/>
        <v>0</v>
      </c>
    </row>
    <row r="798" spans="1:10" x14ac:dyDescent="0.3">
      <c r="A798" s="7">
        <v>44879.222222221579</v>
      </c>
      <c r="B798" s="8" t="s">
        <v>4</v>
      </c>
      <c r="C798" s="8">
        <v>0</v>
      </c>
      <c r="D798" t="str">
        <f t="shared" si="50"/>
        <v>Monday</v>
      </c>
      <c r="E798">
        <v>47</v>
      </c>
      <c r="F798" s="11">
        <f>VLOOKUP(B798,'ITEMS LIST'!$B$2:$F$19,4,FALSE)</f>
        <v>1379</v>
      </c>
      <c r="G798" s="11">
        <f>VLOOKUP(B798,'ITEMS LIST'!$B$2:$F$19,5,FALSE)</f>
        <v>890</v>
      </c>
      <c r="H798" s="11">
        <f t="shared" si="48"/>
        <v>0</v>
      </c>
      <c r="I798" s="11">
        <f t="shared" si="49"/>
        <v>0</v>
      </c>
      <c r="J798" s="11">
        <f t="shared" si="51"/>
        <v>0</v>
      </c>
    </row>
    <row r="799" spans="1:10" x14ac:dyDescent="0.3">
      <c r="A799" s="7">
        <v>44879.277777777133</v>
      </c>
      <c r="B799" s="8" t="s">
        <v>5</v>
      </c>
      <c r="C799" s="8">
        <v>0</v>
      </c>
      <c r="D799" t="str">
        <f t="shared" si="50"/>
        <v>Monday</v>
      </c>
      <c r="E799">
        <v>47</v>
      </c>
      <c r="F799" s="11">
        <f>VLOOKUP(B799,'ITEMS LIST'!$B$2:$F$19,4,FALSE)</f>
        <v>849</v>
      </c>
      <c r="G799" s="11">
        <f>VLOOKUP(B799,'ITEMS LIST'!$B$2:$F$19,5,FALSE)</f>
        <v>530</v>
      </c>
      <c r="H799" s="11">
        <f t="shared" si="48"/>
        <v>0</v>
      </c>
      <c r="I799" s="11">
        <f t="shared" si="49"/>
        <v>0</v>
      </c>
      <c r="J799" s="11">
        <f t="shared" si="51"/>
        <v>0</v>
      </c>
    </row>
    <row r="800" spans="1:10" x14ac:dyDescent="0.3">
      <c r="A800" s="7">
        <v>44879.333333332688</v>
      </c>
      <c r="B800" s="8" t="s">
        <v>6</v>
      </c>
      <c r="C800" s="8">
        <v>0</v>
      </c>
      <c r="D800" t="str">
        <f t="shared" si="50"/>
        <v>Monday</v>
      </c>
      <c r="E800">
        <v>47</v>
      </c>
      <c r="F800" s="11">
        <f>VLOOKUP(B800,'ITEMS LIST'!$B$2:$F$19,4,FALSE)</f>
        <v>1000</v>
      </c>
      <c r="G800" s="11">
        <f>VLOOKUP(B800,'ITEMS LIST'!$B$2:$F$19,5,FALSE)</f>
        <v>768</v>
      </c>
      <c r="H800" s="11">
        <f t="shared" si="48"/>
        <v>0</v>
      </c>
      <c r="I800" s="11">
        <f t="shared" si="49"/>
        <v>0</v>
      </c>
      <c r="J800" s="11">
        <f t="shared" si="51"/>
        <v>0</v>
      </c>
    </row>
    <row r="801" spans="1:10" x14ac:dyDescent="0.3">
      <c r="A801" s="7">
        <v>44879.388888888243</v>
      </c>
      <c r="B801" s="8" t="s">
        <v>7</v>
      </c>
      <c r="C801" s="8">
        <v>0</v>
      </c>
      <c r="D801" t="str">
        <f t="shared" si="50"/>
        <v>Monday</v>
      </c>
      <c r="E801">
        <v>47</v>
      </c>
      <c r="F801" s="11">
        <f>VLOOKUP(B801,'ITEMS LIST'!$B$2:$F$19,4,FALSE)</f>
        <v>680</v>
      </c>
      <c r="G801" s="11">
        <f>VLOOKUP(B801,'ITEMS LIST'!$B$2:$F$19,5,FALSE)</f>
        <v>570</v>
      </c>
      <c r="H801" s="11">
        <f t="shared" si="48"/>
        <v>0</v>
      </c>
      <c r="I801" s="11">
        <f t="shared" si="49"/>
        <v>0</v>
      </c>
      <c r="J801" s="11">
        <f t="shared" si="51"/>
        <v>0</v>
      </c>
    </row>
    <row r="802" spans="1:10" x14ac:dyDescent="0.3">
      <c r="A802" s="7">
        <v>44879.444444443798</v>
      </c>
      <c r="B802" s="8" t="s">
        <v>8</v>
      </c>
      <c r="C802" s="8">
        <v>0</v>
      </c>
      <c r="D802" t="str">
        <f t="shared" si="50"/>
        <v>Monday</v>
      </c>
      <c r="E802">
        <v>47</v>
      </c>
      <c r="F802" s="11">
        <f>VLOOKUP(B802,'ITEMS LIST'!$B$2:$F$19,4,FALSE)</f>
        <v>199</v>
      </c>
      <c r="G802" s="11">
        <f>VLOOKUP(B802,'ITEMS LIST'!$B$2:$F$19,5,FALSE)</f>
        <v>140</v>
      </c>
      <c r="H802" s="11">
        <f t="shared" si="48"/>
        <v>0</v>
      </c>
      <c r="I802" s="11">
        <f t="shared" si="49"/>
        <v>0</v>
      </c>
      <c r="J802" s="11">
        <f t="shared" si="51"/>
        <v>0</v>
      </c>
    </row>
    <row r="803" spans="1:10" x14ac:dyDescent="0.3">
      <c r="A803" s="7">
        <v>44879.499999999352</v>
      </c>
      <c r="B803" s="8" t="s">
        <v>9</v>
      </c>
      <c r="C803" s="8">
        <v>0</v>
      </c>
      <c r="D803" t="str">
        <f t="shared" si="50"/>
        <v>Monday</v>
      </c>
      <c r="E803">
        <v>47</v>
      </c>
      <c r="F803" s="11">
        <f>VLOOKUP(B803,'ITEMS LIST'!$B$2:$F$19,4,FALSE)</f>
        <v>219</v>
      </c>
      <c r="G803" s="11">
        <f>VLOOKUP(B803,'ITEMS LIST'!$B$2:$F$19,5,FALSE)</f>
        <v>132</v>
      </c>
      <c r="H803" s="11">
        <f t="shared" si="48"/>
        <v>0</v>
      </c>
      <c r="I803" s="11">
        <f t="shared" si="49"/>
        <v>0</v>
      </c>
      <c r="J803" s="11">
        <f t="shared" si="51"/>
        <v>0</v>
      </c>
    </row>
    <row r="804" spans="1:10" x14ac:dyDescent="0.3">
      <c r="A804" s="7">
        <v>44879.555555554907</v>
      </c>
      <c r="B804" s="8" t="s">
        <v>10</v>
      </c>
      <c r="C804" s="8">
        <v>0</v>
      </c>
      <c r="D804" t="str">
        <f t="shared" si="50"/>
        <v>Monday</v>
      </c>
      <c r="E804">
        <v>47</v>
      </c>
      <c r="F804" s="11">
        <f>VLOOKUP(B804,'ITEMS LIST'!$B$2:$F$19,4,FALSE)</f>
        <v>1469</v>
      </c>
      <c r="G804" s="11">
        <f>VLOOKUP(B804,'ITEMS LIST'!$B$2:$F$19,5,FALSE)</f>
        <v>1184</v>
      </c>
      <c r="H804" s="11">
        <f t="shared" si="48"/>
        <v>0</v>
      </c>
      <c r="I804" s="11">
        <f t="shared" si="49"/>
        <v>0</v>
      </c>
      <c r="J804" s="11">
        <f t="shared" si="51"/>
        <v>0</v>
      </c>
    </row>
    <row r="805" spans="1:10" x14ac:dyDescent="0.3">
      <c r="A805" s="7">
        <v>44879.611111110462</v>
      </c>
      <c r="B805" s="8" t="s">
        <v>11</v>
      </c>
      <c r="C805" s="8">
        <v>0</v>
      </c>
      <c r="D805" t="str">
        <f t="shared" si="50"/>
        <v>Monday</v>
      </c>
      <c r="E805">
        <v>47</v>
      </c>
      <c r="F805" s="11">
        <f>VLOOKUP(B805,'ITEMS LIST'!$B$2:$F$19,4,FALSE)</f>
        <v>89</v>
      </c>
      <c r="G805" s="11">
        <f>VLOOKUP(B805,'ITEMS LIST'!$B$2:$F$19,5,FALSE)</f>
        <v>59</v>
      </c>
      <c r="H805" s="11">
        <f t="shared" si="48"/>
        <v>0</v>
      </c>
      <c r="I805" s="11">
        <f t="shared" si="49"/>
        <v>0</v>
      </c>
      <c r="J805" s="11">
        <f t="shared" si="51"/>
        <v>0</v>
      </c>
    </row>
    <row r="806" spans="1:10" x14ac:dyDescent="0.3">
      <c r="A806" s="7">
        <v>44879.666666666017</v>
      </c>
      <c r="B806" s="8" t="s">
        <v>12</v>
      </c>
      <c r="C806" s="8">
        <v>0</v>
      </c>
      <c r="D806" t="str">
        <f t="shared" si="50"/>
        <v>Monday</v>
      </c>
      <c r="E806">
        <v>47</v>
      </c>
      <c r="F806" s="11">
        <f>VLOOKUP(B806,'ITEMS LIST'!$B$2:$F$19,4,FALSE)</f>
        <v>310</v>
      </c>
      <c r="G806" s="11">
        <f>VLOOKUP(B806,'ITEMS LIST'!$B$2:$F$19,5,FALSE)</f>
        <v>206</v>
      </c>
      <c r="H806" s="11">
        <f t="shared" si="48"/>
        <v>0</v>
      </c>
      <c r="I806" s="11">
        <f t="shared" si="49"/>
        <v>0</v>
      </c>
      <c r="J806" s="11">
        <f t="shared" si="51"/>
        <v>0</v>
      </c>
    </row>
    <row r="807" spans="1:10" x14ac:dyDescent="0.3">
      <c r="A807" s="7">
        <v>44879.722222221571</v>
      </c>
      <c r="B807" s="8" t="s">
        <v>13</v>
      </c>
      <c r="C807" s="8">
        <v>0</v>
      </c>
      <c r="D807" t="str">
        <f t="shared" si="50"/>
        <v>Monday</v>
      </c>
      <c r="E807">
        <v>47</v>
      </c>
      <c r="F807" s="11">
        <f>VLOOKUP(B807,'ITEMS LIST'!$B$2:$F$19,4,FALSE)</f>
        <v>540</v>
      </c>
      <c r="G807" s="11">
        <f>VLOOKUP(B807,'ITEMS LIST'!$B$2:$F$19,5,FALSE)</f>
        <v>397</v>
      </c>
      <c r="H807" s="11">
        <f t="shared" si="48"/>
        <v>0</v>
      </c>
      <c r="I807" s="11">
        <f t="shared" si="49"/>
        <v>0</v>
      </c>
      <c r="J807" s="11">
        <f t="shared" si="51"/>
        <v>0</v>
      </c>
    </row>
    <row r="808" spans="1:10" x14ac:dyDescent="0.3">
      <c r="A808" s="7">
        <v>44879.777777777126</v>
      </c>
      <c r="B808" s="8" t="s">
        <v>14</v>
      </c>
      <c r="C808" s="8">
        <v>0</v>
      </c>
      <c r="D808" t="str">
        <f t="shared" si="50"/>
        <v>Monday</v>
      </c>
      <c r="E808">
        <v>47</v>
      </c>
      <c r="F808" s="11">
        <f>VLOOKUP(B808,'ITEMS LIST'!$B$2:$F$19,4,FALSE)</f>
        <v>360</v>
      </c>
      <c r="G808" s="11">
        <f>VLOOKUP(B808,'ITEMS LIST'!$B$2:$F$19,5,FALSE)</f>
        <v>248</v>
      </c>
      <c r="H808" s="11">
        <f t="shared" si="48"/>
        <v>0</v>
      </c>
      <c r="I808" s="11">
        <f t="shared" si="49"/>
        <v>0</v>
      </c>
      <c r="J808" s="11">
        <f t="shared" si="51"/>
        <v>0</v>
      </c>
    </row>
    <row r="809" spans="1:10" x14ac:dyDescent="0.3">
      <c r="A809" s="7">
        <v>44879.833333332681</v>
      </c>
      <c r="B809" s="8" t="s">
        <v>15</v>
      </c>
      <c r="C809" s="8">
        <v>0</v>
      </c>
      <c r="D809" t="str">
        <f t="shared" si="50"/>
        <v>Monday</v>
      </c>
      <c r="E809">
        <v>47</v>
      </c>
      <c r="F809" s="11">
        <f>VLOOKUP(B809,'ITEMS LIST'!$B$2:$F$19,4,FALSE)</f>
        <v>250</v>
      </c>
      <c r="G809" s="11">
        <f>VLOOKUP(B809,'ITEMS LIST'!$B$2:$F$19,5,FALSE)</f>
        <v>190</v>
      </c>
      <c r="H809" s="11">
        <f t="shared" si="48"/>
        <v>0</v>
      </c>
      <c r="I809" s="11">
        <f t="shared" si="49"/>
        <v>0</v>
      </c>
      <c r="J809" s="11">
        <f t="shared" si="51"/>
        <v>0</v>
      </c>
    </row>
    <row r="810" spans="1:10" x14ac:dyDescent="0.3">
      <c r="A810" s="7">
        <v>44879.888888888236</v>
      </c>
      <c r="B810" s="8" t="s">
        <v>16</v>
      </c>
      <c r="C810" s="8">
        <v>0</v>
      </c>
      <c r="D810" t="str">
        <f t="shared" si="50"/>
        <v>Monday</v>
      </c>
      <c r="E810">
        <v>47</v>
      </c>
      <c r="F810" s="11">
        <f>VLOOKUP(B810,'ITEMS LIST'!$B$2:$F$19,4,FALSE)</f>
        <v>120</v>
      </c>
      <c r="G810" s="11">
        <f>VLOOKUP(B810,'ITEMS LIST'!$B$2:$F$19,5,FALSE)</f>
        <v>85</v>
      </c>
      <c r="H810" s="11">
        <f t="shared" si="48"/>
        <v>0</v>
      </c>
      <c r="I810" s="11">
        <f t="shared" si="49"/>
        <v>0</v>
      </c>
      <c r="J810" s="11">
        <f t="shared" si="51"/>
        <v>0</v>
      </c>
    </row>
    <row r="811" spans="1:10" x14ac:dyDescent="0.3">
      <c r="A811" s="7">
        <v>44879.94444444379</v>
      </c>
      <c r="B811" s="8" t="s">
        <v>17</v>
      </c>
      <c r="C811" s="8">
        <v>0</v>
      </c>
      <c r="D811" t="str">
        <f t="shared" si="50"/>
        <v>Monday</v>
      </c>
      <c r="E811">
        <v>47</v>
      </c>
      <c r="F811" s="11">
        <f>VLOOKUP(B811,'ITEMS LIST'!$B$2:$F$19,4,FALSE)</f>
        <v>80</v>
      </c>
      <c r="G811" s="11">
        <f>VLOOKUP(B811,'ITEMS LIST'!$B$2:$F$19,5,FALSE)</f>
        <v>55</v>
      </c>
      <c r="H811" s="11">
        <f t="shared" si="48"/>
        <v>0</v>
      </c>
      <c r="I811" s="11">
        <f t="shared" si="49"/>
        <v>0</v>
      </c>
      <c r="J811" s="11">
        <f t="shared" si="51"/>
        <v>0</v>
      </c>
    </row>
    <row r="812" spans="1:10" x14ac:dyDescent="0.3">
      <c r="A812" s="7">
        <v>44879.999999999345</v>
      </c>
      <c r="B812" s="8" t="s">
        <v>0</v>
      </c>
      <c r="C812" s="8">
        <v>0</v>
      </c>
      <c r="D812" t="str">
        <f t="shared" si="50"/>
        <v>Tuesday</v>
      </c>
      <c r="E812">
        <v>47</v>
      </c>
      <c r="F812" s="11">
        <f>VLOOKUP(B812,'ITEMS LIST'!$B$2:$F$19,4,FALSE)</f>
        <v>549</v>
      </c>
      <c r="G812" s="11">
        <f>VLOOKUP(B812,'ITEMS LIST'!$B$2:$F$19,5,FALSE)</f>
        <v>365</v>
      </c>
      <c r="H812" s="11">
        <f t="shared" si="48"/>
        <v>0</v>
      </c>
      <c r="I812" s="11">
        <f t="shared" si="49"/>
        <v>0</v>
      </c>
      <c r="J812" s="11">
        <f t="shared" si="51"/>
        <v>0</v>
      </c>
    </row>
    <row r="813" spans="1:10" x14ac:dyDescent="0.3">
      <c r="A813" s="7">
        <v>44880.0555555549</v>
      </c>
      <c r="B813" s="8" t="s">
        <v>1</v>
      </c>
      <c r="C813" s="8">
        <v>0</v>
      </c>
      <c r="D813" t="str">
        <f t="shared" si="50"/>
        <v>Tuesday</v>
      </c>
      <c r="E813">
        <v>47</v>
      </c>
      <c r="F813" s="11">
        <f>VLOOKUP(B813,'ITEMS LIST'!$B$2:$F$19,4,FALSE)</f>
        <v>699</v>
      </c>
      <c r="G813" s="11">
        <f>VLOOKUP(B813,'ITEMS LIST'!$B$2:$F$19,5,FALSE)</f>
        <v>550</v>
      </c>
      <c r="H813" s="11">
        <f t="shared" si="48"/>
        <v>0</v>
      </c>
      <c r="I813" s="11">
        <f t="shared" si="49"/>
        <v>0</v>
      </c>
      <c r="J813" s="11">
        <f t="shared" si="51"/>
        <v>0</v>
      </c>
    </row>
    <row r="814" spans="1:10" x14ac:dyDescent="0.3">
      <c r="A814" s="7">
        <v>44880.111111110455</v>
      </c>
      <c r="B814" s="8" t="s">
        <v>2</v>
      </c>
      <c r="C814" s="8">
        <v>0</v>
      </c>
      <c r="D814" t="str">
        <f t="shared" si="50"/>
        <v>Tuesday</v>
      </c>
      <c r="E814">
        <v>47</v>
      </c>
      <c r="F814" s="11">
        <f>VLOOKUP(B814,'ITEMS LIST'!$B$2:$F$19,4,FALSE)</f>
        <v>739</v>
      </c>
      <c r="G814" s="11">
        <f>VLOOKUP(B814,'ITEMS LIST'!$B$2:$F$19,5,FALSE)</f>
        <v>620</v>
      </c>
      <c r="H814" s="11">
        <f t="shared" si="48"/>
        <v>0</v>
      </c>
      <c r="I814" s="11">
        <f t="shared" si="49"/>
        <v>0</v>
      </c>
      <c r="J814" s="11">
        <f t="shared" si="51"/>
        <v>0</v>
      </c>
    </row>
    <row r="815" spans="1:10" x14ac:dyDescent="0.3">
      <c r="A815" s="7">
        <v>44880.166666666009</v>
      </c>
      <c r="B815" s="8" t="s">
        <v>3</v>
      </c>
      <c r="C815" s="8">
        <v>0</v>
      </c>
      <c r="D815" t="str">
        <f t="shared" si="50"/>
        <v>Tuesday</v>
      </c>
      <c r="E815">
        <v>47</v>
      </c>
      <c r="F815" s="11">
        <f>VLOOKUP(B815,'ITEMS LIST'!$B$2:$F$19,4,FALSE)</f>
        <v>899</v>
      </c>
      <c r="G815" s="11">
        <f>VLOOKUP(B815,'ITEMS LIST'!$B$2:$F$19,5,FALSE)</f>
        <v>714</v>
      </c>
      <c r="H815" s="11">
        <f t="shared" si="48"/>
        <v>0</v>
      </c>
      <c r="I815" s="11">
        <f t="shared" si="49"/>
        <v>0</v>
      </c>
      <c r="J815" s="11">
        <f t="shared" si="51"/>
        <v>0</v>
      </c>
    </row>
    <row r="816" spans="1:10" x14ac:dyDescent="0.3">
      <c r="A816" s="7">
        <v>44880.222222221564</v>
      </c>
      <c r="B816" s="8" t="s">
        <v>4</v>
      </c>
      <c r="C816" s="8">
        <v>0</v>
      </c>
      <c r="D816" t="str">
        <f t="shared" si="50"/>
        <v>Tuesday</v>
      </c>
      <c r="E816">
        <v>47</v>
      </c>
      <c r="F816" s="11">
        <f>VLOOKUP(B816,'ITEMS LIST'!$B$2:$F$19,4,FALSE)</f>
        <v>1379</v>
      </c>
      <c r="G816" s="11">
        <f>VLOOKUP(B816,'ITEMS LIST'!$B$2:$F$19,5,FALSE)</f>
        <v>890</v>
      </c>
      <c r="H816" s="11">
        <f t="shared" si="48"/>
        <v>0</v>
      </c>
      <c r="I816" s="11">
        <f t="shared" si="49"/>
        <v>0</v>
      </c>
      <c r="J816" s="11">
        <f t="shared" si="51"/>
        <v>0</v>
      </c>
    </row>
    <row r="817" spans="1:10" x14ac:dyDescent="0.3">
      <c r="A817" s="7">
        <v>44880.277777777119</v>
      </c>
      <c r="B817" s="8" t="s">
        <v>5</v>
      </c>
      <c r="C817" s="8">
        <v>0</v>
      </c>
      <c r="D817" t="str">
        <f t="shared" si="50"/>
        <v>Tuesday</v>
      </c>
      <c r="E817">
        <v>47</v>
      </c>
      <c r="F817" s="11">
        <f>VLOOKUP(B817,'ITEMS LIST'!$B$2:$F$19,4,FALSE)</f>
        <v>849</v>
      </c>
      <c r="G817" s="11">
        <f>VLOOKUP(B817,'ITEMS LIST'!$B$2:$F$19,5,FALSE)</f>
        <v>530</v>
      </c>
      <c r="H817" s="11">
        <f t="shared" si="48"/>
        <v>0</v>
      </c>
      <c r="I817" s="11">
        <f t="shared" si="49"/>
        <v>0</v>
      </c>
      <c r="J817" s="11">
        <f t="shared" si="51"/>
        <v>0</v>
      </c>
    </row>
    <row r="818" spans="1:10" x14ac:dyDescent="0.3">
      <c r="A818" s="7">
        <v>44880.333333332674</v>
      </c>
      <c r="B818" s="8" t="s">
        <v>6</v>
      </c>
      <c r="C818" s="8">
        <v>0</v>
      </c>
      <c r="D818" t="str">
        <f t="shared" si="50"/>
        <v>Tuesday</v>
      </c>
      <c r="E818">
        <v>47</v>
      </c>
      <c r="F818" s="11">
        <f>VLOOKUP(B818,'ITEMS LIST'!$B$2:$F$19,4,FALSE)</f>
        <v>1000</v>
      </c>
      <c r="G818" s="11">
        <f>VLOOKUP(B818,'ITEMS LIST'!$B$2:$F$19,5,FALSE)</f>
        <v>768</v>
      </c>
      <c r="H818" s="11">
        <f t="shared" si="48"/>
        <v>0</v>
      </c>
      <c r="I818" s="11">
        <f t="shared" si="49"/>
        <v>0</v>
      </c>
      <c r="J818" s="11">
        <f t="shared" si="51"/>
        <v>0</v>
      </c>
    </row>
    <row r="819" spans="1:10" x14ac:dyDescent="0.3">
      <c r="A819" s="7">
        <v>44880.388888888228</v>
      </c>
      <c r="B819" s="8" t="s">
        <v>7</v>
      </c>
      <c r="C819" s="8">
        <v>0</v>
      </c>
      <c r="D819" t="str">
        <f t="shared" si="50"/>
        <v>Tuesday</v>
      </c>
      <c r="E819">
        <v>47</v>
      </c>
      <c r="F819" s="11">
        <f>VLOOKUP(B819,'ITEMS LIST'!$B$2:$F$19,4,FALSE)</f>
        <v>680</v>
      </c>
      <c r="G819" s="11">
        <f>VLOOKUP(B819,'ITEMS LIST'!$B$2:$F$19,5,FALSE)</f>
        <v>570</v>
      </c>
      <c r="H819" s="11">
        <f t="shared" si="48"/>
        <v>0</v>
      </c>
      <c r="I819" s="11">
        <f t="shared" si="49"/>
        <v>0</v>
      </c>
      <c r="J819" s="11">
        <f t="shared" si="51"/>
        <v>0</v>
      </c>
    </row>
    <row r="820" spans="1:10" x14ac:dyDescent="0.3">
      <c r="A820" s="7">
        <v>44880.444444443783</v>
      </c>
      <c r="B820" s="8" t="s">
        <v>8</v>
      </c>
      <c r="C820" s="8">
        <v>0</v>
      </c>
      <c r="D820" t="str">
        <f t="shared" si="50"/>
        <v>Tuesday</v>
      </c>
      <c r="E820">
        <v>47</v>
      </c>
      <c r="F820" s="11">
        <f>VLOOKUP(B820,'ITEMS LIST'!$B$2:$F$19,4,FALSE)</f>
        <v>199</v>
      </c>
      <c r="G820" s="11">
        <f>VLOOKUP(B820,'ITEMS LIST'!$B$2:$F$19,5,FALSE)</f>
        <v>140</v>
      </c>
      <c r="H820" s="11">
        <f t="shared" si="48"/>
        <v>0</v>
      </c>
      <c r="I820" s="11">
        <f t="shared" si="49"/>
        <v>0</v>
      </c>
      <c r="J820" s="11">
        <f t="shared" si="51"/>
        <v>0</v>
      </c>
    </row>
    <row r="821" spans="1:10" x14ac:dyDescent="0.3">
      <c r="A821" s="7">
        <v>44880.499999999338</v>
      </c>
      <c r="B821" s="8" t="s">
        <v>9</v>
      </c>
      <c r="C821" s="8">
        <v>0</v>
      </c>
      <c r="D821" t="str">
        <f t="shared" si="50"/>
        <v>Tuesday</v>
      </c>
      <c r="E821">
        <v>47</v>
      </c>
      <c r="F821" s="11">
        <f>VLOOKUP(B821,'ITEMS LIST'!$B$2:$F$19,4,FALSE)</f>
        <v>219</v>
      </c>
      <c r="G821" s="11">
        <f>VLOOKUP(B821,'ITEMS LIST'!$B$2:$F$19,5,FALSE)</f>
        <v>132</v>
      </c>
      <c r="H821" s="11">
        <f t="shared" si="48"/>
        <v>0</v>
      </c>
      <c r="I821" s="11">
        <f t="shared" si="49"/>
        <v>0</v>
      </c>
      <c r="J821" s="11">
        <f t="shared" si="51"/>
        <v>0</v>
      </c>
    </row>
    <row r="822" spans="1:10" x14ac:dyDescent="0.3">
      <c r="A822" s="7">
        <v>44880.555555554893</v>
      </c>
      <c r="B822" s="8" t="s">
        <v>10</v>
      </c>
      <c r="C822" s="8">
        <v>0</v>
      </c>
      <c r="D822" t="str">
        <f t="shared" si="50"/>
        <v>Tuesday</v>
      </c>
      <c r="E822">
        <v>47</v>
      </c>
      <c r="F822" s="11">
        <f>VLOOKUP(B822,'ITEMS LIST'!$B$2:$F$19,4,FALSE)</f>
        <v>1469</v>
      </c>
      <c r="G822" s="11">
        <f>VLOOKUP(B822,'ITEMS LIST'!$B$2:$F$19,5,FALSE)</f>
        <v>1184</v>
      </c>
      <c r="H822" s="11">
        <f t="shared" si="48"/>
        <v>0</v>
      </c>
      <c r="I822" s="11">
        <f t="shared" si="49"/>
        <v>0</v>
      </c>
      <c r="J822" s="11">
        <f t="shared" si="51"/>
        <v>0</v>
      </c>
    </row>
    <row r="823" spans="1:10" x14ac:dyDescent="0.3">
      <c r="A823" s="7">
        <v>44880.611111110447</v>
      </c>
      <c r="B823" s="8" t="s">
        <v>11</v>
      </c>
      <c r="C823" s="8">
        <v>0</v>
      </c>
      <c r="D823" t="str">
        <f t="shared" si="50"/>
        <v>Tuesday</v>
      </c>
      <c r="E823">
        <v>47</v>
      </c>
      <c r="F823" s="11">
        <f>VLOOKUP(B823,'ITEMS LIST'!$B$2:$F$19,4,FALSE)</f>
        <v>89</v>
      </c>
      <c r="G823" s="11">
        <f>VLOOKUP(B823,'ITEMS LIST'!$B$2:$F$19,5,FALSE)</f>
        <v>59</v>
      </c>
      <c r="H823" s="11">
        <f t="shared" si="48"/>
        <v>0</v>
      </c>
      <c r="I823" s="11">
        <f t="shared" si="49"/>
        <v>0</v>
      </c>
      <c r="J823" s="11">
        <f t="shared" si="51"/>
        <v>0</v>
      </c>
    </row>
    <row r="824" spans="1:10" x14ac:dyDescent="0.3">
      <c r="A824" s="7">
        <v>44880.666666666002</v>
      </c>
      <c r="B824" s="8" t="s">
        <v>12</v>
      </c>
      <c r="C824" s="8">
        <v>0</v>
      </c>
      <c r="D824" t="str">
        <f t="shared" si="50"/>
        <v>Tuesday</v>
      </c>
      <c r="E824">
        <v>47</v>
      </c>
      <c r="F824" s="11">
        <f>VLOOKUP(B824,'ITEMS LIST'!$B$2:$F$19,4,FALSE)</f>
        <v>310</v>
      </c>
      <c r="G824" s="11">
        <f>VLOOKUP(B824,'ITEMS LIST'!$B$2:$F$19,5,FALSE)</f>
        <v>206</v>
      </c>
      <c r="H824" s="11">
        <f t="shared" si="48"/>
        <v>0</v>
      </c>
      <c r="I824" s="11">
        <f t="shared" si="49"/>
        <v>0</v>
      </c>
      <c r="J824" s="11">
        <f t="shared" si="51"/>
        <v>0</v>
      </c>
    </row>
    <row r="825" spans="1:10" x14ac:dyDescent="0.3">
      <c r="A825" s="7">
        <v>44880.722222221557</v>
      </c>
      <c r="B825" s="8" t="s">
        <v>13</v>
      </c>
      <c r="C825" s="8">
        <v>0</v>
      </c>
      <c r="D825" t="str">
        <f t="shared" si="50"/>
        <v>Tuesday</v>
      </c>
      <c r="E825">
        <v>47</v>
      </c>
      <c r="F825" s="11">
        <f>VLOOKUP(B825,'ITEMS LIST'!$B$2:$F$19,4,FALSE)</f>
        <v>540</v>
      </c>
      <c r="G825" s="11">
        <f>VLOOKUP(B825,'ITEMS LIST'!$B$2:$F$19,5,FALSE)</f>
        <v>397</v>
      </c>
      <c r="H825" s="11">
        <f t="shared" si="48"/>
        <v>0</v>
      </c>
      <c r="I825" s="11">
        <f t="shared" si="49"/>
        <v>0</v>
      </c>
      <c r="J825" s="11">
        <f t="shared" si="51"/>
        <v>0</v>
      </c>
    </row>
    <row r="826" spans="1:10" x14ac:dyDescent="0.3">
      <c r="A826" s="7">
        <v>44880.777777777112</v>
      </c>
      <c r="B826" s="8" t="s">
        <v>14</v>
      </c>
      <c r="C826" s="8">
        <v>0</v>
      </c>
      <c r="D826" t="str">
        <f t="shared" si="50"/>
        <v>Tuesday</v>
      </c>
      <c r="E826">
        <v>47</v>
      </c>
      <c r="F826" s="11">
        <f>VLOOKUP(B826,'ITEMS LIST'!$B$2:$F$19,4,FALSE)</f>
        <v>360</v>
      </c>
      <c r="G826" s="11">
        <f>VLOOKUP(B826,'ITEMS LIST'!$B$2:$F$19,5,FALSE)</f>
        <v>248</v>
      </c>
      <c r="H826" s="11">
        <f t="shared" si="48"/>
        <v>0</v>
      </c>
      <c r="I826" s="11">
        <f t="shared" si="49"/>
        <v>0</v>
      </c>
      <c r="J826" s="11">
        <f t="shared" si="51"/>
        <v>0</v>
      </c>
    </row>
    <row r="827" spans="1:10" x14ac:dyDescent="0.3">
      <c r="A827" s="7">
        <v>44880.833333332666</v>
      </c>
      <c r="B827" s="8" t="s">
        <v>15</v>
      </c>
      <c r="C827" s="8">
        <v>0</v>
      </c>
      <c r="D827" t="str">
        <f t="shared" si="50"/>
        <v>Tuesday</v>
      </c>
      <c r="E827">
        <v>47</v>
      </c>
      <c r="F827" s="11">
        <f>VLOOKUP(B827,'ITEMS LIST'!$B$2:$F$19,4,FALSE)</f>
        <v>250</v>
      </c>
      <c r="G827" s="11">
        <f>VLOOKUP(B827,'ITEMS LIST'!$B$2:$F$19,5,FALSE)</f>
        <v>190</v>
      </c>
      <c r="H827" s="11">
        <f t="shared" si="48"/>
        <v>0</v>
      </c>
      <c r="I827" s="11">
        <f t="shared" si="49"/>
        <v>0</v>
      </c>
      <c r="J827" s="11">
        <f t="shared" si="51"/>
        <v>0</v>
      </c>
    </row>
    <row r="828" spans="1:10" x14ac:dyDescent="0.3">
      <c r="A828" s="7">
        <v>44880.888888888221</v>
      </c>
      <c r="B828" s="8" t="s">
        <v>16</v>
      </c>
      <c r="C828" s="8">
        <v>0</v>
      </c>
      <c r="D828" t="str">
        <f t="shared" si="50"/>
        <v>Tuesday</v>
      </c>
      <c r="E828">
        <v>47</v>
      </c>
      <c r="F828" s="11">
        <f>VLOOKUP(B828,'ITEMS LIST'!$B$2:$F$19,4,FALSE)</f>
        <v>120</v>
      </c>
      <c r="G828" s="11">
        <f>VLOOKUP(B828,'ITEMS LIST'!$B$2:$F$19,5,FALSE)</f>
        <v>85</v>
      </c>
      <c r="H828" s="11">
        <f t="shared" si="48"/>
        <v>0</v>
      </c>
      <c r="I828" s="11">
        <f t="shared" si="49"/>
        <v>0</v>
      </c>
      <c r="J828" s="11">
        <f t="shared" si="51"/>
        <v>0</v>
      </c>
    </row>
    <row r="829" spans="1:10" x14ac:dyDescent="0.3">
      <c r="A829" s="7">
        <v>44880.944444443776</v>
      </c>
      <c r="B829" s="8" t="s">
        <v>17</v>
      </c>
      <c r="C829" s="8">
        <v>0</v>
      </c>
      <c r="D829" t="str">
        <f t="shared" si="50"/>
        <v>Tuesday</v>
      </c>
      <c r="E829">
        <v>47</v>
      </c>
      <c r="F829" s="11">
        <f>VLOOKUP(B829,'ITEMS LIST'!$B$2:$F$19,4,FALSE)</f>
        <v>80</v>
      </c>
      <c r="G829" s="11">
        <f>VLOOKUP(B829,'ITEMS LIST'!$B$2:$F$19,5,FALSE)</f>
        <v>55</v>
      </c>
      <c r="H829" s="11">
        <f t="shared" si="48"/>
        <v>0</v>
      </c>
      <c r="I829" s="11">
        <f t="shared" si="49"/>
        <v>0</v>
      </c>
      <c r="J829" s="11">
        <f t="shared" si="51"/>
        <v>0</v>
      </c>
    </row>
    <row r="830" spans="1:10" x14ac:dyDescent="0.3">
      <c r="A830" s="7">
        <v>44880.999999999331</v>
      </c>
      <c r="B830" s="8" t="s">
        <v>0</v>
      </c>
      <c r="C830" s="8">
        <v>0</v>
      </c>
      <c r="D830" t="str">
        <f t="shared" si="50"/>
        <v>Wednesday</v>
      </c>
      <c r="E830">
        <v>47</v>
      </c>
      <c r="F830" s="11">
        <f>VLOOKUP(B830,'ITEMS LIST'!$B$2:$F$19,4,FALSE)</f>
        <v>549</v>
      </c>
      <c r="G830" s="11">
        <f>VLOOKUP(B830,'ITEMS LIST'!$B$2:$F$19,5,FALSE)</f>
        <v>365</v>
      </c>
      <c r="H830" s="11">
        <f t="shared" si="48"/>
        <v>0</v>
      </c>
      <c r="I830" s="11">
        <f t="shared" si="49"/>
        <v>0</v>
      </c>
      <c r="J830" s="11">
        <f t="shared" si="51"/>
        <v>0</v>
      </c>
    </row>
    <row r="831" spans="1:10" x14ac:dyDescent="0.3">
      <c r="A831" s="7">
        <v>44881.055555554885</v>
      </c>
      <c r="B831" s="8" t="s">
        <v>1</v>
      </c>
      <c r="C831" s="8">
        <v>0</v>
      </c>
      <c r="D831" t="str">
        <f t="shared" si="50"/>
        <v>Wednesday</v>
      </c>
      <c r="E831">
        <v>47</v>
      </c>
      <c r="F831" s="11">
        <f>VLOOKUP(B831,'ITEMS LIST'!$B$2:$F$19,4,FALSE)</f>
        <v>699</v>
      </c>
      <c r="G831" s="11">
        <f>VLOOKUP(B831,'ITEMS LIST'!$B$2:$F$19,5,FALSE)</f>
        <v>550</v>
      </c>
      <c r="H831" s="11">
        <f t="shared" si="48"/>
        <v>0</v>
      </c>
      <c r="I831" s="11">
        <f t="shared" si="49"/>
        <v>0</v>
      </c>
      <c r="J831" s="11">
        <f t="shared" si="51"/>
        <v>0</v>
      </c>
    </row>
    <row r="832" spans="1:10" x14ac:dyDescent="0.3">
      <c r="A832" s="7">
        <v>44881.11111111044</v>
      </c>
      <c r="B832" s="8" t="s">
        <v>2</v>
      </c>
      <c r="C832" s="8">
        <v>0</v>
      </c>
      <c r="D832" t="str">
        <f t="shared" si="50"/>
        <v>Wednesday</v>
      </c>
      <c r="E832">
        <v>47</v>
      </c>
      <c r="F832" s="11">
        <f>VLOOKUP(B832,'ITEMS LIST'!$B$2:$F$19,4,FALSE)</f>
        <v>739</v>
      </c>
      <c r="G832" s="11">
        <f>VLOOKUP(B832,'ITEMS LIST'!$B$2:$F$19,5,FALSE)</f>
        <v>620</v>
      </c>
      <c r="H832" s="11">
        <f t="shared" si="48"/>
        <v>0</v>
      </c>
      <c r="I832" s="11">
        <f t="shared" si="49"/>
        <v>0</v>
      </c>
      <c r="J832" s="11">
        <f t="shared" si="51"/>
        <v>0</v>
      </c>
    </row>
    <row r="833" spans="1:10" x14ac:dyDescent="0.3">
      <c r="A833" s="7">
        <v>44881.166666665995</v>
      </c>
      <c r="B833" s="8" t="s">
        <v>3</v>
      </c>
      <c r="C833" s="8">
        <v>0</v>
      </c>
      <c r="D833" t="str">
        <f t="shared" si="50"/>
        <v>Wednesday</v>
      </c>
      <c r="E833">
        <v>47</v>
      </c>
      <c r="F833" s="11">
        <f>VLOOKUP(B833,'ITEMS LIST'!$B$2:$F$19,4,FALSE)</f>
        <v>899</v>
      </c>
      <c r="G833" s="11">
        <f>VLOOKUP(B833,'ITEMS LIST'!$B$2:$F$19,5,FALSE)</f>
        <v>714</v>
      </c>
      <c r="H833" s="11">
        <f t="shared" si="48"/>
        <v>0</v>
      </c>
      <c r="I833" s="11">
        <f t="shared" si="49"/>
        <v>0</v>
      </c>
      <c r="J833" s="11">
        <f t="shared" si="51"/>
        <v>0</v>
      </c>
    </row>
    <row r="834" spans="1:10" x14ac:dyDescent="0.3">
      <c r="A834" s="7">
        <v>44881.22222222155</v>
      </c>
      <c r="B834" s="8" t="s">
        <v>4</v>
      </c>
      <c r="C834" s="8">
        <v>0</v>
      </c>
      <c r="D834" t="str">
        <f t="shared" si="50"/>
        <v>Wednesday</v>
      </c>
      <c r="E834">
        <v>47</v>
      </c>
      <c r="F834" s="11">
        <f>VLOOKUP(B834,'ITEMS LIST'!$B$2:$F$19,4,FALSE)</f>
        <v>1379</v>
      </c>
      <c r="G834" s="11">
        <f>VLOOKUP(B834,'ITEMS LIST'!$B$2:$F$19,5,FALSE)</f>
        <v>890</v>
      </c>
      <c r="H834" s="11">
        <f t="shared" ref="H834:H897" si="52">C834*F834</f>
        <v>0</v>
      </c>
      <c r="I834" s="11">
        <f t="shared" ref="I834:I897" si="53">C834*G834</f>
        <v>0</v>
      </c>
      <c r="J834" s="11">
        <f t="shared" si="51"/>
        <v>0</v>
      </c>
    </row>
    <row r="835" spans="1:10" x14ac:dyDescent="0.3">
      <c r="A835" s="7">
        <v>44881.277777777104</v>
      </c>
      <c r="B835" s="8" t="s">
        <v>5</v>
      </c>
      <c r="C835" s="8">
        <v>0</v>
      </c>
      <c r="D835" t="str">
        <f t="shared" ref="D835:D898" si="54">TEXT(A835,"dddd")</f>
        <v>Wednesday</v>
      </c>
      <c r="E835">
        <v>47</v>
      </c>
      <c r="F835" s="11">
        <f>VLOOKUP(B835,'ITEMS LIST'!$B$2:$F$19,4,FALSE)</f>
        <v>849</v>
      </c>
      <c r="G835" s="11">
        <f>VLOOKUP(B835,'ITEMS LIST'!$B$2:$F$19,5,FALSE)</f>
        <v>530</v>
      </c>
      <c r="H835" s="11">
        <f t="shared" si="52"/>
        <v>0</v>
      </c>
      <c r="I835" s="11">
        <f t="shared" si="53"/>
        <v>0</v>
      </c>
      <c r="J835" s="11">
        <f t="shared" ref="J835:J898" si="55">H835-I835</f>
        <v>0</v>
      </c>
    </row>
    <row r="836" spans="1:10" x14ac:dyDescent="0.3">
      <c r="A836" s="7">
        <v>44881.333333332659</v>
      </c>
      <c r="B836" s="8" t="s">
        <v>6</v>
      </c>
      <c r="C836" s="8">
        <v>0</v>
      </c>
      <c r="D836" t="str">
        <f t="shared" si="54"/>
        <v>Wednesday</v>
      </c>
      <c r="E836">
        <v>47</v>
      </c>
      <c r="F836" s="11">
        <f>VLOOKUP(B836,'ITEMS LIST'!$B$2:$F$19,4,FALSE)</f>
        <v>1000</v>
      </c>
      <c r="G836" s="11">
        <f>VLOOKUP(B836,'ITEMS LIST'!$B$2:$F$19,5,FALSE)</f>
        <v>768</v>
      </c>
      <c r="H836" s="11">
        <f t="shared" si="52"/>
        <v>0</v>
      </c>
      <c r="I836" s="11">
        <f t="shared" si="53"/>
        <v>0</v>
      </c>
      <c r="J836" s="11">
        <f t="shared" si="55"/>
        <v>0</v>
      </c>
    </row>
    <row r="837" spans="1:10" x14ac:dyDescent="0.3">
      <c r="A837" s="7">
        <v>44881.388888888214</v>
      </c>
      <c r="B837" s="8" t="s">
        <v>7</v>
      </c>
      <c r="C837" s="8">
        <v>0</v>
      </c>
      <c r="D837" t="str">
        <f t="shared" si="54"/>
        <v>Wednesday</v>
      </c>
      <c r="E837">
        <v>47</v>
      </c>
      <c r="F837" s="11">
        <f>VLOOKUP(B837,'ITEMS LIST'!$B$2:$F$19,4,FALSE)</f>
        <v>680</v>
      </c>
      <c r="G837" s="11">
        <f>VLOOKUP(B837,'ITEMS LIST'!$B$2:$F$19,5,FALSE)</f>
        <v>570</v>
      </c>
      <c r="H837" s="11">
        <f t="shared" si="52"/>
        <v>0</v>
      </c>
      <c r="I837" s="11">
        <f t="shared" si="53"/>
        <v>0</v>
      </c>
      <c r="J837" s="11">
        <f t="shared" si="55"/>
        <v>0</v>
      </c>
    </row>
    <row r="838" spans="1:10" x14ac:dyDescent="0.3">
      <c r="A838" s="7">
        <v>44881.444444443769</v>
      </c>
      <c r="B838" s="8" t="s">
        <v>8</v>
      </c>
      <c r="C838" s="8">
        <v>0</v>
      </c>
      <c r="D838" t="str">
        <f t="shared" si="54"/>
        <v>Wednesday</v>
      </c>
      <c r="E838">
        <v>47</v>
      </c>
      <c r="F838" s="11">
        <f>VLOOKUP(B838,'ITEMS LIST'!$B$2:$F$19,4,FALSE)</f>
        <v>199</v>
      </c>
      <c r="G838" s="11">
        <f>VLOOKUP(B838,'ITEMS LIST'!$B$2:$F$19,5,FALSE)</f>
        <v>140</v>
      </c>
      <c r="H838" s="11">
        <f t="shared" si="52"/>
        <v>0</v>
      </c>
      <c r="I838" s="11">
        <f t="shared" si="53"/>
        <v>0</v>
      </c>
      <c r="J838" s="11">
        <f t="shared" si="55"/>
        <v>0</v>
      </c>
    </row>
    <row r="839" spans="1:10" x14ac:dyDescent="0.3">
      <c r="A839" s="7">
        <v>44881.499999999323</v>
      </c>
      <c r="B839" s="8" t="s">
        <v>9</v>
      </c>
      <c r="C839" s="8">
        <v>0</v>
      </c>
      <c r="D839" t="str">
        <f t="shared" si="54"/>
        <v>Wednesday</v>
      </c>
      <c r="E839">
        <v>47</v>
      </c>
      <c r="F839" s="11">
        <f>VLOOKUP(B839,'ITEMS LIST'!$B$2:$F$19,4,FALSE)</f>
        <v>219</v>
      </c>
      <c r="G839" s="11">
        <f>VLOOKUP(B839,'ITEMS LIST'!$B$2:$F$19,5,FALSE)</f>
        <v>132</v>
      </c>
      <c r="H839" s="11">
        <f t="shared" si="52"/>
        <v>0</v>
      </c>
      <c r="I839" s="11">
        <f t="shared" si="53"/>
        <v>0</v>
      </c>
      <c r="J839" s="11">
        <f t="shared" si="55"/>
        <v>0</v>
      </c>
    </row>
    <row r="840" spans="1:10" x14ac:dyDescent="0.3">
      <c r="A840" s="7">
        <v>44881.555555554878</v>
      </c>
      <c r="B840" s="8" t="s">
        <v>10</v>
      </c>
      <c r="C840" s="8">
        <v>0</v>
      </c>
      <c r="D840" t="str">
        <f t="shared" si="54"/>
        <v>Wednesday</v>
      </c>
      <c r="E840">
        <v>47</v>
      </c>
      <c r="F840" s="11">
        <f>VLOOKUP(B840,'ITEMS LIST'!$B$2:$F$19,4,FALSE)</f>
        <v>1469</v>
      </c>
      <c r="G840" s="11">
        <f>VLOOKUP(B840,'ITEMS LIST'!$B$2:$F$19,5,FALSE)</f>
        <v>1184</v>
      </c>
      <c r="H840" s="11">
        <f t="shared" si="52"/>
        <v>0</v>
      </c>
      <c r="I840" s="11">
        <f t="shared" si="53"/>
        <v>0</v>
      </c>
      <c r="J840" s="11">
        <f t="shared" si="55"/>
        <v>0</v>
      </c>
    </row>
    <row r="841" spans="1:10" x14ac:dyDescent="0.3">
      <c r="A841" s="7">
        <v>44881.611111110433</v>
      </c>
      <c r="B841" s="8" t="s">
        <v>11</v>
      </c>
      <c r="C841" s="8">
        <v>0</v>
      </c>
      <c r="D841" t="str">
        <f t="shared" si="54"/>
        <v>Wednesday</v>
      </c>
      <c r="E841">
        <v>47</v>
      </c>
      <c r="F841" s="11">
        <f>VLOOKUP(B841,'ITEMS LIST'!$B$2:$F$19,4,FALSE)</f>
        <v>89</v>
      </c>
      <c r="G841" s="11">
        <f>VLOOKUP(B841,'ITEMS LIST'!$B$2:$F$19,5,FALSE)</f>
        <v>59</v>
      </c>
      <c r="H841" s="11">
        <f t="shared" si="52"/>
        <v>0</v>
      </c>
      <c r="I841" s="11">
        <f t="shared" si="53"/>
        <v>0</v>
      </c>
      <c r="J841" s="11">
        <f t="shared" si="55"/>
        <v>0</v>
      </c>
    </row>
    <row r="842" spans="1:10" x14ac:dyDescent="0.3">
      <c r="A842" s="7">
        <v>44881.666666665988</v>
      </c>
      <c r="B842" s="8" t="s">
        <v>12</v>
      </c>
      <c r="C842" s="8">
        <v>0</v>
      </c>
      <c r="D842" t="str">
        <f t="shared" si="54"/>
        <v>Wednesday</v>
      </c>
      <c r="E842">
        <v>47</v>
      </c>
      <c r="F842" s="11">
        <f>VLOOKUP(B842,'ITEMS LIST'!$B$2:$F$19,4,FALSE)</f>
        <v>310</v>
      </c>
      <c r="G842" s="11">
        <f>VLOOKUP(B842,'ITEMS LIST'!$B$2:$F$19,5,FALSE)</f>
        <v>206</v>
      </c>
      <c r="H842" s="11">
        <f t="shared" si="52"/>
        <v>0</v>
      </c>
      <c r="I842" s="11">
        <f t="shared" si="53"/>
        <v>0</v>
      </c>
      <c r="J842" s="11">
        <f t="shared" si="55"/>
        <v>0</v>
      </c>
    </row>
    <row r="843" spans="1:10" x14ac:dyDescent="0.3">
      <c r="A843" s="7">
        <v>44881.722222221542</v>
      </c>
      <c r="B843" s="8" t="s">
        <v>13</v>
      </c>
      <c r="C843" s="8">
        <v>0</v>
      </c>
      <c r="D843" t="str">
        <f t="shared" si="54"/>
        <v>Wednesday</v>
      </c>
      <c r="E843">
        <v>47</v>
      </c>
      <c r="F843" s="11">
        <f>VLOOKUP(B843,'ITEMS LIST'!$B$2:$F$19,4,FALSE)</f>
        <v>540</v>
      </c>
      <c r="G843" s="11">
        <f>VLOOKUP(B843,'ITEMS LIST'!$B$2:$F$19,5,FALSE)</f>
        <v>397</v>
      </c>
      <c r="H843" s="11">
        <f t="shared" si="52"/>
        <v>0</v>
      </c>
      <c r="I843" s="11">
        <f t="shared" si="53"/>
        <v>0</v>
      </c>
      <c r="J843" s="11">
        <f t="shared" si="55"/>
        <v>0</v>
      </c>
    </row>
    <row r="844" spans="1:10" x14ac:dyDescent="0.3">
      <c r="A844" s="7">
        <v>44881.777777777097</v>
      </c>
      <c r="B844" s="8" t="s">
        <v>14</v>
      </c>
      <c r="C844" s="8">
        <v>0</v>
      </c>
      <c r="D844" t="str">
        <f t="shared" si="54"/>
        <v>Wednesday</v>
      </c>
      <c r="E844">
        <v>47</v>
      </c>
      <c r="F844" s="11">
        <f>VLOOKUP(B844,'ITEMS LIST'!$B$2:$F$19,4,FALSE)</f>
        <v>360</v>
      </c>
      <c r="G844" s="11">
        <f>VLOOKUP(B844,'ITEMS LIST'!$B$2:$F$19,5,FALSE)</f>
        <v>248</v>
      </c>
      <c r="H844" s="11">
        <f t="shared" si="52"/>
        <v>0</v>
      </c>
      <c r="I844" s="11">
        <f t="shared" si="53"/>
        <v>0</v>
      </c>
      <c r="J844" s="11">
        <f t="shared" si="55"/>
        <v>0</v>
      </c>
    </row>
    <row r="845" spans="1:10" x14ac:dyDescent="0.3">
      <c r="A845" s="7">
        <v>44881.833333332652</v>
      </c>
      <c r="B845" s="8" t="s">
        <v>15</v>
      </c>
      <c r="C845" s="8">
        <v>0</v>
      </c>
      <c r="D845" t="str">
        <f t="shared" si="54"/>
        <v>Wednesday</v>
      </c>
      <c r="E845">
        <v>47</v>
      </c>
      <c r="F845" s="11">
        <f>VLOOKUP(B845,'ITEMS LIST'!$B$2:$F$19,4,FALSE)</f>
        <v>250</v>
      </c>
      <c r="G845" s="11">
        <f>VLOOKUP(B845,'ITEMS LIST'!$B$2:$F$19,5,FALSE)</f>
        <v>190</v>
      </c>
      <c r="H845" s="11">
        <f t="shared" si="52"/>
        <v>0</v>
      </c>
      <c r="I845" s="11">
        <f t="shared" si="53"/>
        <v>0</v>
      </c>
      <c r="J845" s="11">
        <f t="shared" si="55"/>
        <v>0</v>
      </c>
    </row>
    <row r="846" spans="1:10" x14ac:dyDescent="0.3">
      <c r="A846" s="7">
        <v>44881.888888888207</v>
      </c>
      <c r="B846" s="8" t="s">
        <v>16</v>
      </c>
      <c r="C846" s="8">
        <v>0</v>
      </c>
      <c r="D846" t="str">
        <f t="shared" si="54"/>
        <v>Wednesday</v>
      </c>
      <c r="E846">
        <v>47</v>
      </c>
      <c r="F846" s="11">
        <f>VLOOKUP(B846,'ITEMS LIST'!$B$2:$F$19,4,FALSE)</f>
        <v>120</v>
      </c>
      <c r="G846" s="11">
        <f>VLOOKUP(B846,'ITEMS LIST'!$B$2:$F$19,5,FALSE)</f>
        <v>85</v>
      </c>
      <c r="H846" s="11">
        <f t="shared" si="52"/>
        <v>0</v>
      </c>
      <c r="I846" s="11">
        <f t="shared" si="53"/>
        <v>0</v>
      </c>
      <c r="J846" s="11">
        <f t="shared" si="55"/>
        <v>0</v>
      </c>
    </row>
    <row r="847" spans="1:10" x14ac:dyDescent="0.3">
      <c r="A847" s="7">
        <v>44881.944444443761</v>
      </c>
      <c r="B847" s="8" t="s">
        <v>17</v>
      </c>
      <c r="C847" s="8">
        <v>0</v>
      </c>
      <c r="D847" t="str">
        <f t="shared" si="54"/>
        <v>Wednesday</v>
      </c>
      <c r="E847">
        <v>47</v>
      </c>
      <c r="F847" s="11">
        <f>VLOOKUP(B847,'ITEMS LIST'!$B$2:$F$19,4,FALSE)</f>
        <v>80</v>
      </c>
      <c r="G847" s="11">
        <f>VLOOKUP(B847,'ITEMS LIST'!$B$2:$F$19,5,FALSE)</f>
        <v>55</v>
      </c>
      <c r="H847" s="11">
        <f t="shared" si="52"/>
        <v>0</v>
      </c>
      <c r="I847" s="11">
        <f t="shared" si="53"/>
        <v>0</v>
      </c>
      <c r="J847" s="11">
        <f t="shared" si="55"/>
        <v>0</v>
      </c>
    </row>
    <row r="848" spans="1:10" x14ac:dyDescent="0.3">
      <c r="A848" s="7">
        <v>44881.999999999316</v>
      </c>
      <c r="B848" s="8" t="s">
        <v>0</v>
      </c>
      <c r="C848" s="8">
        <v>0</v>
      </c>
      <c r="D848" t="str">
        <f t="shared" si="54"/>
        <v>Thursday</v>
      </c>
      <c r="E848">
        <v>47</v>
      </c>
      <c r="F848" s="11">
        <f>VLOOKUP(B848,'ITEMS LIST'!$B$2:$F$19,4,FALSE)</f>
        <v>549</v>
      </c>
      <c r="G848" s="11">
        <f>VLOOKUP(B848,'ITEMS LIST'!$B$2:$F$19,5,FALSE)</f>
        <v>365</v>
      </c>
      <c r="H848" s="11">
        <f t="shared" si="52"/>
        <v>0</v>
      </c>
      <c r="I848" s="11">
        <f t="shared" si="53"/>
        <v>0</v>
      </c>
      <c r="J848" s="11">
        <f t="shared" si="55"/>
        <v>0</v>
      </c>
    </row>
    <row r="849" spans="1:10" x14ac:dyDescent="0.3">
      <c r="A849" s="7">
        <v>44882.055555554871</v>
      </c>
      <c r="B849" s="8" t="s">
        <v>1</v>
      </c>
      <c r="C849" s="8">
        <v>0</v>
      </c>
      <c r="D849" t="str">
        <f t="shared" si="54"/>
        <v>Thursday</v>
      </c>
      <c r="E849">
        <v>47</v>
      </c>
      <c r="F849" s="11">
        <f>VLOOKUP(B849,'ITEMS LIST'!$B$2:$F$19,4,FALSE)</f>
        <v>699</v>
      </c>
      <c r="G849" s="11">
        <f>VLOOKUP(B849,'ITEMS LIST'!$B$2:$F$19,5,FALSE)</f>
        <v>550</v>
      </c>
      <c r="H849" s="11">
        <f t="shared" si="52"/>
        <v>0</v>
      </c>
      <c r="I849" s="11">
        <f t="shared" si="53"/>
        <v>0</v>
      </c>
      <c r="J849" s="11">
        <f t="shared" si="55"/>
        <v>0</v>
      </c>
    </row>
    <row r="850" spans="1:10" x14ac:dyDescent="0.3">
      <c r="A850" s="7">
        <v>44882.111111110426</v>
      </c>
      <c r="B850" s="8" t="s">
        <v>2</v>
      </c>
      <c r="C850" s="8">
        <v>0</v>
      </c>
      <c r="D850" t="str">
        <f t="shared" si="54"/>
        <v>Thursday</v>
      </c>
      <c r="E850">
        <v>47</v>
      </c>
      <c r="F850" s="11">
        <f>VLOOKUP(B850,'ITEMS LIST'!$B$2:$F$19,4,FALSE)</f>
        <v>739</v>
      </c>
      <c r="G850" s="11">
        <f>VLOOKUP(B850,'ITEMS LIST'!$B$2:$F$19,5,FALSE)</f>
        <v>620</v>
      </c>
      <c r="H850" s="11">
        <f t="shared" si="52"/>
        <v>0</v>
      </c>
      <c r="I850" s="11">
        <f t="shared" si="53"/>
        <v>0</v>
      </c>
      <c r="J850" s="11">
        <f t="shared" si="55"/>
        <v>0</v>
      </c>
    </row>
    <row r="851" spans="1:10" x14ac:dyDescent="0.3">
      <c r="A851" s="7">
        <v>44882.16666666598</v>
      </c>
      <c r="B851" s="8" t="s">
        <v>3</v>
      </c>
      <c r="C851" s="8">
        <v>0</v>
      </c>
      <c r="D851" t="str">
        <f t="shared" si="54"/>
        <v>Thursday</v>
      </c>
      <c r="E851">
        <v>47</v>
      </c>
      <c r="F851" s="11">
        <f>VLOOKUP(B851,'ITEMS LIST'!$B$2:$F$19,4,FALSE)</f>
        <v>899</v>
      </c>
      <c r="G851" s="11">
        <f>VLOOKUP(B851,'ITEMS LIST'!$B$2:$F$19,5,FALSE)</f>
        <v>714</v>
      </c>
      <c r="H851" s="11">
        <f t="shared" si="52"/>
        <v>0</v>
      </c>
      <c r="I851" s="11">
        <f t="shared" si="53"/>
        <v>0</v>
      </c>
      <c r="J851" s="11">
        <f t="shared" si="55"/>
        <v>0</v>
      </c>
    </row>
    <row r="852" spans="1:10" x14ac:dyDescent="0.3">
      <c r="A852" s="7">
        <v>44882.222222221535</v>
      </c>
      <c r="B852" s="8" t="s">
        <v>4</v>
      </c>
      <c r="C852" s="8">
        <v>0</v>
      </c>
      <c r="D852" t="str">
        <f t="shared" si="54"/>
        <v>Thursday</v>
      </c>
      <c r="E852">
        <v>47</v>
      </c>
      <c r="F852" s="11">
        <f>VLOOKUP(B852,'ITEMS LIST'!$B$2:$F$19,4,FALSE)</f>
        <v>1379</v>
      </c>
      <c r="G852" s="11">
        <f>VLOOKUP(B852,'ITEMS LIST'!$B$2:$F$19,5,FALSE)</f>
        <v>890</v>
      </c>
      <c r="H852" s="11">
        <f t="shared" si="52"/>
        <v>0</v>
      </c>
      <c r="I852" s="11">
        <f t="shared" si="53"/>
        <v>0</v>
      </c>
      <c r="J852" s="11">
        <f t="shared" si="55"/>
        <v>0</v>
      </c>
    </row>
    <row r="853" spans="1:10" x14ac:dyDescent="0.3">
      <c r="A853" s="7">
        <v>44882.27777777709</v>
      </c>
      <c r="B853" s="8" t="s">
        <v>5</v>
      </c>
      <c r="C853" s="8">
        <v>0</v>
      </c>
      <c r="D853" t="str">
        <f t="shared" si="54"/>
        <v>Thursday</v>
      </c>
      <c r="E853">
        <v>47</v>
      </c>
      <c r="F853" s="11">
        <f>VLOOKUP(B853,'ITEMS LIST'!$B$2:$F$19,4,FALSE)</f>
        <v>849</v>
      </c>
      <c r="G853" s="11">
        <f>VLOOKUP(B853,'ITEMS LIST'!$B$2:$F$19,5,FALSE)</f>
        <v>530</v>
      </c>
      <c r="H853" s="11">
        <f t="shared" si="52"/>
        <v>0</v>
      </c>
      <c r="I853" s="11">
        <f t="shared" si="53"/>
        <v>0</v>
      </c>
      <c r="J853" s="11">
        <f t="shared" si="55"/>
        <v>0</v>
      </c>
    </row>
    <row r="854" spans="1:10" x14ac:dyDescent="0.3">
      <c r="A854" s="7">
        <v>44882.333333332645</v>
      </c>
      <c r="B854" s="8" t="s">
        <v>6</v>
      </c>
      <c r="C854" s="8">
        <v>0</v>
      </c>
      <c r="D854" t="str">
        <f t="shared" si="54"/>
        <v>Thursday</v>
      </c>
      <c r="E854">
        <v>47</v>
      </c>
      <c r="F854" s="11">
        <f>VLOOKUP(B854,'ITEMS LIST'!$B$2:$F$19,4,FALSE)</f>
        <v>1000</v>
      </c>
      <c r="G854" s="11">
        <f>VLOOKUP(B854,'ITEMS LIST'!$B$2:$F$19,5,FALSE)</f>
        <v>768</v>
      </c>
      <c r="H854" s="11">
        <f t="shared" si="52"/>
        <v>0</v>
      </c>
      <c r="I854" s="11">
        <f t="shared" si="53"/>
        <v>0</v>
      </c>
      <c r="J854" s="11">
        <f t="shared" si="55"/>
        <v>0</v>
      </c>
    </row>
    <row r="855" spans="1:10" x14ac:dyDescent="0.3">
      <c r="A855" s="7">
        <v>44882.388888888199</v>
      </c>
      <c r="B855" s="8" t="s">
        <v>7</v>
      </c>
      <c r="C855" s="8">
        <v>0</v>
      </c>
      <c r="D855" t="str">
        <f t="shared" si="54"/>
        <v>Thursday</v>
      </c>
      <c r="E855">
        <v>47</v>
      </c>
      <c r="F855" s="11">
        <f>VLOOKUP(B855,'ITEMS LIST'!$B$2:$F$19,4,FALSE)</f>
        <v>680</v>
      </c>
      <c r="G855" s="11">
        <f>VLOOKUP(B855,'ITEMS LIST'!$B$2:$F$19,5,FALSE)</f>
        <v>570</v>
      </c>
      <c r="H855" s="11">
        <f t="shared" si="52"/>
        <v>0</v>
      </c>
      <c r="I855" s="11">
        <f t="shared" si="53"/>
        <v>0</v>
      </c>
      <c r="J855" s="11">
        <f t="shared" si="55"/>
        <v>0</v>
      </c>
    </row>
    <row r="856" spans="1:10" x14ac:dyDescent="0.3">
      <c r="A856" s="7">
        <v>44882.444444443754</v>
      </c>
      <c r="B856" s="8" t="s">
        <v>8</v>
      </c>
      <c r="C856" s="8">
        <v>0</v>
      </c>
      <c r="D856" t="str">
        <f t="shared" si="54"/>
        <v>Thursday</v>
      </c>
      <c r="E856">
        <v>47</v>
      </c>
      <c r="F856" s="11">
        <f>VLOOKUP(B856,'ITEMS LIST'!$B$2:$F$19,4,FALSE)</f>
        <v>199</v>
      </c>
      <c r="G856" s="11">
        <f>VLOOKUP(B856,'ITEMS LIST'!$B$2:$F$19,5,FALSE)</f>
        <v>140</v>
      </c>
      <c r="H856" s="11">
        <f t="shared" si="52"/>
        <v>0</v>
      </c>
      <c r="I856" s="11">
        <f t="shared" si="53"/>
        <v>0</v>
      </c>
      <c r="J856" s="11">
        <f t="shared" si="55"/>
        <v>0</v>
      </c>
    </row>
    <row r="857" spans="1:10" x14ac:dyDescent="0.3">
      <c r="A857" s="7">
        <v>44882.499999999309</v>
      </c>
      <c r="B857" s="8" t="s">
        <v>9</v>
      </c>
      <c r="C857" s="8">
        <v>0</v>
      </c>
      <c r="D857" t="str">
        <f t="shared" si="54"/>
        <v>Thursday</v>
      </c>
      <c r="E857">
        <v>47</v>
      </c>
      <c r="F857" s="11">
        <f>VLOOKUP(B857,'ITEMS LIST'!$B$2:$F$19,4,FALSE)</f>
        <v>219</v>
      </c>
      <c r="G857" s="11">
        <f>VLOOKUP(B857,'ITEMS LIST'!$B$2:$F$19,5,FALSE)</f>
        <v>132</v>
      </c>
      <c r="H857" s="11">
        <f t="shared" si="52"/>
        <v>0</v>
      </c>
      <c r="I857" s="11">
        <f t="shared" si="53"/>
        <v>0</v>
      </c>
      <c r="J857" s="11">
        <f t="shared" si="55"/>
        <v>0</v>
      </c>
    </row>
    <row r="858" spans="1:10" x14ac:dyDescent="0.3">
      <c r="A858" s="7">
        <v>44882.555555554864</v>
      </c>
      <c r="B858" s="8" t="s">
        <v>10</v>
      </c>
      <c r="C858" s="8">
        <v>0</v>
      </c>
      <c r="D858" t="str">
        <f t="shared" si="54"/>
        <v>Thursday</v>
      </c>
      <c r="E858">
        <v>47</v>
      </c>
      <c r="F858" s="11">
        <f>VLOOKUP(B858,'ITEMS LIST'!$B$2:$F$19,4,FALSE)</f>
        <v>1469</v>
      </c>
      <c r="G858" s="11">
        <f>VLOOKUP(B858,'ITEMS LIST'!$B$2:$F$19,5,FALSE)</f>
        <v>1184</v>
      </c>
      <c r="H858" s="11">
        <f t="shared" si="52"/>
        <v>0</v>
      </c>
      <c r="I858" s="11">
        <f t="shared" si="53"/>
        <v>0</v>
      </c>
      <c r="J858" s="11">
        <f t="shared" si="55"/>
        <v>0</v>
      </c>
    </row>
    <row r="859" spans="1:10" x14ac:dyDescent="0.3">
      <c r="A859" s="7">
        <v>44882.611111110418</v>
      </c>
      <c r="B859" s="8" t="s">
        <v>11</v>
      </c>
      <c r="C859" s="8">
        <v>0</v>
      </c>
      <c r="D859" t="str">
        <f t="shared" si="54"/>
        <v>Thursday</v>
      </c>
      <c r="E859">
        <v>47</v>
      </c>
      <c r="F859" s="11">
        <f>VLOOKUP(B859,'ITEMS LIST'!$B$2:$F$19,4,FALSE)</f>
        <v>89</v>
      </c>
      <c r="G859" s="11">
        <f>VLOOKUP(B859,'ITEMS LIST'!$B$2:$F$19,5,FALSE)</f>
        <v>59</v>
      </c>
      <c r="H859" s="11">
        <f t="shared" si="52"/>
        <v>0</v>
      </c>
      <c r="I859" s="11">
        <f t="shared" si="53"/>
        <v>0</v>
      </c>
      <c r="J859" s="11">
        <f t="shared" si="55"/>
        <v>0</v>
      </c>
    </row>
    <row r="860" spans="1:10" x14ac:dyDescent="0.3">
      <c r="A860" s="7">
        <v>44882.666666665973</v>
      </c>
      <c r="B860" s="8" t="s">
        <v>12</v>
      </c>
      <c r="C860" s="8">
        <v>0</v>
      </c>
      <c r="D860" t="str">
        <f t="shared" si="54"/>
        <v>Thursday</v>
      </c>
      <c r="E860">
        <v>47</v>
      </c>
      <c r="F860" s="11">
        <f>VLOOKUP(B860,'ITEMS LIST'!$B$2:$F$19,4,FALSE)</f>
        <v>310</v>
      </c>
      <c r="G860" s="11">
        <f>VLOOKUP(B860,'ITEMS LIST'!$B$2:$F$19,5,FALSE)</f>
        <v>206</v>
      </c>
      <c r="H860" s="11">
        <f t="shared" si="52"/>
        <v>0</v>
      </c>
      <c r="I860" s="11">
        <f t="shared" si="53"/>
        <v>0</v>
      </c>
      <c r="J860" s="11">
        <f t="shared" si="55"/>
        <v>0</v>
      </c>
    </row>
    <row r="861" spans="1:10" x14ac:dyDescent="0.3">
      <c r="A861" s="7">
        <v>44882.722222221528</v>
      </c>
      <c r="B861" s="8" t="s">
        <v>13</v>
      </c>
      <c r="C861" s="8">
        <v>0</v>
      </c>
      <c r="D861" t="str">
        <f t="shared" si="54"/>
        <v>Thursday</v>
      </c>
      <c r="E861">
        <v>47</v>
      </c>
      <c r="F861" s="11">
        <f>VLOOKUP(B861,'ITEMS LIST'!$B$2:$F$19,4,FALSE)</f>
        <v>540</v>
      </c>
      <c r="G861" s="11">
        <f>VLOOKUP(B861,'ITEMS LIST'!$B$2:$F$19,5,FALSE)</f>
        <v>397</v>
      </c>
      <c r="H861" s="11">
        <f t="shared" si="52"/>
        <v>0</v>
      </c>
      <c r="I861" s="11">
        <f t="shared" si="53"/>
        <v>0</v>
      </c>
      <c r="J861" s="11">
        <f t="shared" si="55"/>
        <v>0</v>
      </c>
    </row>
    <row r="862" spans="1:10" x14ac:dyDescent="0.3">
      <c r="A862" s="7">
        <v>44882.777777777083</v>
      </c>
      <c r="B862" s="8" t="s">
        <v>14</v>
      </c>
      <c r="C862" s="8">
        <v>0</v>
      </c>
      <c r="D862" t="str">
        <f t="shared" si="54"/>
        <v>Thursday</v>
      </c>
      <c r="E862">
        <v>47</v>
      </c>
      <c r="F862" s="11">
        <f>VLOOKUP(B862,'ITEMS LIST'!$B$2:$F$19,4,FALSE)</f>
        <v>360</v>
      </c>
      <c r="G862" s="11">
        <f>VLOOKUP(B862,'ITEMS LIST'!$B$2:$F$19,5,FALSE)</f>
        <v>248</v>
      </c>
      <c r="H862" s="11">
        <f t="shared" si="52"/>
        <v>0</v>
      </c>
      <c r="I862" s="11">
        <f t="shared" si="53"/>
        <v>0</v>
      </c>
      <c r="J862" s="11">
        <f t="shared" si="55"/>
        <v>0</v>
      </c>
    </row>
    <row r="863" spans="1:10" x14ac:dyDescent="0.3">
      <c r="A863" s="7">
        <v>44882.833333332637</v>
      </c>
      <c r="B863" s="8" t="s">
        <v>15</v>
      </c>
      <c r="C863" s="8">
        <v>0</v>
      </c>
      <c r="D863" t="str">
        <f t="shared" si="54"/>
        <v>Thursday</v>
      </c>
      <c r="E863">
        <v>47</v>
      </c>
      <c r="F863" s="11">
        <f>VLOOKUP(B863,'ITEMS LIST'!$B$2:$F$19,4,FALSE)</f>
        <v>250</v>
      </c>
      <c r="G863" s="11">
        <f>VLOOKUP(B863,'ITEMS LIST'!$B$2:$F$19,5,FALSE)</f>
        <v>190</v>
      </c>
      <c r="H863" s="11">
        <f t="shared" si="52"/>
        <v>0</v>
      </c>
      <c r="I863" s="11">
        <f t="shared" si="53"/>
        <v>0</v>
      </c>
      <c r="J863" s="11">
        <f t="shared" si="55"/>
        <v>0</v>
      </c>
    </row>
    <row r="864" spans="1:10" x14ac:dyDescent="0.3">
      <c r="A864" s="7">
        <v>44882.888888888192</v>
      </c>
      <c r="B864" s="8" t="s">
        <v>16</v>
      </c>
      <c r="C864" s="8">
        <v>0</v>
      </c>
      <c r="D864" t="str">
        <f t="shared" si="54"/>
        <v>Thursday</v>
      </c>
      <c r="E864">
        <v>47</v>
      </c>
      <c r="F864" s="11">
        <f>VLOOKUP(B864,'ITEMS LIST'!$B$2:$F$19,4,FALSE)</f>
        <v>120</v>
      </c>
      <c r="G864" s="11">
        <f>VLOOKUP(B864,'ITEMS LIST'!$B$2:$F$19,5,FALSE)</f>
        <v>85</v>
      </c>
      <c r="H864" s="11">
        <f t="shared" si="52"/>
        <v>0</v>
      </c>
      <c r="I864" s="11">
        <f t="shared" si="53"/>
        <v>0</v>
      </c>
      <c r="J864" s="11">
        <f t="shared" si="55"/>
        <v>0</v>
      </c>
    </row>
    <row r="865" spans="1:10" x14ac:dyDescent="0.3">
      <c r="A865" s="7">
        <v>44882.944444443747</v>
      </c>
      <c r="B865" s="8" t="s">
        <v>17</v>
      </c>
      <c r="C865" s="8">
        <v>0</v>
      </c>
      <c r="D865" t="str">
        <f t="shared" si="54"/>
        <v>Thursday</v>
      </c>
      <c r="E865">
        <v>47</v>
      </c>
      <c r="F865" s="11">
        <f>VLOOKUP(B865,'ITEMS LIST'!$B$2:$F$19,4,FALSE)</f>
        <v>80</v>
      </c>
      <c r="G865" s="11">
        <f>VLOOKUP(B865,'ITEMS LIST'!$B$2:$F$19,5,FALSE)</f>
        <v>55</v>
      </c>
      <c r="H865" s="11">
        <f t="shared" si="52"/>
        <v>0</v>
      </c>
      <c r="I865" s="11">
        <f t="shared" si="53"/>
        <v>0</v>
      </c>
      <c r="J865" s="11">
        <f t="shared" si="55"/>
        <v>0</v>
      </c>
    </row>
    <row r="866" spans="1:10" x14ac:dyDescent="0.3">
      <c r="A866" s="7">
        <v>44882.999999999302</v>
      </c>
      <c r="B866" s="8" t="s">
        <v>0</v>
      </c>
      <c r="C866" s="8">
        <v>0</v>
      </c>
      <c r="D866" t="str">
        <f t="shared" si="54"/>
        <v>Friday</v>
      </c>
      <c r="E866">
        <v>47</v>
      </c>
      <c r="F866" s="11">
        <f>VLOOKUP(B866,'ITEMS LIST'!$B$2:$F$19,4,FALSE)</f>
        <v>549</v>
      </c>
      <c r="G866" s="11">
        <f>VLOOKUP(B866,'ITEMS LIST'!$B$2:$F$19,5,FALSE)</f>
        <v>365</v>
      </c>
      <c r="H866" s="11">
        <f t="shared" si="52"/>
        <v>0</v>
      </c>
      <c r="I866" s="11">
        <f t="shared" si="53"/>
        <v>0</v>
      </c>
      <c r="J866" s="11">
        <f t="shared" si="55"/>
        <v>0</v>
      </c>
    </row>
    <row r="867" spans="1:10" x14ac:dyDescent="0.3">
      <c r="A867" s="7">
        <v>44883.055555554856</v>
      </c>
      <c r="B867" s="8" t="s">
        <v>1</v>
      </c>
      <c r="C867" s="8">
        <v>0</v>
      </c>
      <c r="D867" t="str">
        <f t="shared" si="54"/>
        <v>Friday</v>
      </c>
      <c r="E867">
        <v>47</v>
      </c>
      <c r="F867" s="11">
        <f>VLOOKUP(B867,'ITEMS LIST'!$B$2:$F$19,4,FALSE)</f>
        <v>699</v>
      </c>
      <c r="G867" s="11">
        <f>VLOOKUP(B867,'ITEMS LIST'!$B$2:$F$19,5,FALSE)</f>
        <v>550</v>
      </c>
      <c r="H867" s="11">
        <f t="shared" si="52"/>
        <v>0</v>
      </c>
      <c r="I867" s="11">
        <f t="shared" si="53"/>
        <v>0</v>
      </c>
      <c r="J867" s="11">
        <f t="shared" si="55"/>
        <v>0</v>
      </c>
    </row>
    <row r="868" spans="1:10" x14ac:dyDescent="0.3">
      <c r="A868" s="7">
        <v>44883.111111110411</v>
      </c>
      <c r="B868" s="8" t="s">
        <v>2</v>
      </c>
      <c r="C868" s="8">
        <v>0</v>
      </c>
      <c r="D868" t="str">
        <f t="shared" si="54"/>
        <v>Friday</v>
      </c>
      <c r="E868">
        <v>47</v>
      </c>
      <c r="F868" s="11">
        <f>VLOOKUP(B868,'ITEMS LIST'!$B$2:$F$19,4,FALSE)</f>
        <v>739</v>
      </c>
      <c r="G868" s="11">
        <f>VLOOKUP(B868,'ITEMS LIST'!$B$2:$F$19,5,FALSE)</f>
        <v>620</v>
      </c>
      <c r="H868" s="11">
        <f t="shared" si="52"/>
        <v>0</v>
      </c>
      <c r="I868" s="11">
        <f t="shared" si="53"/>
        <v>0</v>
      </c>
      <c r="J868" s="11">
        <f t="shared" si="55"/>
        <v>0</v>
      </c>
    </row>
    <row r="869" spans="1:10" x14ac:dyDescent="0.3">
      <c r="A869" s="7">
        <v>44883.166666665966</v>
      </c>
      <c r="B869" s="8" t="s">
        <v>3</v>
      </c>
      <c r="C869" s="8">
        <v>0</v>
      </c>
      <c r="D869" t="str">
        <f t="shared" si="54"/>
        <v>Friday</v>
      </c>
      <c r="E869">
        <v>47</v>
      </c>
      <c r="F869" s="11">
        <f>VLOOKUP(B869,'ITEMS LIST'!$B$2:$F$19,4,FALSE)</f>
        <v>899</v>
      </c>
      <c r="G869" s="11">
        <f>VLOOKUP(B869,'ITEMS LIST'!$B$2:$F$19,5,FALSE)</f>
        <v>714</v>
      </c>
      <c r="H869" s="11">
        <f t="shared" si="52"/>
        <v>0</v>
      </c>
      <c r="I869" s="11">
        <f t="shared" si="53"/>
        <v>0</v>
      </c>
      <c r="J869" s="11">
        <f t="shared" si="55"/>
        <v>0</v>
      </c>
    </row>
    <row r="870" spans="1:10" x14ac:dyDescent="0.3">
      <c r="A870" s="7">
        <v>44883.22222222152</v>
      </c>
      <c r="B870" s="8" t="s">
        <v>4</v>
      </c>
      <c r="C870" s="8">
        <v>0</v>
      </c>
      <c r="D870" t="str">
        <f t="shared" si="54"/>
        <v>Friday</v>
      </c>
      <c r="E870">
        <v>47</v>
      </c>
      <c r="F870" s="11">
        <f>VLOOKUP(B870,'ITEMS LIST'!$B$2:$F$19,4,FALSE)</f>
        <v>1379</v>
      </c>
      <c r="G870" s="11">
        <f>VLOOKUP(B870,'ITEMS LIST'!$B$2:$F$19,5,FALSE)</f>
        <v>890</v>
      </c>
      <c r="H870" s="11">
        <f t="shared" si="52"/>
        <v>0</v>
      </c>
      <c r="I870" s="11">
        <f t="shared" si="53"/>
        <v>0</v>
      </c>
      <c r="J870" s="11">
        <f t="shared" si="55"/>
        <v>0</v>
      </c>
    </row>
    <row r="871" spans="1:10" x14ac:dyDescent="0.3">
      <c r="A871" s="7">
        <v>44883.277777777075</v>
      </c>
      <c r="B871" s="8" t="s">
        <v>5</v>
      </c>
      <c r="C871" s="8">
        <v>0</v>
      </c>
      <c r="D871" t="str">
        <f t="shared" si="54"/>
        <v>Friday</v>
      </c>
      <c r="E871">
        <v>47</v>
      </c>
      <c r="F871" s="11">
        <f>VLOOKUP(B871,'ITEMS LIST'!$B$2:$F$19,4,FALSE)</f>
        <v>849</v>
      </c>
      <c r="G871" s="11">
        <f>VLOOKUP(B871,'ITEMS LIST'!$B$2:$F$19,5,FALSE)</f>
        <v>530</v>
      </c>
      <c r="H871" s="11">
        <f t="shared" si="52"/>
        <v>0</v>
      </c>
      <c r="I871" s="11">
        <f t="shared" si="53"/>
        <v>0</v>
      </c>
      <c r="J871" s="11">
        <f t="shared" si="55"/>
        <v>0</v>
      </c>
    </row>
    <row r="872" spans="1:10" x14ac:dyDescent="0.3">
      <c r="A872" s="7">
        <v>44883.33333333263</v>
      </c>
      <c r="B872" s="8" t="s">
        <v>6</v>
      </c>
      <c r="C872" s="8">
        <v>0</v>
      </c>
      <c r="D872" t="str">
        <f t="shared" si="54"/>
        <v>Friday</v>
      </c>
      <c r="E872">
        <v>47</v>
      </c>
      <c r="F872" s="11">
        <f>VLOOKUP(B872,'ITEMS LIST'!$B$2:$F$19,4,FALSE)</f>
        <v>1000</v>
      </c>
      <c r="G872" s="11">
        <f>VLOOKUP(B872,'ITEMS LIST'!$B$2:$F$19,5,FALSE)</f>
        <v>768</v>
      </c>
      <c r="H872" s="11">
        <f t="shared" si="52"/>
        <v>0</v>
      </c>
      <c r="I872" s="11">
        <f t="shared" si="53"/>
        <v>0</v>
      </c>
      <c r="J872" s="11">
        <f t="shared" si="55"/>
        <v>0</v>
      </c>
    </row>
    <row r="873" spans="1:10" x14ac:dyDescent="0.3">
      <c r="A873" s="7">
        <v>44883.388888888185</v>
      </c>
      <c r="B873" s="8" t="s">
        <v>7</v>
      </c>
      <c r="C873" s="8">
        <v>0</v>
      </c>
      <c r="D873" t="str">
        <f t="shared" si="54"/>
        <v>Friday</v>
      </c>
      <c r="E873">
        <v>47</v>
      </c>
      <c r="F873" s="11">
        <f>VLOOKUP(B873,'ITEMS LIST'!$B$2:$F$19,4,FALSE)</f>
        <v>680</v>
      </c>
      <c r="G873" s="11">
        <f>VLOOKUP(B873,'ITEMS LIST'!$B$2:$F$19,5,FALSE)</f>
        <v>570</v>
      </c>
      <c r="H873" s="11">
        <f t="shared" si="52"/>
        <v>0</v>
      </c>
      <c r="I873" s="11">
        <f t="shared" si="53"/>
        <v>0</v>
      </c>
      <c r="J873" s="11">
        <f t="shared" si="55"/>
        <v>0</v>
      </c>
    </row>
    <row r="874" spans="1:10" x14ac:dyDescent="0.3">
      <c r="A874" s="7">
        <v>44883.444444443739</v>
      </c>
      <c r="B874" s="8" t="s">
        <v>8</v>
      </c>
      <c r="C874" s="8">
        <v>0</v>
      </c>
      <c r="D874" t="str">
        <f t="shared" si="54"/>
        <v>Friday</v>
      </c>
      <c r="E874">
        <v>47</v>
      </c>
      <c r="F874" s="11">
        <f>VLOOKUP(B874,'ITEMS LIST'!$B$2:$F$19,4,FALSE)</f>
        <v>199</v>
      </c>
      <c r="G874" s="11">
        <f>VLOOKUP(B874,'ITEMS LIST'!$B$2:$F$19,5,FALSE)</f>
        <v>140</v>
      </c>
      <c r="H874" s="11">
        <f t="shared" si="52"/>
        <v>0</v>
      </c>
      <c r="I874" s="11">
        <f t="shared" si="53"/>
        <v>0</v>
      </c>
      <c r="J874" s="11">
        <f t="shared" si="55"/>
        <v>0</v>
      </c>
    </row>
    <row r="875" spans="1:10" x14ac:dyDescent="0.3">
      <c r="A875" s="7">
        <v>44883.499999999294</v>
      </c>
      <c r="B875" s="8" t="s">
        <v>9</v>
      </c>
      <c r="C875" s="8">
        <v>0</v>
      </c>
      <c r="D875" t="str">
        <f t="shared" si="54"/>
        <v>Friday</v>
      </c>
      <c r="E875">
        <v>47</v>
      </c>
      <c r="F875" s="11">
        <f>VLOOKUP(B875,'ITEMS LIST'!$B$2:$F$19,4,FALSE)</f>
        <v>219</v>
      </c>
      <c r="G875" s="11">
        <f>VLOOKUP(B875,'ITEMS LIST'!$B$2:$F$19,5,FALSE)</f>
        <v>132</v>
      </c>
      <c r="H875" s="11">
        <f t="shared" si="52"/>
        <v>0</v>
      </c>
      <c r="I875" s="11">
        <f t="shared" si="53"/>
        <v>0</v>
      </c>
      <c r="J875" s="11">
        <f t="shared" si="55"/>
        <v>0</v>
      </c>
    </row>
    <row r="876" spans="1:10" x14ac:dyDescent="0.3">
      <c r="A876" s="7">
        <v>44883.555555554849</v>
      </c>
      <c r="B876" s="8" t="s">
        <v>10</v>
      </c>
      <c r="C876" s="8">
        <v>0</v>
      </c>
      <c r="D876" t="str">
        <f t="shared" si="54"/>
        <v>Friday</v>
      </c>
      <c r="E876">
        <v>47</v>
      </c>
      <c r="F876" s="11">
        <f>VLOOKUP(B876,'ITEMS LIST'!$B$2:$F$19,4,FALSE)</f>
        <v>1469</v>
      </c>
      <c r="G876" s="11">
        <f>VLOOKUP(B876,'ITEMS LIST'!$B$2:$F$19,5,FALSE)</f>
        <v>1184</v>
      </c>
      <c r="H876" s="11">
        <f t="shared" si="52"/>
        <v>0</v>
      </c>
      <c r="I876" s="11">
        <f t="shared" si="53"/>
        <v>0</v>
      </c>
      <c r="J876" s="11">
        <f t="shared" si="55"/>
        <v>0</v>
      </c>
    </row>
    <row r="877" spans="1:10" x14ac:dyDescent="0.3">
      <c r="A877" s="7">
        <v>44883.611111110404</v>
      </c>
      <c r="B877" s="8" t="s">
        <v>11</v>
      </c>
      <c r="C877" s="8">
        <v>0</v>
      </c>
      <c r="D877" t="str">
        <f t="shared" si="54"/>
        <v>Friday</v>
      </c>
      <c r="E877">
        <v>47</v>
      </c>
      <c r="F877" s="11">
        <f>VLOOKUP(B877,'ITEMS LIST'!$B$2:$F$19,4,FALSE)</f>
        <v>89</v>
      </c>
      <c r="G877" s="11">
        <f>VLOOKUP(B877,'ITEMS LIST'!$B$2:$F$19,5,FALSE)</f>
        <v>59</v>
      </c>
      <c r="H877" s="11">
        <f t="shared" si="52"/>
        <v>0</v>
      </c>
      <c r="I877" s="11">
        <f t="shared" si="53"/>
        <v>0</v>
      </c>
      <c r="J877" s="11">
        <f t="shared" si="55"/>
        <v>0</v>
      </c>
    </row>
    <row r="878" spans="1:10" x14ac:dyDescent="0.3">
      <c r="A878" s="7">
        <v>44883.666666665958</v>
      </c>
      <c r="B878" s="8" t="s">
        <v>12</v>
      </c>
      <c r="C878" s="8">
        <v>0</v>
      </c>
      <c r="D878" t="str">
        <f t="shared" si="54"/>
        <v>Friday</v>
      </c>
      <c r="E878">
        <v>47</v>
      </c>
      <c r="F878" s="11">
        <f>VLOOKUP(B878,'ITEMS LIST'!$B$2:$F$19,4,FALSE)</f>
        <v>310</v>
      </c>
      <c r="G878" s="11">
        <f>VLOOKUP(B878,'ITEMS LIST'!$B$2:$F$19,5,FALSE)</f>
        <v>206</v>
      </c>
      <c r="H878" s="11">
        <f t="shared" si="52"/>
        <v>0</v>
      </c>
      <c r="I878" s="11">
        <f t="shared" si="53"/>
        <v>0</v>
      </c>
      <c r="J878" s="11">
        <f t="shared" si="55"/>
        <v>0</v>
      </c>
    </row>
    <row r="879" spans="1:10" x14ac:dyDescent="0.3">
      <c r="A879" s="7">
        <v>44883.722222221513</v>
      </c>
      <c r="B879" s="8" t="s">
        <v>13</v>
      </c>
      <c r="C879" s="8">
        <v>0</v>
      </c>
      <c r="D879" t="str">
        <f t="shared" si="54"/>
        <v>Friday</v>
      </c>
      <c r="E879">
        <v>47</v>
      </c>
      <c r="F879" s="11">
        <f>VLOOKUP(B879,'ITEMS LIST'!$B$2:$F$19,4,FALSE)</f>
        <v>540</v>
      </c>
      <c r="G879" s="11">
        <f>VLOOKUP(B879,'ITEMS LIST'!$B$2:$F$19,5,FALSE)</f>
        <v>397</v>
      </c>
      <c r="H879" s="11">
        <f t="shared" si="52"/>
        <v>0</v>
      </c>
      <c r="I879" s="11">
        <f t="shared" si="53"/>
        <v>0</v>
      </c>
      <c r="J879" s="11">
        <f t="shared" si="55"/>
        <v>0</v>
      </c>
    </row>
    <row r="880" spans="1:10" x14ac:dyDescent="0.3">
      <c r="A880" s="7">
        <v>44883.777777777068</v>
      </c>
      <c r="B880" s="8" t="s">
        <v>14</v>
      </c>
      <c r="C880" s="8">
        <v>0</v>
      </c>
      <c r="D880" t="str">
        <f t="shared" si="54"/>
        <v>Friday</v>
      </c>
      <c r="E880">
        <v>47</v>
      </c>
      <c r="F880" s="11">
        <f>VLOOKUP(B880,'ITEMS LIST'!$B$2:$F$19,4,FALSE)</f>
        <v>360</v>
      </c>
      <c r="G880" s="11">
        <f>VLOOKUP(B880,'ITEMS LIST'!$B$2:$F$19,5,FALSE)</f>
        <v>248</v>
      </c>
      <c r="H880" s="11">
        <f t="shared" si="52"/>
        <v>0</v>
      </c>
      <c r="I880" s="11">
        <f t="shared" si="53"/>
        <v>0</v>
      </c>
      <c r="J880" s="11">
        <f t="shared" si="55"/>
        <v>0</v>
      </c>
    </row>
    <row r="881" spans="1:10" x14ac:dyDescent="0.3">
      <c r="A881" s="7">
        <v>44883.833333332623</v>
      </c>
      <c r="B881" s="8" t="s">
        <v>15</v>
      </c>
      <c r="C881" s="8">
        <v>0</v>
      </c>
      <c r="D881" t="str">
        <f t="shared" si="54"/>
        <v>Friday</v>
      </c>
      <c r="E881">
        <v>47</v>
      </c>
      <c r="F881" s="11">
        <f>VLOOKUP(B881,'ITEMS LIST'!$B$2:$F$19,4,FALSE)</f>
        <v>250</v>
      </c>
      <c r="G881" s="11">
        <f>VLOOKUP(B881,'ITEMS LIST'!$B$2:$F$19,5,FALSE)</f>
        <v>190</v>
      </c>
      <c r="H881" s="11">
        <f t="shared" si="52"/>
        <v>0</v>
      </c>
      <c r="I881" s="11">
        <f t="shared" si="53"/>
        <v>0</v>
      </c>
      <c r="J881" s="11">
        <f t="shared" si="55"/>
        <v>0</v>
      </c>
    </row>
    <row r="882" spans="1:10" x14ac:dyDescent="0.3">
      <c r="A882" s="7">
        <v>44883.888888888177</v>
      </c>
      <c r="B882" s="8" t="s">
        <v>16</v>
      </c>
      <c r="C882" s="8">
        <v>0</v>
      </c>
      <c r="D882" t="str">
        <f t="shared" si="54"/>
        <v>Friday</v>
      </c>
      <c r="E882">
        <v>47</v>
      </c>
      <c r="F882" s="11">
        <f>VLOOKUP(B882,'ITEMS LIST'!$B$2:$F$19,4,FALSE)</f>
        <v>120</v>
      </c>
      <c r="G882" s="11">
        <f>VLOOKUP(B882,'ITEMS LIST'!$B$2:$F$19,5,FALSE)</f>
        <v>85</v>
      </c>
      <c r="H882" s="11">
        <f t="shared" si="52"/>
        <v>0</v>
      </c>
      <c r="I882" s="11">
        <f t="shared" si="53"/>
        <v>0</v>
      </c>
      <c r="J882" s="11">
        <f t="shared" si="55"/>
        <v>0</v>
      </c>
    </row>
    <row r="883" spans="1:10" x14ac:dyDescent="0.3">
      <c r="A883" s="7">
        <v>44883.944444443732</v>
      </c>
      <c r="B883" s="8" t="s">
        <v>17</v>
      </c>
      <c r="C883" s="8">
        <v>0</v>
      </c>
      <c r="D883" t="str">
        <f t="shared" si="54"/>
        <v>Friday</v>
      </c>
      <c r="E883">
        <v>47</v>
      </c>
      <c r="F883" s="11">
        <f>VLOOKUP(B883,'ITEMS LIST'!$B$2:$F$19,4,FALSE)</f>
        <v>80</v>
      </c>
      <c r="G883" s="11">
        <f>VLOOKUP(B883,'ITEMS LIST'!$B$2:$F$19,5,FALSE)</f>
        <v>55</v>
      </c>
      <c r="H883" s="11">
        <f t="shared" si="52"/>
        <v>0</v>
      </c>
      <c r="I883" s="11">
        <f t="shared" si="53"/>
        <v>0</v>
      </c>
      <c r="J883" s="11">
        <f t="shared" si="55"/>
        <v>0</v>
      </c>
    </row>
    <row r="884" spans="1:10" x14ac:dyDescent="0.3">
      <c r="A884" s="7">
        <v>44883.999999999287</v>
      </c>
      <c r="B884" s="8" t="s">
        <v>0</v>
      </c>
      <c r="C884" s="8">
        <v>0</v>
      </c>
      <c r="D884" t="str">
        <f t="shared" si="54"/>
        <v>Saturday</v>
      </c>
      <c r="E884">
        <v>47</v>
      </c>
      <c r="F884" s="11">
        <f>VLOOKUP(B884,'ITEMS LIST'!$B$2:$F$19,4,FALSE)</f>
        <v>549</v>
      </c>
      <c r="G884" s="11">
        <f>VLOOKUP(B884,'ITEMS LIST'!$B$2:$F$19,5,FALSE)</f>
        <v>365</v>
      </c>
      <c r="H884" s="11">
        <f t="shared" si="52"/>
        <v>0</v>
      </c>
      <c r="I884" s="11">
        <f t="shared" si="53"/>
        <v>0</v>
      </c>
      <c r="J884" s="11">
        <f t="shared" si="55"/>
        <v>0</v>
      </c>
    </row>
    <row r="885" spans="1:10" x14ac:dyDescent="0.3">
      <c r="A885" s="7">
        <v>44884.055555554842</v>
      </c>
      <c r="B885" s="8" t="s">
        <v>1</v>
      </c>
      <c r="C885" s="8">
        <v>1</v>
      </c>
      <c r="D885" t="str">
        <f t="shared" si="54"/>
        <v>Saturday</v>
      </c>
      <c r="E885">
        <v>47</v>
      </c>
      <c r="F885" s="11">
        <f>VLOOKUP(B885,'ITEMS LIST'!$B$2:$F$19,4,FALSE)</f>
        <v>699</v>
      </c>
      <c r="G885" s="11">
        <f>VLOOKUP(B885,'ITEMS LIST'!$B$2:$F$19,5,FALSE)</f>
        <v>550</v>
      </c>
      <c r="H885" s="11">
        <f t="shared" si="52"/>
        <v>699</v>
      </c>
      <c r="I885" s="11">
        <f t="shared" si="53"/>
        <v>550</v>
      </c>
      <c r="J885" s="11">
        <f t="shared" si="55"/>
        <v>149</v>
      </c>
    </row>
    <row r="886" spans="1:10" x14ac:dyDescent="0.3">
      <c r="A886" s="7">
        <v>44884.111111110396</v>
      </c>
      <c r="B886" s="8" t="s">
        <v>2</v>
      </c>
      <c r="C886" s="8">
        <v>2</v>
      </c>
      <c r="D886" t="str">
        <f t="shared" si="54"/>
        <v>Saturday</v>
      </c>
      <c r="E886">
        <v>47</v>
      </c>
      <c r="F886" s="11">
        <f>VLOOKUP(B886,'ITEMS LIST'!$B$2:$F$19,4,FALSE)</f>
        <v>739</v>
      </c>
      <c r="G886" s="11">
        <f>VLOOKUP(B886,'ITEMS LIST'!$B$2:$F$19,5,FALSE)</f>
        <v>620</v>
      </c>
      <c r="H886" s="11">
        <f t="shared" si="52"/>
        <v>1478</v>
      </c>
      <c r="I886" s="11">
        <f t="shared" si="53"/>
        <v>1240</v>
      </c>
      <c r="J886" s="11">
        <f t="shared" si="55"/>
        <v>238</v>
      </c>
    </row>
    <row r="887" spans="1:10" x14ac:dyDescent="0.3">
      <c r="A887" s="7">
        <v>44884.166666665951</v>
      </c>
      <c r="B887" s="8" t="s">
        <v>3</v>
      </c>
      <c r="C887" s="8">
        <v>0</v>
      </c>
      <c r="D887" t="str">
        <f t="shared" si="54"/>
        <v>Saturday</v>
      </c>
      <c r="E887">
        <v>47</v>
      </c>
      <c r="F887" s="11">
        <f>VLOOKUP(B887,'ITEMS LIST'!$B$2:$F$19,4,FALSE)</f>
        <v>899</v>
      </c>
      <c r="G887" s="11">
        <f>VLOOKUP(B887,'ITEMS LIST'!$B$2:$F$19,5,FALSE)</f>
        <v>714</v>
      </c>
      <c r="H887" s="11">
        <f t="shared" si="52"/>
        <v>0</v>
      </c>
      <c r="I887" s="11">
        <f t="shared" si="53"/>
        <v>0</v>
      </c>
      <c r="J887" s="11">
        <f t="shared" si="55"/>
        <v>0</v>
      </c>
    </row>
    <row r="888" spans="1:10" x14ac:dyDescent="0.3">
      <c r="A888" s="7">
        <v>44884.222222221506</v>
      </c>
      <c r="B888" s="8" t="s">
        <v>4</v>
      </c>
      <c r="C888" s="8">
        <v>0</v>
      </c>
      <c r="D888" t="str">
        <f t="shared" si="54"/>
        <v>Saturday</v>
      </c>
      <c r="E888">
        <v>47</v>
      </c>
      <c r="F888" s="11">
        <f>VLOOKUP(B888,'ITEMS LIST'!$B$2:$F$19,4,FALSE)</f>
        <v>1379</v>
      </c>
      <c r="G888" s="11">
        <f>VLOOKUP(B888,'ITEMS LIST'!$B$2:$F$19,5,FALSE)</f>
        <v>890</v>
      </c>
      <c r="H888" s="11">
        <f t="shared" si="52"/>
        <v>0</v>
      </c>
      <c r="I888" s="11">
        <f t="shared" si="53"/>
        <v>0</v>
      </c>
      <c r="J888" s="11">
        <f t="shared" si="55"/>
        <v>0</v>
      </c>
    </row>
    <row r="889" spans="1:10" x14ac:dyDescent="0.3">
      <c r="A889" s="7">
        <v>44884.277777777061</v>
      </c>
      <c r="B889" s="8" t="s">
        <v>5</v>
      </c>
      <c r="C889" s="8">
        <v>1</v>
      </c>
      <c r="D889" t="str">
        <f t="shared" si="54"/>
        <v>Saturday</v>
      </c>
      <c r="E889">
        <v>47</v>
      </c>
      <c r="F889" s="11">
        <f>VLOOKUP(B889,'ITEMS LIST'!$B$2:$F$19,4,FALSE)</f>
        <v>849</v>
      </c>
      <c r="G889" s="11">
        <f>VLOOKUP(B889,'ITEMS LIST'!$B$2:$F$19,5,FALSE)</f>
        <v>530</v>
      </c>
      <c r="H889" s="11">
        <f t="shared" si="52"/>
        <v>849</v>
      </c>
      <c r="I889" s="11">
        <f t="shared" si="53"/>
        <v>530</v>
      </c>
      <c r="J889" s="11">
        <f t="shared" si="55"/>
        <v>319</v>
      </c>
    </row>
    <row r="890" spans="1:10" x14ac:dyDescent="0.3">
      <c r="A890" s="7">
        <v>44884.333333332615</v>
      </c>
      <c r="B890" s="8" t="s">
        <v>6</v>
      </c>
      <c r="C890" s="8">
        <v>0</v>
      </c>
      <c r="D890" t="str">
        <f t="shared" si="54"/>
        <v>Saturday</v>
      </c>
      <c r="E890">
        <v>47</v>
      </c>
      <c r="F890" s="11">
        <f>VLOOKUP(B890,'ITEMS LIST'!$B$2:$F$19,4,FALSE)</f>
        <v>1000</v>
      </c>
      <c r="G890" s="11">
        <f>VLOOKUP(B890,'ITEMS LIST'!$B$2:$F$19,5,FALSE)</f>
        <v>768</v>
      </c>
      <c r="H890" s="11">
        <f t="shared" si="52"/>
        <v>0</v>
      </c>
      <c r="I890" s="11">
        <f t="shared" si="53"/>
        <v>0</v>
      </c>
      <c r="J890" s="11">
        <f t="shared" si="55"/>
        <v>0</v>
      </c>
    </row>
    <row r="891" spans="1:10" x14ac:dyDescent="0.3">
      <c r="A891" s="7">
        <v>44884.38888888817</v>
      </c>
      <c r="B891" s="8" t="s">
        <v>7</v>
      </c>
      <c r="C891" s="8">
        <v>0</v>
      </c>
      <c r="D891" t="str">
        <f t="shared" si="54"/>
        <v>Saturday</v>
      </c>
      <c r="E891">
        <v>47</v>
      </c>
      <c r="F891" s="11">
        <f>VLOOKUP(B891,'ITEMS LIST'!$B$2:$F$19,4,FALSE)</f>
        <v>680</v>
      </c>
      <c r="G891" s="11">
        <f>VLOOKUP(B891,'ITEMS LIST'!$B$2:$F$19,5,FALSE)</f>
        <v>570</v>
      </c>
      <c r="H891" s="11">
        <f t="shared" si="52"/>
        <v>0</v>
      </c>
      <c r="I891" s="11">
        <f t="shared" si="53"/>
        <v>0</v>
      </c>
      <c r="J891" s="11">
        <f t="shared" si="55"/>
        <v>0</v>
      </c>
    </row>
    <row r="892" spans="1:10" x14ac:dyDescent="0.3">
      <c r="A892" s="7">
        <v>44884.444444443725</v>
      </c>
      <c r="B892" s="8" t="s">
        <v>8</v>
      </c>
      <c r="C892" s="8">
        <v>0</v>
      </c>
      <c r="D892" t="str">
        <f t="shared" si="54"/>
        <v>Saturday</v>
      </c>
      <c r="E892">
        <v>47</v>
      </c>
      <c r="F892" s="11">
        <f>VLOOKUP(B892,'ITEMS LIST'!$B$2:$F$19,4,FALSE)</f>
        <v>199</v>
      </c>
      <c r="G892" s="11">
        <f>VLOOKUP(B892,'ITEMS LIST'!$B$2:$F$19,5,FALSE)</f>
        <v>140</v>
      </c>
      <c r="H892" s="11">
        <f t="shared" si="52"/>
        <v>0</v>
      </c>
      <c r="I892" s="11">
        <f t="shared" si="53"/>
        <v>0</v>
      </c>
      <c r="J892" s="11">
        <f t="shared" si="55"/>
        <v>0</v>
      </c>
    </row>
    <row r="893" spans="1:10" x14ac:dyDescent="0.3">
      <c r="A893" s="7">
        <v>44884.49999999928</v>
      </c>
      <c r="B893" s="8" t="s">
        <v>9</v>
      </c>
      <c r="C893" s="8">
        <v>0</v>
      </c>
      <c r="D893" t="str">
        <f t="shared" si="54"/>
        <v>Saturday</v>
      </c>
      <c r="E893">
        <v>47</v>
      </c>
      <c r="F893" s="11">
        <f>VLOOKUP(B893,'ITEMS LIST'!$B$2:$F$19,4,FALSE)</f>
        <v>219</v>
      </c>
      <c r="G893" s="11">
        <f>VLOOKUP(B893,'ITEMS LIST'!$B$2:$F$19,5,FALSE)</f>
        <v>132</v>
      </c>
      <c r="H893" s="11">
        <f t="shared" si="52"/>
        <v>0</v>
      </c>
      <c r="I893" s="11">
        <f t="shared" si="53"/>
        <v>0</v>
      </c>
      <c r="J893" s="11">
        <f t="shared" si="55"/>
        <v>0</v>
      </c>
    </row>
    <row r="894" spans="1:10" x14ac:dyDescent="0.3">
      <c r="A894" s="7">
        <v>44884.555555554834</v>
      </c>
      <c r="B894" s="8" t="s">
        <v>10</v>
      </c>
      <c r="C894" s="8">
        <v>1</v>
      </c>
      <c r="D894" t="str">
        <f t="shared" si="54"/>
        <v>Saturday</v>
      </c>
      <c r="E894">
        <v>47</v>
      </c>
      <c r="F894" s="11">
        <f>VLOOKUP(B894,'ITEMS LIST'!$B$2:$F$19,4,FALSE)</f>
        <v>1469</v>
      </c>
      <c r="G894" s="11">
        <f>VLOOKUP(B894,'ITEMS LIST'!$B$2:$F$19,5,FALSE)</f>
        <v>1184</v>
      </c>
      <c r="H894" s="11">
        <f t="shared" si="52"/>
        <v>1469</v>
      </c>
      <c r="I894" s="11">
        <f t="shared" si="53"/>
        <v>1184</v>
      </c>
      <c r="J894" s="11">
        <f t="shared" si="55"/>
        <v>285</v>
      </c>
    </row>
    <row r="895" spans="1:10" x14ac:dyDescent="0.3">
      <c r="A895" s="7">
        <v>44884.611111110389</v>
      </c>
      <c r="B895" s="8" t="s">
        <v>11</v>
      </c>
      <c r="C895" s="8">
        <v>0</v>
      </c>
      <c r="D895" t="str">
        <f t="shared" si="54"/>
        <v>Saturday</v>
      </c>
      <c r="E895">
        <v>47</v>
      </c>
      <c r="F895" s="11">
        <f>VLOOKUP(B895,'ITEMS LIST'!$B$2:$F$19,4,FALSE)</f>
        <v>89</v>
      </c>
      <c r="G895" s="11">
        <f>VLOOKUP(B895,'ITEMS LIST'!$B$2:$F$19,5,FALSE)</f>
        <v>59</v>
      </c>
      <c r="H895" s="11">
        <f t="shared" si="52"/>
        <v>0</v>
      </c>
      <c r="I895" s="11">
        <f t="shared" si="53"/>
        <v>0</v>
      </c>
      <c r="J895" s="11">
        <f t="shared" si="55"/>
        <v>0</v>
      </c>
    </row>
    <row r="896" spans="1:10" x14ac:dyDescent="0.3">
      <c r="A896" s="7">
        <v>44884.666666665944</v>
      </c>
      <c r="B896" s="8" t="s">
        <v>12</v>
      </c>
      <c r="C896" s="8">
        <v>0</v>
      </c>
      <c r="D896" t="str">
        <f t="shared" si="54"/>
        <v>Saturday</v>
      </c>
      <c r="E896">
        <v>47</v>
      </c>
      <c r="F896" s="11">
        <f>VLOOKUP(B896,'ITEMS LIST'!$B$2:$F$19,4,FALSE)</f>
        <v>310</v>
      </c>
      <c r="G896" s="11">
        <f>VLOOKUP(B896,'ITEMS LIST'!$B$2:$F$19,5,FALSE)</f>
        <v>206</v>
      </c>
      <c r="H896" s="11">
        <f t="shared" si="52"/>
        <v>0</v>
      </c>
      <c r="I896" s="11">
        <f t="shared" si="53"/>
        <v>0</v>
      </c>
      <c r="J896" s="11">
        <f t="shared" si="55"/>
        <v>0</v>
      </c>
    </row>
    <row r="897" spans="1:10" x14ac:dyDescent="0.3">
      <c r="A897" s="7">
        <v>44884.722222221499</v>
      </c>
      <c r="B897" s="8" t="s">
        <v>13</v>
      </c>
      <c r="C897" s="8">
        <v>0</v>
      </c>
      <c r="D897" t="str">
        <f t="shared" si="54"/>
        <v>Saturday</v>
      </c>
      <c r="E897">
        <v>47</v>
      </c>
      <c r="F897" s="11">
        <f>VLOOKUP(B897,'ITEMS LIST'!$B$2:$F$19,4,FALSE)</f>
        <v>540</v>
      </c>
      <c r="G897" s="11">
        <f>VLOOKUP(B897,'ITEMS LIST'!$B$2:$F$19,5,FALSE)</f>
        <v>397</v>
      </c>
      <c r="H897" s="11">
        <f t="shared" si="52"/>
        <v>0</v>
      </c>
      <c r="I897" s="11">
        <f t="shared" si="53"/>
        <v>0</v>
      </c>
      <c r="J897" s="11">
        <f t="shared" si="55"/>
        <v>0</v>
      </c>
    </row>
    <row r="898" spans="1:10" x14ac:dyDescent="0.3">
      <c r="A898" s="7">
        <v>44884.777777777053</v>
      </c>
      <c r="B898" s="8" t="s">
        <v>14</v>
      </c>
      <c r="C898" s="8">
        <v>0</v>
      </c>
      <c r="D898" t="str">
        <f t="shared" si="54"/>
        <v>Saturday</v>
      </c>
      <c r="E898">
        <v>47</v>
      </c>
      <c r="F898" s="11">
        <f>VLOOKUP(B898,'ITEMS LIST'!$B$2:$F$19,4,FALSE)</f>
        <v>360</v>
      </c>
      <c r="G898" s="11">
        <f>VLOOKUP(B898,'ITEMS LIST'!$B$2:$F$19,5,FALSE)</f>
        <v>248</v>
      </c>
      <c r="H898" s="11">
        <f t="shared" ref="H898:H961" si="56">C898*F898</f>
        <v>0</v>
      </c>
      <c r="I898" s="11">
        <f t="shared" ref="I898:I961" si="57">C898*G898</f>
        <v>0</v>
      </c>
      <c r="J898" s="11">
        <f t="shared" si="55"/>
        <v>0</v>
      </c>
    </row>
    <row r="899" spans="1:10" x14ac:dyDescent="0.3">
      <c r="A899" s="7">
        <v>44884.833333332608</v>
      </c>
      <c r="B899" s="8" t="s">
        <v>15</v>
      </c>
      <c r="C899" s="8">
        <v>0</v>
      </c>
      <c r="D899" t="str">
        <f t="shared" ref="D899:D962" si="58">TEXT(A899,"dddd")</f>
        <v>Saturday</v>
      </c>
      <c r="E899">
        <v>47</v>
      </c>
      <c r="F899" s="11">
        <f>VLOOKUP(B899,'ITEMS LIST'!$B$2:$F$19,4,FALSE)</f>
        <v>250</v>
      </c>
      <c r="G899" s="11">
        <f>VLOOKUP(B899,'ITEMS LIST'!$B$2:$F$19,5,FALSE)</f>
        <v>190</v>
      </c>
      <c r="H899" s="11">
        <f t="shared" si="56"/>
        <v>0</v>
      </c>
      <c r="I899" s="11">
        <f t="shared" si="57"/>
        <v>0</v>
      </c>
      <c r="J899" s="11">
        <f t="shared" ref="J899:J962" si="59">H899-I899</f>
        <v>0</v>
      </c>
    </row>
    <row r="900" spans="1:10" x14ac:dyDescent="0.3">
      <c r="A900" s="7">
        <v>44884.888888888163</v>
      </c>
      <c r="B900" s="8" t="s">
        <v>16</v>
      </c>
      <c r="C900" s="8">
        <v>0</v>
      </c>
      <c r="D900" t="str">
        <f t="shared" si="58"/>
        <v>Saturday</v>
      </c>
      <c r="E900">
        <v>47</v>
      </c>
      <c r="F900" s="11">
        <f>VLOOKUP(B900,'ITEMS LIST'!$B$2:$F$19,4,FALSE)</f>
        <v>120</v>
      </c>
      <c r="G900" s="11">
        <f>VLOOKUP(B900,'ITEMS LIST'!$B$2:$F$19,5,FALSE)</f>
        <v>85</v>
      </c>
      <c r="H900" s="11">
        <f t="shared" si="56"/>
        <v>0</v>
      </c>
      <c r="I900" s="11">
        <f t="shared" si="57"/>
        <v>0</v>
      </c>
      <c r="J900" s="11">
        <f t="shared" si="59"/>
        <v>0</v>
      </c>
    </row>
    <row r="901" spans="1:10" x14ac:dyDescent="0.3">
      <c r="A901" s="7">
        <v>44884.944444443718</v>
      </c>
      <c r="B901" s="8" t="s">
        <v>17</v>
      </c>
      <c r="C901" s="8">
        <v>0</v>
      </c>
      <c r="D901" t="str">
        <f t="shared" si="58"/>
        <v>Saturday</v>
      </c>
      <c r="E901">
        <v>47</v>
      </c>
      <c r="F901" s="11">
        <f>VLOOKUP(B901,'ITEMS LIST'!$B$2:$F$19,4,FALSE)</f>
        <v>80</v>
      </c>
      <c r="G901" s="11">
        <f>VLOOKUP(B901,'ITEMS LIST'!$B$2:$F$19,5,FALSE)</f>
        <v>55</v>
      </c>
      <c r="H901" s="11">
        <f t="shared" si="56"/>
        <v>0</v>
      </c>
      <c r="I901" s="11">
        <f t="shared" si="57"/>
        <v>0</v>
      </c>
      <c r="J901" s="11">
        <f t="shared" si="59"/>
        <v>0</v>
      </c>
    </row>
    <row r="902" spans="1:10" x14ac:dyDescent="0.3">
      <c r="A902" s="7">
        <v>44884.999999999272</v>
      </c>
      <c r="B902" s="8" t="s">
        <v>0</v>
      </c>
      <c r="C902" s="8">
        <v>0</v>
      </c>
      <c r="D902" t="str">
        <f t="shared" si="58"/>
        <v>Sunday</v>
      </c>
      <c r="E902">
        <v>48</v>
      </c>
      <c r="F902" s="11">
        <f>VLOOKUP(B902,'ITEMS LIST'!$B$2:$F$19,4,FALSE)</f>
        <v>549</v>
      </c>
      <c r="G902" s="11">
        <f>VLOOKUP(B902,'ITEMS LIST'!$B$2:$F$19,5,FALSE)</f>
        <v>365</v>
      </c>
      <c r="H902" s="11">
        <f t="shared" si="56"/>
        <v>0</v>
      </c>
      <c r="I902" s="11">
        <f t="shared" si="57"/>
        <v>0</v>
      </c>
      <c r="J902" s="11">
        <f t="shared" si="59"/>
        <v>0</v>
      </c>
    </row>
    <row r="903" spans="1:10" x14ac:dyDescent="0.3">
      <c r="A903" s="7">
        <v>44885.055555554827</v>
      </c>
      <c r="B903" s="8" t="s">
        <v>1</v>
      </c>
      <c r="C903" s="8">
        <v>0</v>
      </c>
      <c r="D903" t="str">
        <f t="shared" si="58"/>
        <v>Sunday</v>
      </c>
      <c r="E903">
        <v>48</v>
      </c>
      <c r="F903" s="11">
        <f>VLOOKUP(B903,'ITEMS LIST'!$B$2:$F$19,4,FALSE)</f>
        <v>699</v>
      </c>
      <c r="G903" s="11">
        <f>VLOOKUP(B903,'ITEMS LIST'!$B$2:$F$19,5,FALSE)</f>
        <v>550</v>
      </c>
      <c r="H903" s="11">
        <f t="shared" si="56"/>
        <v>0</v>
      </c>
      <c r="I903" s="11">
        <f t="shared" si="57"/>
        <v>0</v>
      </c>
      <c r="J903" s="11">
        <f t="shared" si="59"/>
        <v>0</v>
      </c>
    </row>
    <row r="904" spans="1:10" x14ac:dyDescent="0.3">
      <c r="A904" s="7">
        <v>44885.111111110382</v>
      </c>
      <c r="B904" s="8" t="s">
        <v>2</v>
      </c>
      <c r="C904" s="8">
        <v>0</v>
      </c>
      <c r="D904" t="str">
        <f t="shared" si="58"/>
        <v>Sunday</v>
      </c>
      <c r="E904">
        <v>48</v>
      </c>
      <c r="F904" s="11">
        <f>VLOOKUP(B904,'ITEMS LIST'!$B$2:$F$19,4,FALSE)</f>
        <v>739</v>
      </c>
      <c r="G904" s="11">
        <f>VLOOKUP(B904,'ITEMS LIST'!$B$2:$F$19,5,FALSE)</f>
        <v>620</v>
      </c>
      <c r="H904" s="11">
        <f t="shared" si="56"/>
        <v>0</v>
      </c>
      <c r="I904" s="11">
        <f t="shared" si="57"/>
        <v>0</v>
      </c>
      <c r="J904" s="11">
        <f t="shared" si="59"/>
        <v>0</v>
      </c>
    </row>
    <row r="905" spans="1:10" x14ac:dyDescent="0.3">
      <c r="A905" s="7">
        <v>44885.166666665937</v>
      </c>
      <c r="B905" s="8" t="s">
        <v>3</v>
      </c>
      <c r="C905" s="8">
        <v>0</v>
      </c>
      <c r="D905" t="str">
        <f t="shared" si="58"/>
        <v>Sunday</v>
      </c>
      <c r="E905">
        <v>48</v>
      </c>
      <c r="F905" s="11">
        <f>VLOOKUP(B905,'ITEMS LIST'!$B$2:$F$19,4,FALSE)</f>
        <v>899</v>
      </c>
      <c r="G905" s="11">
        <f>VLOOKUP(B905,'ITEMS LIST'!$B$2:$F$19,5,FALSE)</f>
        <v>714</v>
      </c>
      <c r="H905" s="11">
        <f t="shared" si="56"/>
        <v>0</v>
      </c>
      <c r="I905" s="11">
        <f t="shared" si="57"/>
        <v>0</v>
      </c>
      <c r="J905" s="11">
        <f t="shared" si="59"/>
        <v>0</v>
      </c>
    </row>
    <row r="906" spans="1:10" x14ac:dyDescent="0.3">
      <c r="A906" s="7">
        <v>44885.222222221491</v>
      </c>
      <c r="B906" s="8" t="s">
        <v>4</v>
      </c>
      <c r="C906" s="8">
        <v>0</v>
      </c>
      <c r="D906" t="str">
        <f t="shared" si="58"/>
        <v>Sunday</v>
      </c>
      <c r="E906">
        <v>48</v>
      </c>
      <c r="F906" s="11">
        <f>VLOOKUP(B906,'ITEMS LIST'!$B$2:$F$19,4,FALSE)</f>
        <v>1379</v>
      </c>
      <c r="G906" s="11">
        <f>VLOOKUP(B906,'ITEMS LIST'!$B$2:$F$19,5,FALSE)</f>
        <v>890</v>
      </c>
      <c r="H906" s="11">
        <f t="shared" si="56"/>
        <v>0</v>
      </c>
      <c r="I906" s="11">
        <f t="shared" si="57"/>
        <v>0</v>
      </c>
      <c r="J906" s="11">
        <f t="shared" si="59"/>
        <v>0</v>
      </c>
    </row>
    <row r="907" spans="1:10" x14ac:dyDescent="0.3">
      <c r="A907" s="7">
        <v>44885.277777777046</v>
      </c>
      <c r="B907" s="8" t="s">
        <v>5</v>
      </c>
      <c r="C907" s="8">
        <v>0</v>
      </c>
      <c r="D907" t="str">
        <f t="shared" si="58"/>
        <v>Sunday</v>
      </c>
      <c r="E907">
        <v>48</v>
      </c>
      <c r="F907" s="11">
        <f>VLOOKUP(B907,'ITEMS LIST'!$B$2:$F$19,4,FALSE)</f>
        <v>849</v>
      </c>
      <c r="G907" s="11">
        <f>VLOOKUP(B907,'ITEMS LIST'!$B$2:$F$19,5,FALSE)</f>
        <v>530</v>
      </c>
      <c r="H907" s="11">
        <f t="shared" si="56"/>
        <v>0</v>
      </c>
      <c r="I907" s="11">
        <f t="shared" si="57"/>
        <v>0</v>
      </c>
      <c r="J907" s="11">
        <f t="shared" si="59"/>
        <v>0</v>
      </c>
    </row>
    <row r="908" spans="1:10" x14ac:dyDescent="0.3">
      <c r="A908" s="7">
        <v>44885.333333332601</v>
      </c>
      <c r="B908" s="8" t="s">
        <v>6</v>
      </c>
      <c r="C908" s="8">
        <v>0</v>
      </c>
      <c r="D908" t="str">
        <f t="shared" si="58"/>
        <v>Sunday</v>
      </c>
      <c r="E908">
        <v>48</v>
      </c>
      <c r="F908" s="11">
        <f>VLOOKUP(B908,'ITEMS LIST'!$B$2:$F$19,4,FALSE)</f>
        <v>1000</v>
      </c>
      <c r="G908" s="11">
        <f>VLOOKUP(B908,'ITEMS LIST'!$B$2:$F$19,5,FALSE)</f>
        <v>768</v>
      </c>
      <c r="H908" s="11">
        <f t="shared" si="56"/>
        <v>0</v>
      </c>
      <c r="I908" s="11">
        <f t="shared" si="57"/>
        <v>0</v>
      </c>
      <c r="J908" s="11">
        <f t="shared" si="59"/>
        <v>0</v>
      </c>
    </row>
    <row r="909" spans="1:10" x14ac:dyDescent="0.3">
      <c r="A909" s="7">
        <v>44885.388888888156</v>
      </c>
      <c r="B909" s="8" t="s">
        <v>7</v>
      </c>
      <c r="C909" s="8">
        <v>0</v>
      </c>
      <c r="D909" t="str">
        <f t="shared" si="58"/>
        <v>Sunday</v>
      </c>
      <c r="E909">
        <v>48</v>
      </c>
      <c r="F909" s="11">
        <f>VLOOKUP(B909,'ITEMS LIST'!$B$2:$F$19,4,FALSE)</f>
        <v>680</v>
      </c>
      <c r="G909" s="11">
        <f>VLOOKUP(B909,'ITEMS LIST'!$B$2:$F$19,5,FALSE)</f>
        <v>570</v>
      </c>
      <c r="H909" s="11">
        <f t="shared" si="56"/>
        <v>0</v>
      </c>
      <c r="I909" s="11">
        <f t="shared" si="57"/>
        <v>0</v>
      </c>
      <c r="J909" s="11">
        <f t="shared" si="59"/>
        <v>0</v>
      </c>
    </row>
    <row r="910" spans="1:10" x14ac:dyDescent="0.3">
      <c r="A910" s="7">
        <v>44885.44444444371</v>
      </c>
      <c r="B910" s="8" t="s">
        <v>8</v>
      </c>
      <c r="C910" s="8">
        <v>0</v>
      </c>
      <c r="D910" t="str">
        <f t="shared" si="58"/>
        <v>Sunday</v>
      </c>
      <c r="E910">
        <v>48</v>
      </c>
      <c r="F910" s="11">
        <f>VLOOKUP(B910,'ITEMS LIST'!$B$2:$F$19,4,FALSE)</f>
        <v>199</v>
      </c>
      <c r="G910" s="11">
        <f>VLOOKUP(B910,'ITEMS LIST'!$B$2:$F$19,5,FALSE)</f>
        <v>140</v>
      </c>
      <c r="H910" s="11">
        <f t="shared" si="56"/>
        <v>0</v>
      </c>
      <c r="I910" s="11">
        <f t="shared" si="57"/>
        <v>0</v>
      </c>
      <c r="J910" s="11">
        <f t="shared" si="59"/>
        <v>0</v>
      </c>
    </row>
    <row r="911" spans="1:10" x14ac:dyDescent="0.3">
      <c r="A911" s="7">
        <v>44885.499999999265</v>
      </c>
      <c r="B911" s="8" t="s">
        <v>9</v>
      </c>
      <c r="C911" s="8">
        <v>0</v>
      </c>
      <c r="D911" t="str">
        <f t="shared" si="58"/>
        <v>Sunday</v>
      </c>
      <c r="E911">
        <v>48</v>
      </c>
      <c r="F911" s="11">
        <f>VLOOKUP(B911,'ITEMS LIST'!$B$2:$F$19,4,FALSE)</f>
        <v>219</v>
      </c>
      <c r="G911" s="11">
        <f>VLOOKUP(B911,'ITEMS LIST'!$B$2:$F$19,5,FALSE)</f>
        <v>132</v>
      </c>
      <c r="H911" s="11">
        <f t="shared" si="56"/>
        <v>0</v>
      </c>
      <c r="I911" s="11">
        <f t="shared" si="57"/>
        <v>0</v>
      </c>
      <c r="J911" s="11">
        <f t="shared" si="59"/>
        <v>0</v>
      </c>
    </row>
    <row r="912" spans="1:10" x14ac:dyDescent="0.3">
      <c r="A912" s="7">
        <v>44885.55555555482</v>
      </c>
      <c r="B912" s="8" t="s">
        <v>10</v>
      </c>
      <c r="C912" s="8">
        <v>0</v>
      </c>
      <c r="D912" t="str">
        <f t="shared" si="58"/>
        <v>Sunday</v>
      </c>
      <c r="E912">
        <v>48</v>
      </c>
      <c r="F912" s="11">
        <f>VLOOKUP(B912,'ITEMS LIST'!$B$2:$F$19,4,FALSE)</f>
        <v>1469</v>
      </c>
      <c r="G912" s="11">
        <f>VLOOKUP(B912,'ITEMS LIST'!$B$2:$F$19,5,FALSE)</f>
        <v>1184</v>
      </c>
      <c r="H912" s="11">
        <f t="shared" si="56"/>
        <v>0</v>
      </c>
      <c r="I912" s="11">
        <f t="shared" si="57"/>
        <v>0</v>
      </c>
      <c r="J912" s="11">
        <f t="shared" si="59"/>
        <v>0</v>
      </c>
    </row>
    <row r="913" spans="1:10" x14ac:dyDescent="0.3">
      <c r="A913" s="7">
        <v>44885.611111110375</v>
      </c>
      <c r="B913" s="8" t="s">
        <v>11</v>
      </c>
      <c r="C913" s="8">
        <v>0</v>
      </c>
      <c r="D913" t="str">
        <f t="shared" si="58"/>
        <v>Sunday</v>
      </c>
      <c r="E913">
        <v>48</v>
      </c>
      <c r="F913" s="11">
        <f>VLOOKUP(B913,'ITEMS LIST'!$B$2:$F$19,4,FALSE)</f>
        <v>89</v>
      </c>
      <c r="G913" s="11">
        <f>VLOOKUP(B913,'ITEMS LIST'!$B$2:$F$19,5,FALSE)</f>
        <v>59</v>
      </c>
      <c r="H913" s="11">
        <f t="shared" si="56"/>
        <v>0</v>
      </c>
      <c r="I913" s="11">
        <f t="shared" si="57"/>
        <v>0</v>
      </c>
      <c r="J913" s="11">
        <f t="shared" si="59"/>
        <v>0</v>
      </c>
    </row>
    <row r="914" spans="1:10" x14ac:dyDescent="0.3">
      <c r="A914" s="7">
        <v>44885.666666665929</v>
      </c>
      <c r="B914" s="8" t="s">
        <v>12</v>
      </c>
      <c r="C914" s="8">
        <v>0</v>
      </c>
      <c r="D914" t="str">
        <f t="shared" si="58"/>
        <v>Sunday</v>
      </c>
      <c r="E914">
        <v>48</v>
      </c>
      <c r="F914" s="11">
        <f>VLOOKUP(B914,'ITEMS LIST'!$B$2:$F$19,4,FALSE)</f>
        <v>310</v>
      </c>
      <c r="G914" s="11">
        <f>VLOOKUP(B914,'ITEMS LIST'!$B$2:$F$19,5,FALSE)</f>
        <v>206</v>
      </c>
      <c r="H914" s="11">
        <f t="shared" si="56"/>
        <v>0</v>
      </c>
      <c r="I914" s="11">
        <f t="shared" si="57"/>
        <v>0</v>
      </c>
      <c r="J914" s="11">
        <f t="shared" si="59"/>
        <v>0</v>
      </c>
    </row>
    <row r="915" spans="1:10" x14ac:dyDescent="0.3">
      <c r="A915" s="7">
        <v>44885.722222221484</v>
      </c>
      <c r="B915" s="8" t="s">
        <v>13</v>
      </c>
      <c r="C915" s="8">
        <v>0</v>
      </c>
      <c r="D915" t="str">
        <f t="shared" si="58"/>
        <v>Sunday</v>
      </c>
      <c r="E915">
        <v>48</v>
      </c>
      <c r="F915" s="11">
        <f>VLOOKUP(B915,'ITEMS LIST'!$B$2:$F$19,4,FALSE)</f>
        <v>540</v>
      </c>
      <c r="G915" s="11">
        <f>VLOOKUP(B915,'ITEMS LIST'!$B$2:$F$19,5,FALSE)</f>
        <v>397</v>
      </c>
      <c r="H915" s="11">
        <f t="shared" si="56"/>
        <v>0</v>
      </c>
      <c r="I915" s="11">
        <f t="shared" si="57"/>
        <v>0</v>
      </c>
      <c r="J915" s="11">
        <f t="shared" si="59"/>
        <v>0</v>
      </c>
    </row>
    <row r="916" spans="1:10" x14ac:dyDescent="0.3">
      <c r="A916" s="7">
        <v>44885.777777777039</v>
      </c>
      <c r="B916" s="8" t="s">
        <v>14</v>
      </c>
      <c r="C916" s="8">
        <v>0</v>
      </c>
      <c r="D916" t="str">
        <f t="shared" si="58"/>
        <v>Sunday</v>
      </c>
      <c r="E916">
        <v>48</v>
      </c>
      <c r="F916" s="11">
        <f>VLOOKUP(B916,'ITEMS LIST'!$B$2:$F$19,4,FALSE)</f>
        <v>360</v>
      </c>
      <c r="G916" s="11">
        <f>VLOOKUP(B916,'ITEMS LIST'!$B$2:$F$19,5,FALSE)</f>
        <v>248</v>
      </c>
      <c r="H916" s="11">
        <f t="shared" si="56"/>
        <v>0</v>
      </c>
      <c r="I916" s="11">
        <f t="shared" si="57"/>
        <v>0</v>
      </c>
      <c r="J916" s="11">
        <f t="shared" si="59"/>
        <v>0</v>
      </c>
    </row>
    <row r="917" spans="1:10" x14ac:dyDescent="0.3">
      <c r="A917" s="7">
        <v>44885.833333332594</v>
      </c>
      <c r="B917" s="8" t="s">
        <v>15</v>
      </c>
      <c r="C917" s="8">
        <v>0</v>
      </c>
      <c r="D917" t="str">
        <f t="shared" si="58"/>
        <v>Sunday</v>
      </c>
      <c r="E917">
        <v>48</v>
      </c>
      <c r="F917" s="11">
        <f>VLOOKUP(B917,'ITEMS LIST'!$B$2:$F$19,4,FALSE)</f>
        <v>250</v>
      </c>
      <c r="G917" s="11">
        <f>VLOOKUP(B917,'ITEMS LIST'!$B$2:$F$19,5,FALSE)</f>
        <v>190</v>
      </c>
      <c r="H917" s="11">
        <f t="shared" si="56"/>
        <v>0</v>
      </c>
      <c r="I917" s="11">
        <f t="shared" si="57"/>
        <v>0</v>
      </c>
      <c r="J917" s="11">
        <f t="shared" si="59"/>
        <v>0</v>
      </c>
    </row>
    <row r="918" spans="1:10" x14ac:dyDescent="0.3">
      <c r="A918" s="7">
        <v>44885.888888888148</v>
      </c>
      <c r="B918" s="8" t="s">
        <v>16</v>
      </c>
      <c r="C918" s="8">
        <v>0</v>
      </c>
      <c r="D918" t="str">
        <f t="shared" si="58"/>
        <v>Sunday</v>
      </c>
      <c r="E918">
        <v>48</v>
      </c>
      <c r="F918" s="11">
        <f>VLOOKUP(B918,'ITEMS LIST'!$B$2:$F$19,4,FALSE)</f>
        <v>120</v>
      </c>
      <c r="G918" s="11">
        <f>VLOOKUP(B918,'ITEMS LIST'!$B$2:$F$19,5,FALSE)</f>
        <v>85</v>
      </c>
      <c r="H918" s="11">
        <f t="shared" si="56"/>
        <v>0</v>
      </c>
      <c r="I918" s="11">
        <f t="shared" si="57"/>
        <v>0</v>
      </c>
      <c r="J918" s="11">
        <f t="shared" si="59"/>
        <v>0</v>
      </c>
    </row>
    <row r="919" spans="1:10" x14ac:dyDescent="0.3">
      <c r="A919" s="7">
        <v>44885.944444443703</v>
      </c>
      <c r="B919" s="8" t="s">
        <v>17</v>
      </c>
      <c r="C919" s="8">
        <v>0</v>
      </c>
      <c r="D919" t="str">
        <f t="shared" si="58"/>
        <v>Sunday</v>
      </c>
      <c r="E919">
        <v>48</v>
      </c>
      <c r="F919" s="11">
        <f>VLOOKUP(B919,'ITEMS LIST'!$B$2:$F$19,4,FALSE)</f>
        <v>80</v>
      </c>
      <c r="G919" s="11">
        <f>VLOOKUP(B919,'ITEMS LIST'!$B$2:$F$19,5,FALSE)</f>
        <v>55</v>
      </c>
      <c r="H919" s="11">
        <f t="shared" si="56"/>
        <v>0</v>
      </c>
      <c r="I919" s="11">
        <f t="shared" si="57"/>
        <v>0</v>
      </c>
      <c r="J919" s="11">
        <f t="shared" si="59"/>
        <v>0</v>
      </c>
    </row>
    <row r="920" spans="1:10" x14ac:dyDescent="0.3">
      <c r="A920" s="7">
        <v>44885.999999999258</v>
      </c>
      <c r="B920" s="8" t="s">
        <v>0</v>
      </c>
      <c r="C920" s="8">
        <v>0</v>
      </c>
      <c r="D920" t="str">
        <f t="shared" si="58"/>
        <v>Monday</v>
      </c>
      <c r="E920">
        <v>48</v>
      </c>
      <c r="F920" s="11">
        <f>VLOOKUP(B920,'ITEMS LIST'!$B$2:$F$19,4,FALSE)</f>
        <v>549</v>
      </c>
      <c r="G920" s="11">
        <f>VLOOKUP(B920,'ITEMS LIST'!$B$2:$F$19,5,FALSE)</f>
        <v>365</v>
      </c>
      <c r="H920" s="11">
        <f t="shared" si="56"/>
        <v>0</v>
      </c>
      <c r="I920" s="11">
        <f t="shared" si="57"/>
        <v>0</v>
      </c>
      <c r="J920" s="11">
        <f t="shared" si="59"/>
        <v>0</v>
      </c>
    </row>
    <row r="921" spans="1:10" x14ac:dyDescent="0.3">
      <c r="A921" s="7">
        <v>44886.055555554813</v>
      </c>
      <c r="B921" s="8" t="s">
        <v>1</v>
      </c>
      <c r="C921" s="8">
        <v>0</v>
      </c>
      <c r="D921" t="str">
        <f t="shared" si="58"/>
        <v>Monday</v>
      </c>
      <c r="E921">
        <v>48</v>
      </c>
      <c r="F921" s="11">
        <f>VLOOKUP(B921,'ITEMS LIST'!$B$2:$F$19,4,FALSE)</f>
        <v>699</v>
      </c>
      <c r="G921" s="11">
        <f>VLOOKUP(B921,'ITEMS LIST'!$B$2:$F$19,5,FALSE)</f>
        <v>550</v>
      </c>
      <c r="H921" s="11">
        <f t="shared" si="56"/>
        <v>0</v>
      </c>
      <c r="I921" s="11">
        <f t="shared" si="57"/>
        <v>0</v>
      </c>
      <c r="J921" s="11">
        <f t="shared" si="59"/>
        <v>0</v>
      </c>
    </row>
    <row r="922" spans="1:10" x14ac:dyDescent="0.3">
      <c r="A922" s="7">
        <v>44886.111111110367</v>
      </c>
      <c r="B922" s="8" t="s">
        <v>2</v>
      </c>
      <c r="C922" s="8">
        <v>1</v>
      </c>
      <c r="D922" t="str">
        <f t="shared" si="58"/>
        <v>Monday</v>
      </c>
      <c r="E922">
        <v>48</v>
      </c>
      <c r="F922" s="11">
        <f>VLOOKUP(B922,'ITEMS LIST'!$B$2:$F$19,4,FALSE)</f>
        <v>739</v>
      </c>
      <c r="G922" s="11">
        <f>VLOOKUP(B922,'ITEMS LIST'!$B$2:$F$19,5,FALSE)</f>
        <v>620</v>
      </c>
      <c r="H922" s="11">
        <f t="shared" si="56"/>
        <v>739</v>
      </c>
      <c r="I922" s="11">
        <f t="shared" si="57"/>
        <v>620</v>
      </c>
      <c r="J922" s="11">
        <f t="shared" si="59"/>
        <v>119</v>
      </c>
    </row>
    <row r="923" spans="1:10" x14ac:dyDescent="0.3">
      <c r="A923" s="7">
        <v>44886.166666665922</v>
      </c>
      <c r="B923" s="8" t="s">
        <v>3</v>
      </c>
      <c r="C923" s="8">
        <v>1</v>
      </c>
      <c r="D923" t="str">
        <f t="shared" si="58"/>
        <v>Monday</v>
      </c>
      <c r="E923">
        <v>48</v>
      </c>
      <c r="F923" s="11">
        <f>VLOOKUP(B923,'ITEMS LIST'!$B$2:$F$19,4,FALSE)</f>
        <v>899</v>
      </c>
      <c r="G923" s="11">
        <f>VLOOKUP(B923,'ITEMS LIST'!$B$2:$F$19,5,FALSE)</f>
        <v>714</v>
      </c>
      <c r="H923" s="11">
        <f t="shared" si="56"/>
        <v>899</v>
      </c>
      <c r="I923" s="11">
        <f t="shared" si="57"/>
        <v>714</v>
      </c>
      <c r="J923" s="11">
        <f t="shared" si="59"/>
        <v>185</v>
      </c>
    </row>
    <row r="924" spans="1:10" x14ac:dyDescent="0.3">
      <c r="A924" s="7">
        <v>44886.222222221477</v>
      </c>
      <c r="B924" s="8" t="s">
        <v>4</v>
      </c>
      <c r="C924" s="8">
        <v>0</v>
      </c>
      <c r="D924" t="str">
        <f t="shared" si="58"/>
        <v>Monday</v>
      </c>
      <c r="E924">
        <v>48</v>
      </c>
      <c r="F924" s="11">
        <f>VLOOKUP(B924,'ITEMS LIST'!$B$2:$F$19,4,FALSE)</f>
        <v>1379</v>
      </c>
      <c r="G924" s="11">
        <f>VLOOKUP(B924,'ITEMS LIST'!$B$2:$F$19,5,FALSE)</f>
        <v>890</v>
      </c>
      <c r="H924" s="11">
        <f t="shared" si="56"/>
        <v>0</v>
      </c>
      <c r="I924" s="11">
        <f t="shared" si="57"/>
        <v>0</v>
      </c>
      <c r="J924" s="11">
        <f t="shared" si="59"/>
        <v>0</v>
      </c>
    </row>
    <row r="925" spans="1:10" x14ac:dyDescent="0.3">
      <c r="A925" s="7">
        <v>44886.277777777032</v>
      </c>
      <c r="B925" s="8" t="s">
        <v>5</v>
      </c>
      <c r="C925" s="8">
        <v>0</v>
      </c>
      <c r="D925" t="str">
        <f t="shared" si="58"/>
        <v>Monday</v>
      </c>
      <c r="E925">
        <v>48</v>
      </c>
      <c r="F925" s="11">
        <f>VLOOKUP(B925,'ITEMS LIST'!$B$2:$F$19,4,FALSE)</f>
        <v>849</v>
      </c>
      <c r="G925" s="11">
        <f>VLOOKUP(B925,'ITEMS LIST'!$B$2:$F$19,5,FALSE)</f>
        <v>530</v>
      </c>
      <c r="H925" s="11">
        <f t="shared" si="56"/>
        <v>0</v>
      </c>
      <c r="I925" s="11">
        <f t="shared" si="57"/>
        <v>0</v>
      </c>
      <c r="J925" s="11">
        <f t="shared" si="59"/>
        <v>0</v>
      </c>
    </row>
    <row r="926" spans="1:10" x14ac:dyDescent="0.3">
      <c r="A926" s="7">
        <v>44886.333333332586</v>
      </c>
      <c r="B926" s="8" t="s">
        <v>6</v>
      </c>
      <c r="C926" s="8">
        <v>0</v>
      </c>
      <c r="D926" t="str">
        <f t="shared" si="58"/>
        <v>Monday</v>
      </c>
      <c r="E926">
        <v>48</v>
      </c>
      <c r="F926" s="11">
        <f>VLOOKUP(B926,'ITEMS LIST'!$B$2:$F$19,4,FALSE)</f>
        <v>1000</v>
      </c>
      <c r="G926" s="11">
        <f>VLOOKUP(B926,'ITEMS LIST'!$B$2:$F$19,5,FALSE)</f>
        <v>768</v>
      </c>
      <c r="H926" s="11">
        <f t="shared" si="56"/>
        <v>0</v>
      </c>
      <c r="I926" s="11">
        <f t="shared" si="57"/>
        <v>0</v>
      </c>
      <c r="J926" s="11">
        <f t="shared" si="59"/>
        <v>0</v>
      </c>
    </row>
    <row r="927" spans="1:10" x14ac:dyDescent="0.3">
      <c r="A927" s="7">
        <v>44886.388888888141</v>
      </c>
      <c r="B927" s="8" t="s">
        <v>7</v>
      </c>
      <c r="C927" s="8">
        <v>0</v>
      </c>
      <c r="D927" t="str">
        <f t="shared" si="58"/>
        <v>Monday</v>
      </c>
      <c r="E927">
        <v>48</v>
      </c>
      <c r="F927" s="11">
        <f>VLOOKUP(B927,'ITEMS LIST'!$B$2:$F$19,4,FALSE)</f>
        <v>680</v>
      </c>
      <c r="G927" s="11">
        <f>VLOOKUP(B927,'ITEMS LIST'!$B$2:$F$19,5,FALSE)</f>
        <v>570</v>
      </c>
      <c r="H927" s="11">
        <f t="shared" si="56"/>
        <v>0</v>
      </c>
      <c r="I927" s="11">
        <f t="shared" si="57"/>
        <v>0</v>
      </c>
      <c r="J927" s="11">
        <f t="shared" si="59"/>
        <v>0</v>
      </c>
    </row>
    <row r="928" spans="1:10" x14ac:dyDescent="0.3">
      <c r="A928" s="7">
        <v>44886.444444443696</v>
      </c>
      <c r="B928" s="8" t="s">
        <v>8</v>
      </c>
      <c r="C928" s="8">
        <v>0</v>
      </c>
      <c r="D928" t="str">
        <f t="shared" si="58"/>
        <v>Monday</v>
      </c>
      <c r="E928">
        <v>48</v>
      </c>
      <c r="F928" s="11">
        <f>VLOOKUP(B928,'ITEMS LIST'!$B$2:$F$19,4,FALSE)</f>
        <v>199</v>
      </c>
      <c r="G928" s="11">
        <f>VLOOKUP(B928,'ITEMS LIST'!$B$2:$F$19,5,FALSE)</f>
        <v>140</v>
      </c>
      <c r="H928" s="11">
        <f t="shared" si="56"/>
        <v>0</v>
      </c>
      <c r="I928" s="11">
        <f t="shared" si="57"/>
        <v>0</v>
      </c>
      <c r="J928" s="11">
        <f t="shared" si="59"/>
        <v>0</v>
      </c>
    </row>
    <row r="929" spans="1:10" x14ac:dyDescent="0.3">
      <c r="A929" s="7">
        <v>44886.499999999251</v>
      </c>
      <c r="B929" s="8" t="s">
        <v>9</v>
      </c>
      <c r="C929" s="8">
        <v>0</v>
      </c>
      <c r="D929" t="str">
        <f t="shared" si="58"/>
        <v>Monday</v>
      </c>
      <c r="E929">
        <v>48</v>
      </c>
      <c r="F929" s="11">
        <f>VLOOKUP(B929,'ITEMS LIST'!$B$2:$F$19,4,FALSE)</f>
        <v>219</v>
      </c>
      <c r="G929" s="11">
        <f>VLOOKUP(B929,'ITEMS LIST'!$B$2:$F$19,5,FALSE)</f>
        <v>132</v>
      </c>
      <c r="H929" s="11">
        <f t="shared" si="56"/>
        <v>0</v>
      </c>
      <c r="I929" s="11">
        <f t="shared" si="57"/>
        <v>0</v>
      </c>
      <c r="J929" s="11">
        <f t="shared" si="59"/>
        <v>0</v>
      </c>
    </row>
    <row r="930" spans="1:10" x14ac:dyDescent="0.3">
      <c r="A930" s="7">
        <v>44886.555555554805</v>
      </c>
      <c r="B930" s="8" t="s">
        <v>10</v>
      </c>
      <c r="C930" s="8">
        <v>0</v>
      </c>
      <c r="D930" t="str">
        <f t="shared" si="58"/>
        <v>Monday</v>
      </c>
      <c r="E930">
        <v>48</v>
      </c>
      <c r="F930" s="11">
        <f>VLOOKUP(B930,'ITEMS LIST'!$B$2:$F$19,4,FALSE)</f>
        <v>1469</v>
      </c>
      <c r="G930" s="11">
        <f>VLOOKUP(B930,'ITEMS LIST'!$B$2:$F$19,5,FALSE)</f>
        <v>1184</v>
      </c>
      <c r="H930" s="11">
        <f t="shared" si="56"/>
        <v>0</v>
      </c>
      <c r="I930" s="11">
        <f t="shared" si="57"/>
        <v>0</v>
      </c>
      <c r="J930" s="11">
        <f t="shared" si="59"/>
        <v>0</v>
      </c>
    </row>
    <row r="931" spans="1:10" x14ac:dyDescent="0.3">
      <c r="A931" s="7">
        <v>44886.61111111036</v>
      </c>
      <c r="B931" s="8" t="s">
        <v>11</v>
      </c>
      <c r="C931" s="8">
        <v>0</v>
      </c>
      <c r="D931" t="str">
        <f t="shared" si="58"/>
        <v>Monday</v>
      </c>
      <c r="E931">
        <v>48</v>
      </c>
      <c r="F931" s="11">
        <f>VLOOKUP(B931,'ITEMS LIST'!$B$2:$F$19,4,FALSE)</f>
        <v>89</v>
      </c>
      <c r="G931" s="11">
        <f>VLOOKUP(B931,'ITEMS LIST'!$B$2:$F$19,5,FALSE)</f>
        <v>59</v>
      </c>
      <c r="H931" s="11">
        <f t="shared" si="56"/>
        <v>0</v>
      </c>
      <c r="I931" s="11">
        <f t="shared" si="57"/>
        <v>0</v>
      </c>
      <c r="J931" s="11">
        <f t="shared" si="59"/>
        <v>0</v>
      </c>
    </row>
    <row r="932" spans="1:10" x14ac:dyDescent="0.3">
      <c r="A932" s="7">
        <v>44886.666666665915</v>
      </c>
      <c r="B932" s="8" t="s">
        <v>12</v>
      </c>
      <c r="C932" s="8">
        <v>0</v>
      </c>
      <c r="D932" t="str">
        <f t="shared" si="58"/>
        <v>Monday</v>
      </c>
      <c r="E932">
        <v>48</v>
      </c>
      <c r="F932" s="11">
        <f>VLOOKUP(B932,'ITEMS LIST'!$B$2:$F$19,4,FALSE)</f>
        <v>310</v>
      </c>
      <c r="G932" s="11">
        <f>VLOOKUP(B932,'ITEMS LIST'!$B$2:$F$19,5,FALSE)</f>
        <v>206</v>
      </c>
      <c r="H932" s="11">
        <f t="shared" si="56"/>
        <v>0</v>
      </c>
      <c r="I932" s="11">
        <f t="shared" si="57"/>
        <v>0</v>
      </c>
      <c r="J932" s="11">
        <f t="shared" si="59"/>
        <v>0</v>
      </c>
    </row>
    <row r="933" spans="1:10" x14ac:dyDescent="0.3">
      <c r="A933" s="7">
        <v>44886.72222222147</v>
      </c>
      <c r="B933" s="8" t="s">
        <v>13</v>
      </c>
      <c r="C933" s="8">
        <v>0</v>
      </c>
      <c r="D933" t="str">
        <f t="shared" si="58"/>
        <v>Monday</v>
      </c>
      <c r="E933">
        <v>48</v>
      </c>
      <c r="F933" s="11">
        <f>VLOOKUP(B933,'ITEMS LIST'!$B$2:$F$19,4,FALSE)</f>
        <v>540</v>
      </c>
      <c r="G933" s="11">
        <f>VLOOKUP(B933,'ITEMS LIST'!$B$2:$F$19,5,FALSE)</f>
        <v>397</v>
      </c>
      <c r="H933" s="11">
        <f t="shared" si="56"/>
        <v>0</v>
      </c>
      <c r="I933" s="11">
        <f t="shared" si="57"/>
        <v>0</v>
      </c>
      <c r="J933" s="11">
        <f t="shared" si="59"/>
        <v>0</v>
      </c>
    </row>
    <row r="934" spans="1:10" x14ac:dyDescent="0.3">
      <c r="A934" s="7">
        <v>44886.777777777024</v>
      </c>
      <c r="B934" s="8" t="s">
        <v>14</v>
      </c>
      <c r="C934" s="8">
        <v>0</v>
      </c>
      <c r="D934" t="str">
        <f t="shared" si="58"/>
        <v>Monday</v>
      </c>
      <c r="E934">
        <v>48</v>
      </c>
      <c r="F934" s="11">
        <f>VLOOKUP(B934,'ITEMS LIST'!$B$2:$F$19,4,FALSE)</f>
        <v>360</v>
      </c>
      <c r="G934" s="11">
        <f>VLOOKUP(B934,'ITEMS LIST'!$B$2:$F$19,5,FALSE)</f>
        <v>248</v>
      </c>
      <c r="H934" s="11">
        <f t="shared" si="56"/>
        <v>0</v>
      </c>
      <c r="I934" s="11">
        <f t="shared" si="57"/>
        <v>0</v>
      </c>
      <c r="J934" s="11">
        <f t="shared" si="59"/>
        <v>0</v>
      </c>
    </row>
    <row r="935" spans="1:10" x14ac:dyDescent="0.3">
      <c r="A935" s="7">
        <v>44886.833333332579</v>
      </c>
      <c r="B935" s="8" t="s">
        <v>15</v>
      </c>
      <c r="C935" s="8">
        <v>0</v>
      </c>
      <c r="D935" t="str">
        <f t="shared" si="58"/>
        <v>Monday</v>
      </c>
      <c r="E935">
        <v>48</v>
      </c>
      <c r="F935" s="11">
        <f>VLOOKUP(B935,'ITEMS LIST'!$B$2:$F$19,4,FALSE)</f>
        <v>250</v>
      </c>
      <c r="G935" s="11">
        <f>VLOOKUP(B935,'ITEMS LIST'!$B$2:$F$19,5,FALSE)</f>
        <v>190</v>
      </c>
      <c r="H935" s="11">
        <f t="shared" si="56"/>
        <v>0</v>
      </c>
      <c r="I935" s="11">
        <f t="shared" si="57"/>
        <v>0</v>
      </c>
      <c r="J935" s="11">
        <f t="shared" si="59"/>
        <v>0</v>
      </c>
    </row>
    <row r="936" spans="1:10" x14ac:dyDescent="0.3">
      <c r="A936" s="7">
        <v>44886.888888888134</v>
      </c>
      <c r="B936" s="8" t="s">
        <v>16</v>
      </c>
      <c r="C936" s="8">
        <v>0</v>
      </c>
      <c r="D936" t="str">
        <f t="shared" si="58"/>
        <v>Monday</v>
      </c>
      <c r="E936">
        <v>48</v>
      </c>
      <c r="F936" s="11">
        <f>VLOOKUP(B936,'ITEMS LIST'!$B$2:$F$19,4,FALSE)</f>
        <v>120</v>
      </c>
      <c r="G936" s="11">
        <f>VLOOKUP(B936,'ITEMS LIST'!$B$2:$F$19,5,FALSE)</f>
        <v>85</v>
      </c>
      <c r="H936" s="11">
        <f t="shared" si="56"/>
        <v>0</v>
      </c>
      <c r="I936" s="11">
        <f t="shared" si="57"/>
        <v>0</v>
      </c>
      <c r="J936" s="11">
        <f t="shared" si="59"/>
        <v>0</v>
      </c>
    </row>
    <row r="937" spans="1:10" x14ac:dyDescent="0.3">
      <c r="A937" s="7">
        <v>44886.944444443689</v>
      </c>
      <c r="B937" s="8" t="s">
        <v>17</v>
      </c>
      <c r="C937" s="8">
        <v>0</v>
      </c>
      <c r="D937" t="str">
        <f t="shared" si="58"/>
        <v>Monday</v>
      </c>
      <c r="E937">
        <v>48</v>
      </c>
      <c r="F937" s="11">
        <f>VLOOKUP(B937,'ITEMS LIST'!$B$2:$F$19,4,FALSE)</f>
        <v>80</v>
      </c>
      <c r="G937" s="11">
        <f>VLOOKUP(B937,'ITEMS LIST'!$B$2:$F$19,5,FALSE)</f>
        <v>55</v>
      </c>
      <c r="H937" s="11">
        <f t="shared" si="56"/>
        <v>0</v>
      </c>
      <c r="I937" s="11">
        <f t="shared" si="57"/>
        <v>0</v>
      </c>
      <c r="J937" s="11">
        <f t="shared" si="59"/>
        <v>0</v>
      </c>
    </row>
    <row r="938" spans="1:10" x14ac:dyDescent="0.3">
      <c r="A938" s="7">
        <v>44886.999999999243</v>
      </c>
      <c r="B938" s="8" t="s">
        <v>0</v>
      </c>
      <c r="C938" s="8">
        <v>0</v>
      </c>
      <c r="D938" t="str">
        <f t="shared" si="58"/>
        <v>Tuesday</v>
      </c>
      <c r="E938">
        <v>48</v>
      </c>
      <c r="F938" s="11">
        <f>VLOOKUP(B938,'ITEMS LIST'!$B$2:$F$19,4,FALSE)</f>
        <v>549</v>
      </c>
      <c r="G938" s="11">
        <f>VLOOKUP(B938,'ITEMS LIST'!$B$2:$F$19,5,FALSE)</f>
        <v>365</v>
      </c>
      <c r="H938" s="11">
        <f t="shared" si="56"/>
        <v>0</v>
      </c>
      <c r="I938" s="11">
        <f t="shared" si="57"/>
        <v>0</v>
      </c>
      <c r="J938" s="11">
        <f t="shared" si="59"/>
        <v>0</v>
      </c>
    </row>
    <row r="939" spans="1:10" x14ac:dyDescent="0.3">
      <c r="A939" s="7">
        <v>44887.055555554798</v>
      </c>
      <c r="B939" s="8" t="s">
        <v>1</v>
      </c>
      <c r="C939" s="8">
        <v>0</v>
      </c>
      <c r="D939" t="str">
        <f t="shared" si="58"/>
        <v>Tuesday</v>
      </c>
      <c r="E939">
        <v>48</v>
      </c>
      <c r="F939" s="11">
        <f>VLOOKUP(B939,'ITEMS LIST'!$B$2:$F$19,4,FALSE)</f>
        <v>699</v>
      </c>
      <c r="G939" s="11">
        <f>VLOOKUP(B939,'ITEMS LIST'!$B$2:$F$19,5,FALSE)</f>
        <v>550</v>
      </c>
      <c r="H939" s="11">
        <f t="shared" si="56"/>
        <v>0</v>
      </c>
      <c r="I939" s="11">
        <f t="shared" si="57"/>
        <v>0</v>
      </c>
      <c r="J939" s="11">
        <f t="shared" si="59"/>
        <v>0</v>
      </c>
    </row>
    <row r="940" spans="1:10" x14ac:dyDescent="0.3">
      <c r="A940" s="7">
        <v>44887.111111110353</v>
      </c>
      <c r="B940" s="8" t="s">
        <v>2</v>
      </c>
      <c r="C940" s="8">
        <v>0</v>
      </c>
      <c r="D940" t="str">
        <f t="shared" si="58"/>
        <v>Tuesday</v>
      </c>
      <c r="E940">
        <v>48</v>
      </c>
      <c r="F940" s="11">
        <f>VLOOKUP(B940,'ITEMS LIST'!$B$2:$F$19,4,FALSE)</f>
        <v>739</v>
      </c>
      <c r="G940" s="11">
        <f>VLOOKUP(B940,'ITEMS LIST'!$B$2:$F$19,5,FALSE)</f>
        <v>620</v>
      </c>
      <c r="H940" s="11">
        <f t="shared" si="56"/>
        <v>0</v>
      </c>
      <c r="I940" s="11">
        <f t="shared" si="57"/>
        <v>0</v>
      </c>
      <c r="J940" s="11">
        <f t="shared" si="59"/>
        <v>0</v>
      </c>
    </row>
    <row r="941" spans="1:10" x14ac:dyDescent="0.3">
      <c r="A941" s="7">
        <v>44887.166666665908</v>
      </c>
      <c r="B941" s="8" t="s">
        <v>3</v>
      </c>
      <c r="C941" s="8">
        <v>0</v>
      </c>
      <c r="D941" t="str">
        <f t="shared" si="58"/>
        <v>Tuesday</v>
      </c>
      <c r="E941">
        <v>48</v>
      </c>
      <c r="F941" s="11">
        <f>VLOOKUP(B941,'ITEMS LIST'!$B$2:$F$19,4,FALSE)</f>
        <v>899</v>
      </c>
      <c r="G941" s="11">
        <f>VLOOKUP(B941,'ITEMS LIST'!$B$2:$F$19,5,FALSE)</f>
        <v>714</v>
      </c>
      <c r="H941" s="11">
        <f t="shared" si="56"/>
        <v>0</v>
      </c>
      <c r="I941" s="11">
        <f t="shared" si="57"/>
        <v>0</v>
      </c>
      <c r="J941" s="11">
        <f t="shared" si="59"/>
        <v>0</v>
      </c>
    </row>
    <row r="942" spans="1:10" x14ac:dyDescent="0.3">
      <c r="A942" s="7">
        <v>44887.222222221462</v>
      </c>
      <c r="B942" s="8" t="s">
        <v>4</v>
      </c>
      <c r="C942" s="8">
        <v>0</v>
      </c>
      <c r="D942" t="str">
        <f t="shared" si="58"/>
        <v>Tuesday</v>
      </c>
      <c r="E942">
        <v>48</v>
      </c>
      <c r="F942" s="11">
        <f>VLOOKUP(B942,'ITEMS LIST'!$B$2:$F$19,4,FALSE)</f>
        <v>1379</v>
      </c>
      <c r="G942" s="11">
        <f>VLOOKUP(B942,'ITEMS LIST'!$B$2:$F$19,5,FALSE)</f>
        <v>890</v>
      </c>
      <c r="H942" s="11">
        <f t="shared" si="56"/>
        <v>0</v>
      </c>
      <c r="I942" s="11">
        <f t="shared" si="57"/>
        <v>0</v>
      </c>
      <c r="J942" s="11">
        <f t="shared" si="59"/>
        <v>0</v>
      </c>
    </row>
    <row r="943" spans="1:10" x14ac:dyDescent="0.3">
      <c r="A943" s="7">
        <v>44887.277777777017</v>
      </c>
      <c r="B943" s="8" t="s">
        <v>5</v>
      </c>
      <c r="C943" s="8">
        <v>0</v>
      </c>
      <c r="D943" t="str">
        <f t="shared" si="58"/>
        <v>Tuesday</v>
      </c>
      <c r="E943">
        <v>48</v>
      </c>
      <c r="F943" s="11">
        <f>VLOOKUP(B943,'ITEMS LIST'!$B$2:$F$19,4,FALSE)</f>
        <v>849</v>
      </c>
      <c r="G943" s="11">
        <f>VLOOKUP(B943,'ITEMS LIST'!$B$2:$F$19,5,FALSE)</f>
        <v>530</v>
      </c>
      <c r="H943" s="11">
        <f t="shared" si="56"/>
        <v>0</v>
      </c>
      <c r="I943" s="11">
        <f t="shared" si="57"/>
        <v>0</v>
      </c>
      <c r="J943" s="11">
        <f t="shared" si="59"/>
        <v>0</v>
      </c>
    </row>
    <row r="944" spans="1:10" x14ac:dyDescent="0.3">
      <c r="A944" s="7">
        <v>44887.333333332572</v>
      </c>
      <c r="B944" s="8" t="s">
        <v>6</v>
      </c>
      <c r="C944" s="8">
        <v>0</v>
      </c>
      <c r="D944" t="str">
        <f t="shared" si="58"/>
        <v>Tuesday</v>
      </c>
      <c r="E944">
        <v>48</v>
      </c>
      <c r="F944" s="11">
        <f>VLOOKUP(B944,'ITEMS LIST'!$B$2:$F$19,4,FALSE)</f>
        <v>1000</v>
      </c>
      <c r="G944" s="11">
        <f>VLOOKUP(B944,'ITEMS LIST'!$B$2:$F$19,5,FALSE)</f>
        <v>768</v>
      </c>
      <c r="H944" s="11">
        <f t="shared" si="56"/>
        <v>0</v>
      </c>
      <c r="I944" s="11">
        <f t="shared" si="57"/>
        <v>0</v>
      </c>
      <c r="J944" s="11">
        <f t="shared" si="59"/>
        <v>0</v>
      </c>
    </row>
    <row r="945" spans="1:10" x14ac:dyDescent="0.3">
      <c r="A945" s="7">
        <v>44887.388888888127</v>
      </c>
      <c r="B945" s="8" t="s">
        <v>7</v>
      </c>
      <c r="C945" s="8">
        <v>0</v>
      </c>
      <c r="D945" t="str">
        <f t="shared" si="58"/>
        <v>Tuesday</v>
      </c>
      <c r="E945">
        <v>48</v>
      </c>
      <c r="F945" s="11">
        <f>VLOOKUP(B945,'ITEMS LIST'!$B$2:$F$19,4,FALSE)</f>
        <v>680</v>
      </c>
      <c r="G945" s="11">
        <f>VLOOKUP(B945,'ITEMS LIST'!$B$2:$F$19,5,FALSE)</f>
        <v>570</v>
      </c>
      <c r="H945" s="11">
        <f t="shared" si="56"/>
        <v>0</v>
      </c>
      <c r="I945" s="11">
        <f t="shared" si="57"/>
        <v>0</v>
      </c>
      <c r="J945" s="11">
        <f t="shared" si="59"/>
        <v>0</v>
      </c>
    </row>
    <row r="946" spans="1:10" x14ac:dyDescent="0.3">
      <c r="A946" s="7">
        <v>44887.444444443681</v>
      </c>
      <c r="B946" s="8" t="s">
        <v>8</v>
      </c>
      <c r="C946" s="8">
        <v>0</v>
      </c>
      <c r="D946" t="str">
        <f t="shared" si="58"/>
        <v>Tuesday</v>
      </c>
      <c r="E946">
        <v>48</v>
      </c>
      <c r="F946" s="11">
        <f>VLOOKUP(B946,'ITEMS LIST'!$B$2:$F$19,4,FALSE)</f>
        <v>199</v>
      </c>
      <c r="G946" s="11">
        <f>VLOOKUP(B946,'ITEMS LIST'!$B$2:$F$19,5,FALSE)</f>
        <v>140</v>
      </c>
      <c r="H946" s="11">
        <f t="shared" si="56"/>
        <v>0</v>
      </c>
      <c r="I946" s="11">
        <f t="shared" si="57"/>
        <v>0</v>
      </c>
      <c r="J946" s="11">
        <f t="shared" si="59"/>
        <v>0</v>
      </c>
    </row>
    <row r="947" spans="1:10" x14ac:dyDescent="0.3">
      <c r="A947" s="7">
        <v>44887.499999999236</v>
      </c>
      <c r="B947" s="8" t="s">
        <v>9</v>
      </c>
      <c r="C947" s="8">
        <v>0</v>
      </c>
      <c r="D947" t="str">
        <f t="shared" si="58"/>
        <v>Tuesday</v>
      </c>
      <c r="E947">
        <v>48</v>
      </c>
      <c r="F947" s="11">
        <f>VLOOKUP(B947,'ITEMS LIST'!$B$2:$F$19,4,FALSE)</f>
        <v>219</v>
      </c>
      <c r="G947" s="11">
        <f>VLOOKUP(B947,'ITEMS LIST'!$B$2:$F$19,5,FALSE)</f>
        <v>132</v>
      </c>
      <c r="H947" s="11">
        <f t="shared" si="56"/>
        <v>0</v>
      </c>
      <c r="I947" s="11">
        <f t="shared" si="57"/>
        <v>0</v>
      </c>
      <c r="J947" s="11">
        <f t="shared" si="59"/>
        <v>0</v>
      </c>
    </row>
    <row r="948" spans="1:10" x14ac:dyDescent="0.3">
      <c r="A948" s="7">
        <v>44887.555555554791</v>
      </c>
      <c r="B948" s="8" t="s">
        <v>10</v>
      </c>
      <c r="C948" s="8">
        <v>1</v>
      </c>
      <c r="D948" t="str">
        <f t="shared" si="58"/>
        <v>Tuesday</v>
      </c>
      <c r="E948">
        <v>48</v>
      </c>
      <c r="F948" s="11">
        <f>VLOOKUP(B948,'ITEMS LIST'!$B$2:$F$19,4,FALSE)</f>
        <v>1469</v>
      </c>
      <c r="G948" s="11">
        <f>VLOOKUP(B948,'ITEMS LIST'!$B$2:$F$19,5,FALSE)</f>
        <v>1184</v>
      </c>
      <c r="H948" s="11">
        <f t="shared" si="56"/>
        <v>1469</v>
      </c>
      <c r="I948" s="11">
        <f t="shared" si="57"/>
        <v>1184</v>
      </c>
      <c r="J948" s="11">
        <f t="shared" si="59"/>
        <v>285</v>
      </c>
    </row>
    <row r="949" spans="1:10" x14ac:dyDescent="0.3">
      <c r="A949" s="7">
        <v>44887.611111110346</v>
      </c>
      <c r="B949" s="8" t="s">
        <v>11</v>
      </c>
      <c r="C949" s="8">
        <v>0</v>
      </c>
      <c r="D949" t="str">
        <f t="shared" si="58"/>
        <v>Tuesday</v>
      </c>
      <c r="E949">
        <v>48</v>
      </c>
      <c r="F949" s="11">
        <f>VLOOKUP(B949,'ITEMS LIST'!$B$2:$F$19,4,FALSE)</f>
        <v>89</v>
      </c>
      <c r="G949" s="11">
        <f>VLOOKUP(B949,'ITEMS LIST'!$B$2:$F$19,5,FALSE)</f>
        <v>59</v>
      </c>
      <c r="H949" s="11">
        <f t="shared" si="56"/>
        <v>0</v>
      </c>
      <c r="I949" s="11">
        <f t="shared" si="57"/>
        <v>0</v>
      </c>
      <c r="J949" s="11">
        <f t="shared" si="59"/>
        <v>0</v>
      </c>
    </row>
    <row r="950" spans="1:10" x14ac:dyDescent="0.3">
      <c r="A950" s="7">
        <v>44887.6666666659</v>
      </c>
      <c r="B950" s="8" t="s">
        <v>12</v>
      </c>
      <c r="C950" s="8">
        <v>0</v>
      </c>
      <c r="D950" t="str">
        <f t="shared" si="58"/>
        <v>Tuesday</v>
      </c>
      <c r="E950">
        <v>48</v>
      </c>
      <c r="F950" s="11">
        <f>VLOOKUP(B950,'ITEMS LIST'!$B$2:$F$19,4,FALSE)</f>
        <v>310</v>
      </c>
      <c r="G950" s="11">
        <f>VLOOKUP(B950,'ITEMS LIST'!$B$2:$F$19,5,FALSE)</f>
        <v>206</v>
      </c>
      <c r="H950" s="11">
        <f t="shared" si="56"/>
        <v>0</v>
      </c>
      <c r="I950" s="11">
        <f t="shared" si="57"/>
        <v>0</v>
      </c>
      <c r="J950" s="11">
        <f t="shared" si="59"/>
        <v>0</v>
      </c>
    </row>
    <row r="951" spans="1:10" x14ac:dyDescent="0.3">
      <c r="A951" s="7">
        <v>44887.722222221455</v>
      </c>
      <c r="B951" s="8" t="s">
        <v>13</v>
      </c>
      <c r="C951" s="8">
        <v>0</v>
      </c>
      <c r="D951" t="str">
        <f t="shared" si="58"/>
        <v>Tuesday</v>
      </c>
      <c r="E951">
        <v>48</v>
      </c>
      <c r="F951" s="11">
        <f>VLOOKUP(B951,'ITEMS LIST'!$B$2:$F$19,4,FALSE)</f>
        <v>540</v>
      </c>
      <c r="G951" s="11">
        <f>VLOOKUP(B951,'ITEMS LIST'!$B$2:$F$19,5,FALSE)</f>
        <v>397</v>
      </c>
      <c r="H951" s="11">
        <f t="shared" si="56"/>
        <v>0</v>
      </c>
      <c r="I951" s="11">
        <f t="shared" si="57"/>
        <v>0</v>
      </c>
      <c r="J951" s="11">
        <f t="shared" si="59"/>
        <v>0</v>
      </c>
    </row>
    <row r="952" spans="1:10" x14ac:dyDescent="0.3">
      <c r="A952" s="7">
        <v>44887.77777777701</v>
      </c>
      <c r="B952" s="8" t="s">
        <v>14</v>
      </c>
      <c r="C952" s="8">
        <v>0</v>
      </c>
      <c r="D952" t="str">
        <f t="shared" si="58"/>
        <v>Tuesday</v>
      </c>
      <c r="E952">
        <v>48</v>
      </c>
      <c r="F952" s="11">
        <f>VLOOKUP(B952,'ITEMS LIST'!$B$2:$F$19,4,FALSE)</f>
        <v>360</v>
      </c>
      <c r="G952" s="11">
        <f>VLOOKUP(B952,'ITEMS LIST'!$B$2:$F$19,5,FALSE)</f>
        <v>248</v>
      </c>
      <c r="H952" s="11">
        <f t="shared" si="56"/>
        <v>0</v>
      </c>
      <c r="I952" s="11">
        <f t="shared" si="57"/>
        <v>0</v>
      </c>
      <c r="J952" s="11">
        <f t="shared" si="59"/>
        <v>0</v>
      </c>
    </row>
    <row r="953" spans="1:10" x14ac:dyDescent="0.3">
      <c r="A953" s="7">
        <v>44887.833333332565</v>
      </c>
      <c r="B953" s="8" t="s">
        <v>15</v>
      </c>
      <c r="C953" s="8">
        <v>0</v>
      </c>
      <c r="D953" t="str">
        <f t="shared" si="58"/>
        <v>Tuesday</v>
      </c>
      <c r="E953">
        <v>48</v>
      </c>
      <c r="F953" s="11">
        <f>VLOOKUP(B953,'ITEMS LIST'!$B$2:$F$19,4,FALSE)</f>
        <v>250</v>
      </c>
      <c r="G953" s="11">
        <f>VLOOKUP(B953,'ITEMS LIST'!$B$2:$F$19,5,FALSE)</f>
        <v>190</v>
      </c>
      <c r="H953" s="11">
        <f t="shared" si="56"/>
        <v>0</v>
      </c>
      <c r="I953" s="11">
        <f t="shared" si="57"/>
        <v>0</v>
      </c>
      <c r="J953" s="11">
        <f t="shared" si="59"/>
        <v>0</v>
      </c>
    </row>
    <row r="954" spans="1:10" x14ac:dyDescent="0.3">
      <c r="A954" s="7">
        <v>44887.888888888119</v>
      </c>
      <c r="B954" s="8" t="s">
        <v>16</v>
      </c>
      <c r="C954" s="8">
        <v>0</v>
      </c>
      <c r="D954" t="str">
        <f t="shared" si="58"/>
        <v>Tuesday</v>
      </c>
      <c r="E954">
        <v>48</v>
      </c>
      <c r="F954" s="11">
        <f>VLOOKUP(B954,'ITEMS LIST'!$B$2:$F$19,4,FALSE)</f>
        <v>120</v>
      </c>
      <c r="G954" s="11">
        <f>VLOOKUP(B954,'ITEMS LIST'!$B$2:$F$19,5,FALSE)</f>
        <v>85</v>
      </c>
      <c r="H954" s="11">
        <f t="shared" si="56"/>
        <v>0</v>
      </c>
      <c r="I954" s="11">
        <f t="shared" si="57"/>
        <v>0</v>
      </c>
      <c r="J954" s="11">
        <f t="shared" si="59"/>
        <v>0</v>
      </c>
    </row>
    <row r="955" spans="1:10" x14ac:dyDescent="0.3">
      <c r="A955" s="7">
        <v>44887.944444443674</v>
      </c>
      <c r="B955" s="8" t="s">
        <v>17</v>
      </c>
      <c r="C955" s="8">
        <v>0</v>
      </c>
      <c r="D955" t="str">
        <f t="shared" si="58"/>
        <v>Tuesday</v>
      </c>
      <c r="E955">
        <v>48</v>
      </c>
      <c r="F955" s="11">
        <f>VLOOKUP(B955,'ITEMS LIST'!$B$2:$F$19,4,FALSE)</f>
        <v>80</v>
      </c>
      <c r="G955" s="11">
        <f>VLOOKUP(B955,'ITEMS LIST'!$B$2:$F$19,5,FALSE)</f>
        <v>55</v>
      </c>
      <c r="H955" s="11">
        <f t="shared" si="56"/>
        <v>0</v>
      </c>
      <c r="I955" s="11">
        <f t="shared" si="57"/>
        <v>0</v>
      </c>
      <c r="J955" s="11">
        <f t="shared" si="59"/>
        <v>0</v>
      </c>
    </row>
    <row r="956" spans="1:10" x14ac:dyDescent="0.3">
      <c r="A956" s="7">
        <v>44887.999999999229</v>
      </c>
      <c r="B956" s="8" t="s">
        <v>0</v>
      </c>
      <c r="C956" s="8">
        <v>0</v>
      </c>
      <c r="D956" t="str">
        <f t="shared" si="58"/>
        <v>Wednesday</v>
      </c>
      <c r="E956">
        <v>48</v>
      </c>
      <c r="F956" s="11">
        <f>VLOOKUP(B956,'ITEMS LIST'!$B$2:$F$19,4,FALSE)</f>
        <v>549</v>
      </c>
      <c r="G956" s="11">
        <f>VLOOKUP(B956,'ITEMS LIST'!$B$2:$F$19,5,FALSE)</f>
        <v>365</v>
      </c>
      <c r="H956" s="11">
        <f t="shared" si="56"/>
        <v>0</v>
      </c>
      <c r="I956" s="11">
        <f t="shared" si="57"/>
        <v>0</v>
      </c>
      <c r="J956" s="11">
        <f t="shared" si="59"/>
        <v>0</v>
      </c>
    </row>
    <row r="957" spans="1:10" x14ac:dyDescent="0.3">
      <c r="A957" s="7">
        <v>44888.055555554783</v>
      </c>
      <c r="B957" s="8" t="s">
        <v>1</v>
      </c>
      <c r="C957" s="8">
        <v>0</v>
      </c>
      <c r="D957" t="str">
        <f t="shared" si="58"/>
        <v>Wednesday</v>
      </c>
      <c r="E957">
        <v>48</v>
      </c>
      <c r="F957" s="11">
        <f>VLOOKUP(B957,'ITEMS LIST'!$B$2:$F$19,4,FALSE)</f>
        <v>699</v>
      </c>
      <c r="G957" s="11">
        <f>VLOOKUP(B957,'ITEMS LIST'!$B$2:$F$19,5,FALSE)</f>
        <v>550</v>
      </c>
      <c r="H957" s="11">
        <f t="shared" si="56"/>
        <v>0</v>
      </c>
      <c r="I957" s="11">
        <f t="shared" si="57"/>
        <v>0</v>
      </c>
      <c r="J957" s="11">
        <f t="shared" si="59"/>
        <v>0</v>
      </c>
    </row>
    <row r="958" spans="1:10" x14ac:dyDescent="0.3">
      <c r="A958" s="7">
        <v>44888.111111110338</v>
      </c>
      <c r="B958" s="8" t="s">
        <v>2</v>
      </c>
      <c r="C958" s="8">
        <v>0</v>
      </c>
      <c r="D958" t="str">
        <f t="shared" si="58"/>
        <v>Wednesday</v>
      </c>
      <c r="E958">
        <v>48</v>
      </c>
      <c r="F958" s="11">
        <f>VLOOKUP(B958,'ITEMS LIST'!$B$2:$F$19,4,FALSE)</f>
        <v>739</v>
      </c>
      <c r="G958" s="11">
        <f>VLOOKUP(B958,'ITEMS LIST'!$B$2:$F$19,5,FALSE)</f>
        <v>620</v>
      </c>
      <c r="H958" s="11">
        <f t="shared" si="56"/>
        <v>0</v>
      </c>
      <c r="I958" s="11">
        <f t="shared" si="57"/>
        <v>0</v>
      </c>
      <c r="J958" s="11">
        <f t="shared" si="59"/>
        <v>0</v>
      </c>
    </row>
    <row r="959" spans="1:10" x14ac:dyDescent="0.3">
      <c r="A959" s="7">
        <v>44888.166666665893</v>
      </c>
      <c r="B959" s="8" t="s">
        <v>3</v>
      </c>
      <c r="C959" s="8">
        <v>0</v>
      </c>
      <c r="D959" t="str">
        <f t="shared" si="58"/>
        <v>Wednesday</v>
      </c>
      <c r="E959">
        <v>48</v>
      </c>
      <c r="F959" s="11">
        <f>VLOOKUP(B959,'ITEMS LIST'!$B$2:$F$19,4,FALSE)</f>
        <v>899</v>
      </c>
      <c r="G959" s="11">
        <f>VLOOKUP(B959,'ITEMS LIST'!$B$2:$F$19,5,FALSE)</f>
        <v>714</v>
      </c>
      <c r="H959" s="11">
        <f t="shared" si="56"/>
        <v>0</v>
      </c>
      <c r="I959" s="11">
        <f t="shared" si="57"/>
        <v>0</v>
      </c>
      <c r="J959" s="11">
        <f t="shared" si="59"/>
        <v>0</v>
      </c>
    </row>
    <row r="960" spans="1:10" x14ac:dyDescent="0.3">
      <c r="A960" s="7">
        <v>44888.222222221448</v>
      </c>
      <c r="B960" s="8" t="s">
        <v>4</v>
      </c>
      <c r="C960" s="8">
        <v>0</v>
      </c>
      <c r="D960" t="str">
        <f t="shared" si="58"/>
        <v>Wednesday</v>
      </c>
      <c r="E960">
        <v>48</v>
      </c>
      <c r="F960" s="11">
        <f>VLOOKUP(B960,'ITEMS LIST'!$B$2:$F$19,4,FALSE)</f>
        <v>1379</v>
      </c>
      <c r="G960" s="11">
        <f>VLOOKUP(B960,'ITEMS LIST'!$B$2:$F$19,5,FALSE)</f>
        <v>890</v>
      </c>
      <c r="H960" s="11">
        <f t="shared" si="56"/>
        <v>0</v>
      </c>
      <c r="I960" s="11">
        <f t="shared" si="57"/>
        <v>0</v>
      </c>
      <c r="J960" s="11">
        <f t="shared" si="59"/>
        <v>0</v>
      </c>
    </row>
    <row r="961" spans="1:10" x14ac:dyDescent="0.3">
      <c r="A961" s="7">
        <v>44888.277777777002</v>
      </c>
      <c r="B961" s="8" t="s">
        <v>5</v>
      </c>
      <c r="C961" s="8">
        <v>0</v>
      </c>
      <c r="D961" t="str">
        <f t="shared" si="58"/>
        <v>Wednesday</v>
      </c>
      <c r="E961">
        <v>48</v>
      </c>
      <c r="F961" s="11">
        <f>VLOOKUP(B961,'ITEMS LIST'!$B$2:$F$19,4,FALSE)</f>
        <v>849</v>
      </c>
      <c r="G961" s="11">
        <f>VLOOKUP(B961,'ITEMS LIST'!$B$2:$F$19,5,FALSE)</f>
        <v>530</v>
      </c>
      <c r="H961" s="11">
        <f t="shared" si="56"/>
        <v>0</v>
      </c>
      <c r="I961" s="11">
        <f t="shared" si="57"/>
        <v>0</v>
      </c>
      <c r="J961" s="11">
        <f t="shared" si="59"/>
        <v>0</v>
      </c>
    </row>
    <row r="962" spans="1:10" x14ac:dyDescent="0.3">
      <c r="A962" s="7">
        <v>44888.333333332557</v>
      </c>
      <c r="B962" s="8" t="s">
        <v>6</v>
      </c>
      <c r="C962" s="8">
        <v>0</v>
      </c>
      <c r="D962" t="str">
        <f t="shared" si="58"/>
        <v>Wednesday</v>
      </c>
      <c r="E962">
        <v>48</v>
      </c>
      <c r="F962" s="11">
        <f>VLOOKUP(B962,'ITEMS LIST'!$B$2:$F$19,4,FALSE)</f>
        <v>1000</v>
      </c>
      <c r="G962" s="11">
        <f>VLOOKUP(B962,'ITEMS LIST'!$B$2:$F$19,5,FALSE)</f>
        <v>768</v>
      </c>
      <c r="H962" s="11">
        <f t="shared" ref="H962:H1025" si="60">C962*F962</f>
        <v>0</v>
      </c>
      <c r="I962" s="11">
        <f t="shared" ref="I962:I1025" si="61">C962*G962</f>
        <v>0</v>
      </c>
      <c r="J962" s="11">
        <f t="shared" si="59"/>
        <v>0</v>
      </c>
    </row>
    <row r="963" spans="1:10" x14ac:dyDescent="0.3">
      <c r="A963" s="7">
        <v>44888.388888888112</v>
      </c>
      <c r="B963" s="8" t="s">
        <v>7</v>
      </c>
      <c r="C963" s="8">
        <v>0</v>
      </c>
      <c r="D963" t="str">
        <f t="shared" ref="D963:D1026" si="62">TEXT(A963,"dddd")</f>
        <v>Wednesday</v>
      </c>
      <c r="E963">
        <v>48</v>
      </c>
      <c r="F963" s="11">
        <f>VLOOKUP(B963,'ITEMS LIST'!$B$2:$F$19,4,FALSE)</f>
        <v>680</v>
      </c>
      <c r="G963" s="11">
        <f>VLOOKUP(B963,'ITEMS LIST'!$B$2:$F$19,5,FALSE)</f>
        <v>570</v>
      </c>
      <c r="H963" s="11">
        <f t="shared" si="60"/>
        <v>0</v>
      </c>
      <c r="I963" s="11">
        <f t="shared" si="61"/>
        <v>0</v>
      </c>
      <c r="J963" s="11">
        <f t="shared" ref="J963:J1026" si="63">H963-I963</f>
        <v>0</v>
      </c>
    </row>
    <row r="964" spans="1:10" x14ac:dyDescent="0.3">
      <c r="A964" s="7">
        <v>44888.444444443667</v>
      </c>
      <c r="B964" s="8" t="s">
        <v>8</v>
      </c>
      <c r="C964" s="8">
        <v>0</v>
      </c>
      <c r="D964" t="str">
        <f t="shared" si="62"/>
        <v>Wednesday</v>
      </c>
      <c r="E964">
        <v>48</v>
      </c>
      <c r="F964" s="11">
        <f>VLOOKUP(B964,'ITEMS LIST'!$B$2:$F$19,4,FALSE)</f>
        <v>199</v>
      </c>
      <c r="G964" s="11">
        <f>VLOOKUP(B964,'ITEMS LIST'!$B$2:$F$19,5,FALSE)</f>
        <v>140</v>
      </c>
      <c r="H964" s="11">
        <f t="shared" si="60"/>
        <v>0</v>
      </c>
      <c r="I964" s="11">
        <f t="shared" si="61"/>
        <v>0</v>
      </c>
      <c r="J964" s="11">
        <f t="shared" si="63"/>
        <v>0</v>
      </c>
    </row>
    <row r="965" spans="1:10" x14ac:dyDescent="0.3">
      <c r="A965" s="7">
        <v>44888.499999999221</v>
      </c>
      <c r="B965" s="8" t="s">
        <v>9</v>
      </c>
      <c r="C965" s="8">
        <v>0</v>
      </c>
      <c r="D965" t="str">
        <f t="shared" si="62"/>
        <v>Wednesday</v>
      </c>
      <c r="E965">
        <v>48</v>
      </c>
      <c r="F965" s="11">
        <f>VLOOKUP(B965,'ITEMS LIST'!$B$2:$F$19,4,FALSE)</f>
        <v>219</v>
      </c>
      <c r="G965" s="11">
        <f>VLOOKUP(B965,'ITEMS LIST'!$B$2:$F$19,5,FALSE)</f>
        <v>132</v>
      </c>
      <c r="H965" s="11">
        <f t="shared" si="60"/>
        <v>0</v>
      </c>
      <c r="I965" s="11">
        <f t="shared" si="61"/>
        <v>0</v>
      </c>
      <c r="J965" s="11">
        <f t="shared" si="63"/>
        <v>0</v>
      </c>
    </row>
    <row r="966" spans="1:10" x14ac:dyDescent="0.3">
      <c r="A966" s="7">
        <v>44888.555555554776</v>
      </c>
      <c r="B966" s="8" t="s">
        <v>10</v>
      </c>
      <c r="C966" s="8">
        <v>0</v>
      </c>
      <c r="D966" t="str">
        <f t="shared" si="62"/>
        <v>Wednesday</v>
      </c>
      <c r="E966">
        <v>48</v>
      </c>
      <c r="F966" s="11">
        <f>VLOOKUP(B966,'ITEMS LIST'!$B$2:$F$19,4,FALSE)</f>
        <v>1469</v>
      </c>
      <c r="G966" s="11">
        <f>VLOOKUP(B966,'ITEMS LIST'!$B$2:$F$19,5,FALSE)</f>
        <v>1184</v>
      </c>
      <c r="H966" s="11">
        <f t="shared" si="60"/>
        <v>0</v>
      </c>
      <c r="I966" s="11">
        <f t="shared" si="61"/>
        <v>0</v>
      </c>
      <c r="J966" s="11">
        <f t="shared" si="63"/>
        <v>0</v>
      </c>
    </row>
    <row r="967" spans="1:10" x14ac:dyDescent="0.3">
      <c r="A967" s="7">
        <v>44888.611111110331</v>
      </c>
      <c r="B967" s="8" t="s">
        <v>11</v>
      </c>
      <c r="C967" s="8">
        <v>0</v>
      </c>
      <c r="D967" t="str">
        <f t="shared" si="62"/>
        <v>Wednesday</v>
      </c>
      <c r="E967">
        <v>48</v>
      </c>
      <c r="F967" s="11">
        <f>VLOOKUP(B967,'ITEMS LIST'!$B$2:$F$19,4,FALSE)</f>
        <v>89</v>
      </c>
      <c r="G967" s="11">
        <f>VLOOKUP(B967,'ITEMS LIST'!$B$2:$F$19,5,FALSE)</f>
        <v>59</v>
      </c>
      <c r="H967" s="11">
        <f t="shared" si="60"/>
        <v>0</v>
      </c>
      <c r="I967" s="11">
        <f t="shared" si="61"/>
        <v>0</v>
      </c>
      <c r="J967" s="11">
        <f t="shared" si="63"/>
        <v>0</v>
      </c>
    </row>
    <row r="968" spans="1:10" x14ac:dyDescent="0.3">
      <c r="A968" s="7">
        <v>44888.666666665886</v>
      </c>
      <c r="B968" s="8" t="s">
        <v>12</v>
      </c>
      <c r="C968" s="8">
        <v>0</v>
      </c>
      <c r="D968" t="str">
        <f t="shared" si="62"/>
        <v>Wednesday</v>
      </c>
      <c r="E968">
        <v>48</v>
      </c>
      <c r="F968" s="11">
        <f>VLOOKUP(B968,'ITEMS LIST'!$B$2:$F$19,4,FALSE)</f>
        <v>310</v>
      </c>
      <c r="G968" s="11">
        <f>VLOOKUP(B968,'ITEMS LIST'!$B$2:$F$19,5,FALSE)</f>
        <v>206</v>
      </c>
      <c r="H968" s="11">
        <f t="shared" si="60"/>
        <v>0</v>
      </c>
      <c r="I968" s="11">
        <f t="shared" si="61"/>
        <v>0</v>
      </c>
      <c r="J968" s="11">
        <f t="shared" si="63"/>
        <v>0</v>
      </c>
    </row>
    <row r="969" spans="1:10" x14ac:dyDescent="0.3">
      <c r="A969" s="7">
        <v>44888.72222222144</v>
      </c>
      <c r="B969" s="8" t="s">
        <v>13</v>
      </c>
      <c r="C969" s="8">
        <v>0</v>
      </c>
      <c r="D969" t="str">
        <f t="shared" si="62"/>
        <v>Wednesday</v>
      </c>
      <c r="E969">
        <v>48</v>
      </c>
      <c r="F969" s="11">
        <f>VLOOKUP(B969,'ITEMS LIST'!$B$2:$F$19,4,FALSE)</f>
        <v>540</v>
      </c>
      <c r="G969" s="11">
        <f>VLOOKUP(B969,'ITEMS LIST'!$B$2:$F$19,5,FALSE)</f>
        <v>397</v>
      </c>
      <c r="H969" s="11">
        <f t="shared" si="60"/>
        <v>0</v>
      </c>
      <c r="I969" s="11">
        <f t="shared" si="61"/>
        <v>0</v>
      </c>
      <c r="J969" s="11">
        <f t="shared" si="63"/>
        <v>0</v>
      </c>
    </row>
    <row r="970" spans="1:10" x14ac:dyDescent="0.3">
      <c r="A970" s="7">
        <v>44888.777777776995</v>
      </c>
      <c r="B970" s="8" t="s">
        <v>14</v>
      </c>
      <c r="C970" s="8">
        <v>0</v>
      </c>
      <c r="D970" t="str">
        <f t="shared" si="62"/>
        <v>Wednesday</v>
      </c>
      <c r="E970">
        <v>48</v>
      </c>
      <c r="F970" s="11">
        <f>VLOOKUP(B970,'ITEMS LIST'!$B$2:$F$19,4,FALSE)</f>
        <v>360</v>
      </c>
      <c r="G970" s="11">
        <f>VLOOKUP(B970,'ITEMS LIST'!$B$2:$F$19,5,FALSE)</f>
        <v>248</v>
      </c>
      <c r="H970" s="11">
        <f t="shared" si="60"/>
        <v>0</v>
      </c>
      <c r="I970" s="11">
        <f t="shared" si="61"/>
        <v>0</v>
      </c>
      <c r="J970" s="11">
        <f t="shared" si="63"/>
        <v>0</v>
      </c>
    </row>
    <row r="971" spans="1:10" x14ac:dyDescent="0.3">
      <c r="A971" s="7">
        <v>44888.83333333255</v>
      </c>
      <c r="B971" s="8" t="s">
        <v>15</v>
      </c>
      <c r="C971" s="8">
        <v>0</v>
      </c>
      <c r="D971" t="str">
        <f t="shared" si="62"/>
        <v>Wednesday</v>
      </c>
      <c r="E971">
        <v>48</v>
      </c>
      <c r="F971" s="11">
        <f>VLOOKUP(B971,'ITEMS LIST'!$B$2:$F$19,4,FALSE)</f>
        <v>250</v>
      </c>
      <c r="G971" s="11">
        <f>VLOOKUP(B971,'ITEMS LIST'!$B$2:$F$19,5,FALSE)</f>
        <v>190</v>
      </c>
      <c r="H971" s="11">
        <f t="shared" si="60"/>
        <v>0</v>
      </c>
      <c r="I971" s="11">
        <f t="shared" si="61"/>
        <v>0</v>
      </c>
      <c r="J971" s="11">
        <f t="shared" si="63"/>
        <v>0</v>
      </c>
    </row>
    <row r="972" spans="1:10" x14ac:dyDescent="0.3">
      <c r="A972" s="7">
        <v>44888.888888888105</v>
      </c>
      <c r="B972" s="8" t="s">
        <v>16</v>
      </c>
      <c r="C972" s="8">
        <v>0</v>
      </c>
      <c r="D972" t="str">
        <f t="shared" si="62"/>
        <v>Wednesday</v>
      </c>
      <c r="E972">
        <v>48</v>
      </c>
      <c r="F972" s="11">
        <f>VLOOKUP(B972,'ITEMS LIST'!$B$2:$F$19,4,FALSE)</f>
        <v>120</v>
      </c>
      <c r="G972" s="11">
        <f>VLOOKUP(B972,'ITEMS LIST'!$B$2:$F$19,5,FALSE)</f>
        <v>85</v>
      </c>
      <c r="H972" s="11">
        <f t="shared" si="60"/>
        <v>0</v>
      </c>
      <c r="I972" s="11">
        <f t="shared" si="61"/>
        <v>0</v>
      </c>
      <c r="J972" s="11">
        <f t="shared" si="63"/>
        <v>0</v>
      </c>
    </row>
    <row r="973" spans="1:10" x14ac:dyDescent="0.3">
      <c r="A973" s="7">
        <v>44888.944444443659</v>
      </c>
      <c r="B973" s="8" t="s">
        <v>17</v>
      </c>
      <c r="C973" s="8">
        <v>0</v>
      </c>
      <c r="D973" t="str">
        <f t="shared" si="62"/>
        <v>Wednesday</v>
      </c>
      <c r="E973">
        <v>48</v>
      </c>
      <c r="F973" s="11">
        <f>VLOOKUP(B973,'ITEMS LIST'!$B$2:$F$19,4,FALSE)</f>
        <v>80</v>
      </c>
      <c r="G973" s="11">
        <f>VLOOKUP(B973,'ITEMS LIST'!$B$2:$F$19,5,FALSE)</f>
        <v>55</v>
      </c>
      <c r="H973" s="11">
        <f t="shared" si="60"/>
        <v>0</v>
      </c>
      <c r="I973" s="11">
        <f t="shared" si="61"/>
        <v>0</v>
      </c>
      <c r="J973" s="11">
        <f t="shared" si="63"/>
        <v>0</v>
      </c>
    </row>
    <row r="974" spans="1:10" x14ac:dyDescent="0.3">
      <c r="A974" s="7">
        <v>44888.999999999214</v>
      </c>
      <c r="B974" s="8" t="s">
        <v>0</v>
      </c>
      <c r="C974" s="8">
        <v>0</v>
      </c>
      <c r="D974" t="str">
        <f t="shared" si="62"/>
        <v>Thursday</v>
      </c>
      <c r="E974">
        <v>48</v>
      </c>
      <c r="F974" s="11">
        <f>VLOOKUP(B974,'ITEMS LIST'!$B$2:$F$19,4,FALSE)</f>
        <v>549</v>
      </c>
      <c r="G974" s="11">
        <f>VLOOKUP(B974,'ITEMS LIST'!$B$2:$F$19,5,FALSE)</f>
        <v>365</v>
      </c>
      <c r="H974" s="11">
        <f t="shared" si="60"/>
        <v>0</v>
      </c>
      <c r="I974" s="11">
        <f t="shared" si="61"/>
        <v>0</v>
      </c>
      <c r="J974" s="11">
        <f t="shared" si="63"/>
        <v>0</v>
      </c>
    </row>
    <row r="975" spans="1:10" x14ac:dyDescent="0.3">
      <c r="A975" s="7">
        <v>44889.055555554769</v>
      </c>
      <c r="B975" s="8" t="s">
        <v>1</v>
      </c>
      <c r="C975" s="8">
        <v>0</v>
      </c>
      <c r="D975" t="str">
        <f t="shared" si="62"/>
        <v>Thursday</v>
      </c>
      <c r="E975">
        <v>48</v>
      </c>
      <c r="F975" s="11">
        <f>VLOOKUP(B975,'ITEMS LIST'!$B$2:$F$19,4,FALSE)</f>
        <v>699</v>
      </c>
      <c r="G975" s="11">
        <f>VLOOKUP(B975,'ITEMS LIST'!$B$2:$F$19,5,FALSE)</f>
        <v>550</v>
      </c>
      <c r="H975" s="11">
        <f t="shared" si="60"/>
        <v>0</v>
      </c>
      <c r="I975" s="11">
        <f t="shared" si="61"/>
        <v>0</v>
      </c>
      <c r="J975" s="11">
        <f t="shared" si="63"/>
        <v>0</v>
      </c>
    </row>
    <row r="976" spans="1:10" x14ac:dyDescent="0.3">
      <c r="A976" s="7">
        <v>44889.111111110324</v>
      </c>
      <c r="B976" s="8" t="s">
        <v>2</v>
      </c>
      <c r="C976" s="8">
        <v>0</v>
      </c>
      <c r="D976" t="str">
        <f t="shared" si="62"/>
        <v>Thursday</v>
      </c>
      <c r="E976">
        <v>48</v>
      </c>
      <c r="F976" s="11">
        <f>VLOOKUP(B976,'ITEMS LIST'!$B$2:$F$19,4,FALSE)</f>
        <v>739</v>
      </c>
      <c r="G976" s="11">
        <f>VLOOKUP(B976,'ITEMS LIST'!$B$2:$F$19,5,FALSE)</f>
        <v>620</v>
      </c>
      <c r="H976" s="11">
        <f t="shared" si="60"/>
        <v>0</v>
      </c>
      <c r="I976" s="11">
        <f t="shared" si="61"/>
        <v>0</v>
      </c>
      <c r="J976" s="11">
        <f t="shared" si="63"/>
        <v>0</v>
      </c>
    </row>
    <row r="977" spans="1:10" x14ac:dyDescent="0.3">
      <c r="A977" s="7">
        <v>44889.166666665878</v>
      </c>
      <c r="B977" s="8" t="s">
        <v>3</v>
      </c>
      <c r="C977" s="8">
        <v>0</v>
      </c>
      <c r="D977" t="str">
        <f t="shared" si="62"/>
        <v>Thursday</v>
      </c>
      <c r="E977">
        <v>48</v>
      </c>
      <c r="F977" s="11">
        <f>VLOOKUP(B977,'ITEMS LIST'!$B$2:$F$19,4,FALSE)</f>
        <v>899</v>
      </c>
      <c r="G977" s="11">
        <f>VLOOKUP(B977,'ITEMS LIST'!$B$2:$F$19,5,FALSE)</f>
        <v>714</v>
      </c>
      <c r="H977" s="11">
        <f t="shared" si="60"/>
        <v>0</v>
      </c>
      <c r="I977" s="11">
        <f t="shared" si="61"/>
        <v>0</v>
      </c>
      <c r="J977" s="11">
        <f t="shared" si="63"/>
        <v>0</v>
      </c>
    </row>
    <row r="978" spans="1:10" x14ac:dyDescent="0.3">
      <c r="A978" s="7">
        <v>44889.222222221433</v>
      </c>
      <c r="B978" s="8" t="s">
        <v>4</v>
      </c>
      <c r="C978" s="8">
        <v>0</v>
      </c>
      <c r="D978" t="str">
        <f t="shared" si="62"/>
        <v>Thursday</v>
      </c>
      <c r="E978">
        <v>48</v>
      </c>
      <c r="F978" s="11">
        <f>VLOOKUP(B978,'ITEMS LIST'!$B$2:$F$19,4,FALSE)</f>
        <v>1379</v>
      </c>
      <c r="G978" s="11">
        <f>VLOOKUP(B978,'ITEMS LIST'!$B$2:$F$19,5,FALSE)</f>
        <v>890</v>
      </c>
      <c r="H978" s="11">
        <f t="shared" si="60"/>
        <v>0</v>
      </c>
      <c r="I978" s="11">
        <f t="shared" si="61"/>
        <v>0</v>
      </c>
      <c r="J978" s="11">
        <f t="shared" si="63"/>
        <v>0</v>
      </c>
    </row>
    <row r="979" spans="1:10" x14ac:dyDescent="0.3">
      <c r="A979" s="7">
        <v>44889.277777776988</v>
      </c>
      <c r="B979" s="8" t="s">
        <v>5</v>
      </c>
      <c r="C979" s="8">
        <v>0</v>
      </c>
      <c r="D979" t="str">
        <f t="shared" si="62"/>
        <v>Thursday</v>
      </c>
      <c r="E979">
        <v>48</v>
      </c>
      <c r="F979" s="11">
        <f>VLOOKUP(B979,'ITEMS LIST'!$B$2:$F$19,4,FALSE)</f>
        <v>849</v>
      </c>
      <c r="G979" s="11">
        <f>VLOOKUP(B979,'ITEMS LIST'!$B$2:$F$19,5,FALSE)</f>
        <v>530</v>
      </c>
      <c r="H979" s="11">
        <f t="shared" si="60"/>
        <v>0</v>
      </c>
      <c r="I979" s="11">
        <f t="shared" si="61"/>
        <v>0</v>
      </c>
      <c r="J979" s="11">
        <f t="shared" si="63"/>
        <v>0</v>
      </c>
    </row>
    <row r="980" spans="1:10" x14ac:dyDescent="0.3">
      <c r="A980" s="7">
        <v>44889.333333332543</v>
      </c>
      <c r="B980" s="8" t="s">
        <v>6</v>
      </c>
      <c r="C980" s="8">
        <v>0</v>
      </c>
      <c r="D980" t="str">
        <f t="shared" si="62"/>
        <v>Thursday</v>
      </c>
      <c r="E980">
        <v>48</v>
      </c>
      <c r="F980" s="11">
        <f>VLOOKUP(B980,'ITEMS LIST'!$B$2:$F$19,4,FALSE)</f>
        <v>1000</v>
      </c>
      <c r="G980" s="11">
        <f>VLOOKUP(B980,'ITEMS LIST'!$B$2:$F$19,5,FALSE)</f>
        <v>768</v>
      </c>
      <c r="H980" s="11">
        <f t="shared" si="60"/>
        <v>0</v>
      </c>
      <c r="I980" s="11">
        <f t="shared" si="61"/>
        <v>0</v>
      </c>
      <c r="J980" s="11">
        <f t="shared" si="63"/>
        <v>0</v>
      </c>
    </row>
    <row r="981" spans="1:10" x14ac:dyDescent="0.3">
      <c r="A981" s="7">
        <v>44889.388888888097</v>
      </c>
      <c r="B981" s="8" t="s">
        <v>7</v>
      </c>
      <c r="C981" s="8">
        <v>0</v>
      </c>
      <c r="D981" t="str">
        <f t="shared" si="62"/>
        <v>Thursday</v>
      </c>
      <c r="E981">
        <v>48</v>
      </c>
      <c r="F981" s="11">
        <f>VLOOKUP(B981,'ITEMS LIST'!$B$2:$F$19,4,FALSE)</f>
        <v>680</v>
      </c>
      <c r="G981" s="11">
        <f>VLOOKUP(B981,'ITEMS LIST'!$B$2:$F$19,5,FALSE)</f>
        <v>570</v>
      </c>
      <c r="H981" s="11">
        <f t="shared" si="60"/>
        <v>0</v>
      </c>
      <c r="I981" s="11">
        <f t="shared" si="61"/>
        <v>0</v>
      </c>
      <c r="J981" s="11">
        <f t="shared" si="63"/>
        <v>0</v>
      </c>
    </row>
    <row r="982" spans="1:10" x14ac:dyDescent="0.3">
      <c r="A982" s="7">
        <v>44889.444444443652</v>
      </c>
      <c r="B982" s="8" t="s">
        <v>8</v>
      </c>
      <c r="C982" s="8">
        <v>0</v>
      </c>
      <c r="D982" t="str">
        <f t="shared" si="62"/>
        <v>Thursday</v>
      </c>
      <c r="E982">
        <v>48</v>
      </c>
      <c r="F982" s="11">
        <f>VLOOKUP(B982,'ITEMS LIST'!$B$2:$F$19,4,FALSE)</f>
        <v>199</v>
      </c>
      <c r="G982" s="11">
        <f>VLOOKUP(B982,'ITEMS LIST'!$B$2:$F$19,5,FALSE)</f>
        <v>140</v>
      </c>
      <c r="H982" s="11">
        <f t="shared" si="60"/>
        <v>0</v>
      </c>
      <c r="I982" s="11">
        <f t="shared" si="61"/>
        <v>0</v>
      </c>
      <c r="J982" s="11">
        <f t="shared" si="63"/>
        <v>0</v>
      </c>
    </row>
    <row r="983" spans="1:10" x14ac:dyDescent="0.3">
      <c r="A983" s="7">
        <v>44889.499999999207</v>
      </c>
      <c r="B983" s="8" t="s">
        <v>9</v>
      </c>
      <c r="C983" s="8">
        <v>0</v>
      </c>
      <c r="D983" t="str">
        <f t="shared" si="62"/>
        <v>Thursday</v>
      </c>
      <c r="E983">
        <v>48</v>
      </c>
      <c r="F983" s="11">
        <f>VLOOKUP(B983,'ITEMS LIST'!$B$2:$F$19,4,FALSE)</f>
        <v>219</v>
      </c>
      <c r="G983" s="11">
        <f>VLOOKUP(B983,'ITEMS LIST'!$B$2:$F$19,5,FALSE)</f>
        <v>132</v>
      </c>
      <c r="H983" s="11">
        <f t="shared" si="60"/>
        <v>0</v>
      </c>
      <c r="I983" s="11">
        <f t="shared" si="61"/>
        <v>0</v>
      </c>
      <c r="J983" s="11">
        <f t="shared" si="63"/>
        <v>0</v>
      </c>
    </row>
    <row r="984" spans="1:10" x14ac:dyDescent="0.3">
      <c r="A984" s="7">
        <v>44889.555555554762</v>
      </c>
      <c r="B984" s="8" t="s">
        <v>10</v>
      </c>
      <c r="C984" s="8">
        <v>2</v>
      </c>
      <c r="D984" t="str">
        <f t="shared" si="62"/>
        <v>Thursday</v>
      </c>
      <c r="E984">
        <v>48</v>
      </c>
      <c r="F984" s="11">
        <f>VLOOKUP(B984,'ITEMS LIST'!$B$2:$F$19,4,FALSE)</f>
        <v>1469</v>
      </c>
      <c r="G984" s="11">
        <f>VLOOKUP(B984,'ITEMS LIST'!$B$2:$F$19,5,FALSE)</f>
        <v>1184</v>
      </c>
      <c r="H984" s="11">
        <f t="shared" si="60"/>
        <v>2938</v>
      </c>
      <c r="I984" s="11">
        <f t="shared" si="61"/>
        <v>2368</v>
      </c>
      <c r="J984" s="11">
        <f t="shared" si="63"/>
        <v>570</v>
      </c>
    </row>
    <row r="985" spans="1:10" x14ac:dyDescent="0.3">
      <c r="A985" s="7">
        <v>44889.611111110316</v>
      </c>
      <c r="B985" s="8" t="s">
        <v>11</v>
      </c>
      <c r="C985" s="8">
        <v>0</v>
      </c>
      <c r="D985" t="str">
        <f t="shared" si="62"/>
        <v>Thursday</v>
      </c>
      <c r="E985">
        <v>48</v>
      </c>
      <c r="F985" s="11">
        <f>VLOOKUP(B985,'ITEMS LIST'!$B$2:$F$19,4,FALSE)</f>
        <v>89</v>
      </c>
      <c r="G985" s="11">
        <f>VLOOKUP(B985,'ITEMS LIST'!$B$2:$F$19,5,FALSE)</f>
        <v>59</v>
      </c>
      <c r="H985" s="11">
        <f t="shared" si="60"/>
        <v>0</v>
      </c>
      <c r="I985" s="11">
        <f t="shared" si="61"/>
        <v>0</v>
      </c>
      <c r="J985" s="11">
        <f t="shared" si="63"/>
        <v>0</v>
      </c>
    </row>
    <row r="986" spans="1:10" x14ac:dyDescent="0.3">
      <c r="A986" s="7">
        <v>44889.666666665871</v>
      </c>
      <c r="B986" s="8" t="s">
        <v>12</v>
      </c>
      <c r="C986" s="8">
        <v>0</v>
      </c>
      <c r="D986" t="str">
        <f t="shared" si="62"/>
        <v>Thursday</v>
      </c>
      <c r="E986">
        <v>48</v>
      </c>
      <c r="F986" s="11">
        <f>VLOOKUP(B986,'ITEMS LIST'!$B$2:$F$19,4,FALSE)</f>
        <v>310</v>
      </c>
      <c r="G986" s="11">
        <f>VLOOKUP(B986,'ITEMS LIST'!$B$2:$F$19,5,FALSE)</f>
        <v>206</v>
      </c>
      <c r="H986" s="11">
        <f t="shared" si="60"/>
        <v>0</v>
      </c>
      <c r="I986" s="11">
        <f t="shared" si="61"/>
        <v>0</v>
      </c>
      <c r="J986" s="11">
        <f t="shared" si="63"/>
        <v>0</v>
      </c>
    </row>
    <row r="987" spans="1:10" x14ac:dyDescent="0.3">
      <c r="A987" s="7">
        <v>44889.722222221426</v>
      </c>
      <c r="B987" s="8" t="s">
        <v>13</v>
      </c>
      <c r="C987" s="8">
        <v>0</v>
      </c>
      <c r="D987" t="str">
        <f t="shared" si="62"/>
        <v>Thursday</v>
      </c>
      <c r="E987">
        <v>48</v>
      </c>
      <c r="F987" s="11">
        <f>VLOOKUP(B987,'ITEMS LIST'!$B$2:$F$19,4,FALSE)</f>
        <v>540</v>
      </c>
      <c r="G987" s="11">
        <f>VLOOKUP(B987,'ITEMS LIST'!$B$2:$F$19,5,FALSE)</f>
        <v>397</v>
      </c>
      <c r="H987" s="11">
        <f t="shared" si="60"/>
        <v>0</v>
      </c>
      <c r="I987" s="11">
        <f t="shared" si="61"/>
        <v>0</v>
      </c>
      <c r="J987" s="11">
        <f t="shared" si="63"/>
        <v>0</v>
      </c>
    </row>
    <row r="988" spans="1:10" x14ac:dyDescent="0.3">
      <c r="A988" s="7">
        <v>44889.777777776981</v>
      </c>
      <c r="B988" s="8" t="s">
        <v>14</v>
      </c>
      <c r="C988" s="8">
        <v>0</v>
      </c>
      <c r="D988" t="str">
        <f t="shared" si="62"/>
        <v>Thursday</v>
      </c>
      <c r="E988">
        <v>48</v>
      </c>
      <c r="F988" s="11">
        <f>VLOOKUP(B988,'ITEMS LIST'!$B$2:$F$19,4,FALSE)</f>
        <v>360</v>
      </c>
      <c r="G988" s="11">
        <f>VLOOKUP(B988,'ITEMS LIST'!$B$2:$F$19,5,FALSE)</f>
        <v>248</v>
      </c>
      <c r="H988" s="11">
        <f t="shared" si="60"/>
        <v>0</v>
      </c>
      <c r="I988" s="11">
        <f t="shared" si="61"/>
        <v>0</v>
      </c>
      <c r="J988" s="11">
        <f t="shared" si="63"/>
        <v>0</v>
      </c>
    </row>
    <row r="989" spans="1:10" x14ac:dyDescent="0.3">
      <c r="A989" s="7">
        <v>44889.833333332535</v>
      </c>
      <c r="B989" s="8" t="s">
        <v>15</v>
      </c>
      <c r="C989" s="8">
        <v>0</v>
      </c>
      <c r="D989" t="str">
        <f t="shared" si="62"/>
        <v>Thursday</v>
      </c>
      <c r="E989">
        <v>48</v>
      </c>
      <c r="F989" s="11">
        <f>VLOOKUP(B989,'ITEMS LIST'!$B$2:$F$19,4,FALSE)</f>
        <v>250</v>
      </c>
      <c r="G989" s="11">
        <f>VLOOKUP(B989,'ITEMS LIST'!$B$2:$F$19,5,FALSE)</f>
        <v>190</v>
      </c>
      <c r="H989" s="11">
        <f t="shared" si="60"/>
        <v>0</v>
      </c>
      <c r="I989" s="11">
        <f t="shared" si="61"/>
        <v>0</v>
      </c>
      <c r="J989" s="11">
        <f t="shared" si="63"/>
        <v>0</v>
      </c>
    </row>
    <row r="990" spans="1:10" x14ac:dyDescent="0.3">
      <c r="A990" s="7">
        <v>44889.88888888809</v>
      </c>
      <c r="B990" s="8" t="s">
        <v>16</v>
      </c>
      <c r="C990" s="8">
        <v>0</v>
      </c>
      <c r="D990" t="str">
        <f t="shared" si="62"/>
        <v>Thursday</v>
      </c>
      <c r="E990">
        <v>48</v>
      </c>
      <c r="F990" s="11">
        <f>VLOOKUP(B990,'ITEMS LIST'!$B$2:$F$19,4,FALSE)</f>
        <v>120</v>
      </c>
      <c r="G990" s="11">
        <f>VLOOKUP(B990,'ITEMS LIST'!$B$2:$F$19,5,FALSE)</f>
        <v>85</v>
      </c>
      <c r="H990" s="11">
        <f t="shared" si="60"/>
        <v>0</v>
      </c>
      <c r="I990" s="11">
        <f t="shared" si="61"/>
        <v>0</v>
      </c>
      <c r="J990" s="11">
        <f t="shared" si="63"/>
        <v>0</v>
      </c>
    </row>
    <row r="991" spans="1:10" x14ac:dyDescent="0.3">
      <c r="A991" s="7">
        <v>44889.944444443645</v>
      </c>
      <c r="B991" s="8" t="s">
        <v>17</v>
      </c>
      <c r="C991" s="8">
        <v>0</v>
      </c>
      <c r="D991" t="str">
        <f t="shared" si="62"/>
        <v>Thursday</v>
      </c>
      <c r="E991">
        <v>48</v>
      </c>
      <c r="F991" s="11">
        <f>VLOOKUP(B991,'ITEMS LIST'!$B$2:$F$19,4,FALSE)</f>
        <v>80</v>
      </c>
      <c r="G991" s="11">
        <f>VLOOKUP(B991,'ITEMS LIST'!$B$2:$F$19,5,FALSE)</f>
        <v>55</v>
      </c>
      <c r="H991" s="11">
        <f t="shared" si="60"/>
        <v>0</v>
      </c>
      <c r="I991" s="11">
        <f t="shared" si="61"/>
        <v>0</v>
      </c>
      <c r="J991" s="11">
        <f t="shared" si="63"/>
        <v>0</v>
      </c>
    </row>
    <row r="992" spans="1:10" x14ac:dyDescent="0.3">
      <c r="A992" s="7">
        <v>44889.9999999992</v>
      </c>
      <c r="B992" s="8" t="s">
        <v>0</v>
      </c>
      <c r="C992" s="8">
        <v>0</v>
      </c>
      <c r="D992" t="str">
        <f t="shared" si="62"/>
        <v>Friday</v>
      </c>
      <c r="E992">
        <v>48</v>
      </c>
      <c r="F992" s="11">
        <f>VLOOKUP(B992,'ITEMS LIST'!$B$2:$F$19,4,FALSE)</f>
        <v>549</v>
      </c>
      <c r="G992" s="11">
        <f>VLOOKUP(B992,'ITEMS LIST'!$B$2:$F$19,5,FALSE)</f>
        <v>365</v>
      </c>
      <c r="H992" s="11">
        <f t="shared" si="60"/>
        <v>0</v>
      </c>
      <c r="I992" s="11">
        <f t="shared" si="61"/>
        <v>0</v>
      </c>
      <c r="J992" s="11">
        <f t="shared" si="63"/>
        <v>0</v>
      </c>
    </row>
    <row r="993" spans="1:10" x14ac:dyDescent="0.3">
      <c r="A993" s="7">
        <v>44890.055555554754</v>
      </c>
      <c r="B993" s="8" t="s">
        <v>1</v>
      </c>
      <c r="C993" s="8">
        <v>0</v>
      </c>
      <c r="D993" t="str">
        <f t="shared" si="62"/>
        <v>Friday</v>
      </c>
      <c r="E993">
        <v>48</v>
      </c>
      <c r="F993" s="11">
        <f>VLOOKUP(B993,'ITEMS LIST'!$B$2:$F$19,4,FALSE)</f>
        <v>699</v>
      </c>
      <c r="G993" s="11">
        <f>VLOOKUP(B993,'ITEMS LIST'!$B$2:$F$19,5,FALSE)</f>
        <v>550</v>
      </c>
      <c r="H993" s="11">
        <f t="shared" si="60"/>
        <v>0</v>
      </c>
      <c r="I993" s="11">
        <f t="shared" si="61"/>
        <v>0</v>
      </c>
      <c r="J993" s="11">
        <f t="shared" si="63"/>
        <v>0</v>
      </c>
    </row>
    <row r="994" spans="1:10" x14ac:dyDescent="0.3">
      <c r="A994" s="7">
        <v>44890.111111110309</v>
      </c>
      <c r="B994" s="8" t="s">
        <v>2</v>
      </c>
      <c r="C994" s="8">
        <v>0</v>
      </c>
      <c r="D994" t="str">
        <f t="shared" si="62"/>
        <v>Friday</v>
      </c>
      <c r="E994">
        <v>48</v>
      </c>
      <c r="F994" s="11">
        <f>VLOOKUP(B994,'ITEMS LIST'!$B$2:$F$19,4,FALSE)</f>
        <v>739</v>
      </c>
      <c r="G994" s="11">
        <f>VLOOKUP(B994,'ITEMS LIST'!$B$2:$F$19,5,FALSE)</f>
        <v>620</v>
      </c>
      <c r="H994" s="11">
        <f t="shared" si="60"/>
        <v>0</v>
      </c>
      <c r="I994" s="11">
        <f t="shared" si="61"/>
        <v>0</v>
      </c>
      <c r="J994" s="11">
        <f t="shared" si="63"/>
        <v>0</v>
      </c>
    </row>
    <row r="995" spans="1:10" x14ac:dyDescent="0.3">
      <c r="A995" s="7">
        <v>44890.166666665864</v>
      </c>
      <c r="B995" s="8" t="s">
        <v>3</v>
      </c>
      <c r="C995" s="8">
        <v>1</v>
      </c>
      <c r="D995" t="str">
        <f t="shared" si="62"/>
        <v>Friday</v>
      </c>
      <c r="E995">
        <v>48</v>
      </c>
      <c r="F995" s="11">
        <f>VLOOKUP(B995,'ITEMS LIST'!$B$2:$F$19,4,FALSE)</f>
        <v>899</v>
      </c>
      <c r="G995" s="11">
        <f>VLOOKUP(B995,'ITEMS LIST'!$B$2:$F$19,5,FALSE)</f>
        <v>714</v>
      </c>
      <c r="H995" s="11">
        <f t="shared" si="60"/>
        <v>899</v>
      </c>
      <c r="I995" s="11">
        <f t="shared" si="61"/>
        <v>714</v>
      </c>
      <c r="J995" s="11">
        <f t="shared" si="63"/>
        <v>185</v>
      </c>
    </row>
    <row r="996" spans="1:10" x14ac:dyDescent="0.3">
      <c r="A996" s="7">
        <v>44890.222222221419</v>
      </c>
      <c r="B996" s="8" t="s">
        <v>4</v>
      </c>
      <c r="C996" s="8">
        <v>0</v>
      </c>
      <c r="D996" t="str">
        <f t="shared" si="62"/>
        <v>Friday</v>
      </c>
      <c r="E996">
        <v>48</v>
      </c>
      <c r="F996" s="11">
        <f>VLOOKUP(B996,'ITEMS LIST'!$B$2:$F$19,4,FALSE)</f>
        <v>1379</v>
      </c>
      <c r="G996" s="11">
        <f>VLOOKUP(B996,'ITEMS LIST'!$B$2:$F$19,5,FALSE)</f>
        <v>890</v>
      </c>
      <c r="H996" s="11">
        <f t="shared" si="60"/>
        <v>0</v>
      </c>
      <c r="I996" s="11">
        <f t="shared" si="61"/>
        <v>0</v>
      </c>
      <c r="J996" s="11">
        <f t="shared" si="63"/>
        <v>0</v>
      </c>
    </row>
    <row r="997" spans="1:10" x14ac:dyDescent="0.3">
      <c r="A997" s="7">
        <v>44890.277777776973</v>
      </c>
      <c r="B997" s="8" t="s">
        <v>5</v>
      </c>
      <c r="C997" s="8">
        <v>1</v>
      </c>
      <c r="D997" t="str">
        <f t="shared" si="62"/>
        <v>Friday</v>
      </c>
      <c r="E997">
        <v>48</v>
      </c>
      <c r="F997" s="11">
        <f>VLOOKUP(B997,'ITEMS LIST'!$B$2:$F$19,4,FALSE)</f>
        <v>849</v>
      </c>
      <c r="G997" s="11">
        <f>VLOOKUP(B997,'ITEMS LIST'!$B$2:$F$19,5,FALSE)</f>
        <v>530</v>
      </c>
      <c r="H997" s="11">
        <f t="shared" si="60"/>
        <v>849</v>
      </c>
      <c r="I997" s="11">
        <f t="shared" si="61"/>
        <v>530</v>
      </c>
      <c r="J997" s="11">
        <f t="shared" si="63"/>
        <v>319</v>
      </c>
    </row>
    <row r="998" spans="1:10" x14ac:dyDescent="0.3">
      <c r="A998" s="7">
        <v>44890.333333332528</v>
      </c>
      <c r="B998" s="8" t="s">
        <v>6</v>
      </c>
      <c r="C998" s="8">
        <v>0</v>
      </c>
      <c r="D998" t="str">
        <f t="shared" si="62"/>
        <v>Friday</v>
      </c>
      <c r="E998">
        <v>48</v>
      </c>
      <c r="F998" s="11">
        <f>VLOOKUP(B998,'ITEMS LIST'!$B$2:$F$19,4,FALSE)</f>
        <v>1000</v>
      </c>
      <c r="G998" s="11">
        <f>VLOOKUP(B998,'ITEMS LIST'!$B$2:$F$19,5,FALSE)</f>
        <v>768</v>
      </c>
      <c r="H998" s="11">
        <f t="shared" si="60"/>
        <v>0</v>
      </c>
      <c r="I998" s="11">
        <f t="shared" si="61"/>
        <v>0</v>
      </c>
      <c r="J998" s="11">
        <f t="shared" si="63"/>
        <v>0</v>
      </c>
    </row>
    <row r="999" spans="1:10" x14ac:dyDescent="0.3">
      <c r="A999" s="7">
        <v>44890.388888888083</v>
      </c>
      <c r="B999" s="8" t="s">
        <v>7</v>
      </c>
      <c r="C999" s="8">
        <v>0</v>
      </c>
      <c r="D999" t="str">
        <f t="shared" si="62"/>
        <v>Friday</v>
      </c>
      <c r="E999">
        <v>48</v>
      </c>
      <c r="F999" s="11">
        <f>VLOOKUP(B999,'ITEMS LIST'!$B$2:$F$19,4,FALSE)</f>
        <v>680</v>
      </c>
      <c r="G999" s="11">
        <f>VLOOKUP(B999,'ITEMS LIST'!$B$2:$F$19,5,FALSE)</f>
        <v>570</v>
      </c>
      <c r="H999" s="11">
        <f t="shared" si="60"/>
        <v>0</v>
      </c>
      <c r="I999" s="11">
        <f t="shared" si="61"/>
        <v>0</v>
      </c>
      <c r="J999" s="11">
        <f t="shared" si="63"/>
        <v>0</v>
      </c>
    </row>
    <row r="1000" spans="1:10" x14ac:dyDescent="0.3">
      <c r="A1000" s="7">
        <v>44890.444444443638</v>
      </c>
      <c r="B1000" s="8" t="s">
        <v>8</v>
      </c>
      <c r="C1000" s="8">
        <v>0</v>
      </c>
      <c r="D1000" t="str">
        <f t="shared" si="62"/>
        <v>Friday</v>
      </c>
      <c r="E1000">
        <v>48</v>
      </c>
      <c r="F1000" s="11">
        <f>VLOOKUP(B1000,'ITEMS LIST'!$B$2:$F$19,4,FALSE)</f>
        <v>199</v>
      </c>
      <c r="G1000" s="11">
        <f>VLOOKUP(B1000,'ITEMS LIST'!$B$2:$F$19,5,FALSE)</f>
        <v>140</v>
      </c>
      <c r="H1000" s="11">
        <f t="shared" si="60"/>
        <v>0</v>
      </c>
      <c r="I1000" s="11">
        <f t="shared" si="61"/>
        <v>0</v>
      </c>
      <c r="J1000" s="11">
        <f t="shared" si="63"/>
        <v>0</v>
      </c>
    </row>
    <row r="1001" spans="1:10" x14ac:dyDescent="0.3">
      <c r="A1001" s="7">
        <v>44890.499999999192</v>
      </c>
      <c r="B1001" s="8" t="s">
        <v>9</v>
      </c>
      <c r="C1001" s="8">
        <v>0</v>
      </c>
      <c r="D1001" t="str">
        <f t="shared" si="62"/>
        <v>Friday</v>
      </c>
      <c r="E1001">
        <v>48</v>
      </c>
      <c r="F1001" s="11">
        <f>VLOOKUP(B1001,'ITEMS LIST'!$B$2:$F$19,4,FALSE)</f>
        <v>219</v>
      </c>
      <c r="G1001" s="11">
        <f>VLOOKUP(B1001,'ITEMS LIST'!$B$2:$F$19,5,FALSE)</f>
        <v>132</v>
      </c>
      <c r="H1001" s="11">
        <f t="shared" si="60"/>
        <v>0</v>
      </c>
      <c r="I1001" s="11">
        <f t="shared" si="61"/>
        <v>0</v>
      </c>
      <c r="J1001" s="11">
        <f t="shared" si="63"/>
        <v>0</v>
      </c>
    </row>
    <row r="1002" spans="1:10" x14ac:dyDescent="0.3">
      <c r="A1002" s="7">
        <v>44890.555555554747</v>
      </c>
      <c r="B1002" s="8" t="s">
        <v>10</v>
      </c>
      <c r="C1002" s="8">
        <v>2</v>
      </c>
      <c r="D1002" t="str">
        <f t="shared" si="62"/>
        <v>Friday</v>
      </c>
      <c r="E1002">
        <v>48</v>
      </c>
      <c r="F1002" s="11">
        <f>VLOOKUP(B1002,'ITEMS LIST'!$B$2:$F$19,4,FALSE)</f>
        <v>1469</v>
      </c>
      <c r="G1002" s="11">
        <f>VLOOKUP(B1002,'ITEMS LIST'!$B$2:$F$19,5,FALSE)</f>
        <v>1184</v>
      </c>
      <c r="H1002" s="11">
        <f t="shared" si="60"/>
        <v>2938</v>
      </c>
      <c r="I1002" s="11">
        <f t="shared" si="61"/>
        <v>2368</v>
      </c>
      <c r="J1002" s="11">
        <f t="shared" si="63"/>
        <v>570</v>
      </c>
    </row>
    <row r="1003" spans="1:10" x14ac:dyDescent="0.3">
      <c r="A1003" s="7">
        <v>44890.611111110302</v>
      </c>
      <c r="B1003" s="8" t="s">
        <v>11</v>
      </c>
      <c r="C1003" s="8">
        <v>0</v>
      </c>
      <c r="D1003" t="str">
        <f t="shared" si="62"/>
        <v>Friday</v>
      </c>
      <c r="E1003">
        <v>48</v>
      </c>
      <c r="F1003" s="11">
        <f>VLOOKUP(B1003,'ITEMS LIST'!$B$2:$F$19,4,FALSE)</f>
        <v>89</v>
      </c>
      <c r="G1003" s="11">
        <f>VLOOKUP(B1003,'ITEMS LIST'!$B$2:$F$19,5,FALSE)</f>
        <v>59</v>
      </c>
      <c r="H1003" s="11">
        <f t="shared" si="60"/>
        <v>0</v>
      </c>
      <c r="I1003" s="11">
        <f t="shared" si="61"/>
        <v>0</v>
      </c>
      <c r="J1003" s="11">
        <f t="shared" si="63"/>
        <v>0</v>
      </c>
    </row>
    <row r="1004" spans="1:10" x14ac:dyDescent="0.3">
      <c r="A1004" s="7">
        <v>44890.666666665857</v>
      </c>
      <c r="B1004" s="8" t="s">
        <v>12</v>
      </c>
      <c r="C1004" s="8">
        <v>0</v>
      </c>
      <c r="D1004" t="str">
        <f t="shared" si="62"/>
        <v>Friday</v>
      </c>
      <c r="E1004">
        <v>48</v>
      </c>
      <c r="F1004" s="11">
        <f>VLOOKUP(B1004,'ITEMS LIST'!$B$2:$F$19,4,FALSE)</f>
        <v>310</v>
      </c>
      <c r="G1004" s="11">
        <f>VLOOKUP(B1004,'ITEMS LIST'!$B$2:$F$19,5,FALSE)</f>
        <v>206</v>
      </c>
      <c r="H1004" s="11">
        <f t="shared" si="60"/>
        <v>0</v>
      </c>
      <c r="I1004" s="11">
        <f t="shared" si="61"/>
        <v>0</v>
      </c>
      <c r="J1004" s="11">
        <f t="shared" si="63"/>
        <v>0</v>
      </c>
    </row>
    <row r="1005" spans="1:10" x14ac:dyDescent="0.3">
      <c r="A1005" s="7">
        <v>44890.722222221411</v>
      </c>
      <c r="B1005" s="8" t="s">
        <v>13</v>
      </c>
      <c r="C1005" s="8">
        <v>0</v>
      </c>
      <c r="D1005" t="str">
        <f t="shared" si="62"/>
        <v>Friday</v>
      </c>
      <c r="E1005">
        <v>48</v>
      </c>
      <c r="F1005" s="11">
        <f>VLOOKUP(B1005,'ITEMS LIST'!$B$2:$F$19,4,FALSE)</f>
        <v>540</v>
      </c>
      <c r="G1005" s="11">
        <f>VLOOKUP(B1005,'ITEMS LIST'!$B$2:$F$19,5,FALSE)</f>
        <v>397</v>
      </c>
      <c r="H1005" s="11">
        <f t="shared" si="60"/>
        <v>0</v>
      </c>
      <c r="I1005" s="11">
        <f t="shared" si="61"/>
        <v>0</v>
      </c>
      <c r="J1005" s="11">
        <f t="shared" si="63"/>
        <v>0</v>
      </c>
    </row>
    <row r="1006" spans="1:10" x14ac:dyDescent="0.3">
      <c r="A1006" s="7">
        <v>44890.777777776966</v>
      </c>
      <c r="B1006" s="8" t="s">
        <v>14</v>
      </c>
      <c r="C1006" s="8">
        <v>0</v>
      </c>
      <c r="D1006" t="str">
        <f t="shared" si="62"/>
        <v>Friday</v>
      </c>
      <c r="E1006">
        <v>48</v>
      </c>
      <c r="F1006" s="11">
        <f>VLOOKUP(B1006,'ITEMS LIST'!$B$2:$F$19,4,FALSE)</f>
        <v>360</v>
      </c>
      <c r="G1006" s="11">
        <f>VLOOKUP(B1006,'ITEMS LIST'!$B$2:$F$19,5,FALSE)</f>
        <v>248</v>
      </c>
      <c r="H1006" s="11">
        <f t="shared" si="60"/>
        <v>0</v>
      </c>
      <c r="I1006" s="11">
        <f t="shared" si="61"/>
        <v>0</v>
      </c>
      <c r="J1006" s="11">
        <f t="shared" si="63"/>
        <v>0</v>
      </c>
    </row>
    <row r="1007" spans="1:10" x14ac:dyDescent="0.3">
      <c r="A1007" s="7">
        <v>44890.833333332521</v>
      </c>
      <c r="B1007" s="8" t="s">
        <v>15</v>
      </c>
      <c r="C1007" s="8">
        <v>0</v>
      </c>
      <c r="D1007" t="str">
        <f t="shared" si="62"/>
        <v>Friday</v>
      </c>
      <c r="E1007">
        <v>48</v>
      </c>
      <c r="F1007" s="11">
        <f>VLOOKUP(B1007,'ITEMS LIST'!$B$2:$F$19,4,FALSE)</f>
        <v>250</v>
      </c>
      <c r="G1007" s="11">
        <f>VLOOKUP(B1007,'ITEMS LIST'!$B$2:$F$19,5,FALSE)</f>
        <v>190</v>
      </c>
      <c r="H1007" s="11">
        <f t="shared" si="60"/>
        <v>0</v>
      </c>
      <c r="I1007" s="11">
        <f t="shared" si="61"/>
        <v>0</v>
      </c>
      <c r="J1007" s="11">
        <f t="shared" si="63"/>
        <v>0</v>
      </c>
    </row>
    <row r="1008" spans="1:10" x14ac:dyDescent="0.3">
      <c r="A1008" s="7">
        <v>44890.888888888076</v>
      </c>
      <c r="B1008" s="8" t="s">
        <v>16</v>
      </c>
      <c r="C1008" s="8">
        <v>0</v>
      </c>
      <c r="D1008" t="str">
        <f t="shared" si="62"/>
        <v>Friday</v>
      </c>
      <c r="E1008">
        <v>48</v>
      </c>
      <c r="F1008" s="11">
        <f>VLOOKUP(B1008,'ITEMS LIST'!$B$2:$F$19,4,FALSE)</f>
        <v>120</v>
      </c>
      <c r="G1008" s="11">
        <f>VLOOKUP(B1008,'ITEMS LIST'!$B$2:$F$19,5,FALSE)</f>
        <v>85</v>
      </c>
      <c r="H1008" s="11">
        <f t="shared" si="60"/>
        <v>0</v>
      </c>
      <c r="I1008" s="11">
        <f t="shared" si="61"/>
        <v>0</v>
      </c>
      <c r="J1008" s="11">
        <f t="shared" si="63"/>
        <v>0</v>
      </c>
    </row>
    <row r="1009" spans="1:10" x14ac:dyDescent="0.3">
      <c r="A1009" s="7">
        <v>44890.94444444363</v>
      </c>
      <c r="B1009" s="8" t="s">
        <v>17</v>
      </c>
      <c r="C1009" s="8">
        <v>0</v>
      </c>
      <c r="D1009" t="str">
        <f t="shared" si="62"/>
        <v>Friday</v>
      </c>
      <c r="E1009">
        <v>48</v>
      </c>
      <c r="F1009" s="11">
        <f>VLOOKUP(B1009,'ITEMS LIST'!$B$2:$F$19,4,FALSE)</f>
        <v>80</v>
      </c>
      <c r="G1009" s="11">
        <f>VLOOKUP(B1009,'ITEMS LIST'!$B$2:$F$19,5,FALSE)</f>
        <v>55</v>
      </c>
      <c r="H1009" s="11">
        <f t="shared" si="60"/>
        <v>0</v>
      </c>
      <c r="I1009" s="11">
        <f t="shared" si="61"/>
        <v>0</v>
      </c>
      <c r="J1009" s="11">
        <f t="shared" si="63"/>
        <v>0</v>
      </c>
    </row>
    <row r="1010" spans="1:10" x14ac:dyDescent="0.3">
      <c r="A1010" s="7">
        <v>44890.999999999185</v>
      </c>
      <c r="B1010" s="8" t="s">
        <v>0</v>
      </c>
      <c r="C1010" s="8">
        <v>0</v>
      </c>
      <c r="D1010" t="str">
        <f t="shared" si="62"/>
        <v>Saturday</v>
      </c>
      <c r="E1010">
        <v>48</v>
      </c>
      <c r="F1010" s="11">
        <f>VLOOKUP(B1010,'ITEMS LIST'!$B$2:$F$19,4,FALSE)</f>
        <v>549</v>
      </c>
      <c r="G1010" s="11">
        <f>VLOOKUP(B1010,'ITEMS LIST'!$B$2:$F$19,5,FALSE)</f>
        <v>365</v>
      </c>
      <c r="H1010" s="11">
        <f t="shared" si="60"/>
        <v>0</v>
      </c>
      <c r="I1010" s="11">
        <f t="shared" si="61"/>
        <v>0</v>
      </c>
      <c r="J1010" s="11">
        <f t="shared" si="63"/>
        <v>0</v>
      </c>
    </row>
    <row r="1011" spans="1:10" x14ac:dyDescent="0.3">
      <c r="A1011" s="7">
        <v>44891.05555555474</v>
      </c>
      <c r="B1011" s="8" t="s">
        <v>1</v>
      </c>
      <c r="C1011" s="8">
        <v>2</v>
      </c>
      <c r="D1011" t="str">
        <f t="shared" si="62"/>
        <v>Saturday</v>
      </c>
      <c r="E1011">
        <v>48</v>
      </c>
      <c r="F1011" s="11">
        <f>VLOOKUP(B1011,'ITEMS LIST'!$B$2:$F$19,4,FALSE)</f>
        <v>699</v>
      </c>
      <c r="G1011" s="11">
        <f>VLOOKUP(B1011,'ITEMS LIST'!$B$2:$F$19,5,FALSE)</f>
        <v>550</v>
      </c>
      <c r="H1011" s="11">
        <f t="shared" si="60"/>
        <v>1398</v>
      </c>
      <c r="I1011" s="11">
        <f t="shared" si="61"/>
        <v>1100</v>
      </c>
      <c r="J1011" s="11">
        <f t="shared" si="63"/>
        <v>298</v>
      </c>
    </row>
    <row r="1012" spans="1:10" x14ac:dyDescent="0.3">
      <c r="A1012" s="7">
        <v>44891.111111110295</v>
      </c>
      <c r="B1012" s="8" t="s">
        <v>2</v>
      </c>
      <c r="C1012" s="8">
        <v>0</v>
      </c>
      <c r="D1012" t="str">
        <f t="shared" si="62"/>
        <v>Saturday</v>
      </c>
      <c r="E1012">
        <v>48</v>
      </c>
      <c r="F1012" s="11">
        <f>VLOOKUP(B1012,'ITEMS LIST'!$B$2:$F$19,4,FALSE)</f>
        <v>739</v>
      </c>
      <c r="G1012" s="11">
        <f>VLOOKUP(B1012,'ITEMS LIST'!$B$2:$F$19,5,FALSE)</f>
        <v>620</v>
      </c>
      <c r="H1012" s="11">
        <f t="shared" si="60"/>
        <v>0</v>
      </c>
      <c r="I1012" s="11">
        <f t="shared" si="61"/>
        <v>0</v>
      </c>
      <c r="J1012" s="11">
        <f t="shared" si="63"/>
        <v>0</v>
      </c>
    </row>
    <row r="1013" spans="1:10" x14ac:dyDescent="0.3">
      <c r="A1013" s="7">
        <v>44891.166666665849</v>
      </c>
      <c r="B1013" s="8" t="s">
        <v>3</v>
      </c>
      <c r="C1013" s="8">
        <v>0</v>
      </c>
      <c r="D1013" t="str">
        <f t="shared" si="62"/>
        <v>Saturday</v>
      </c>
      <c r="E1013">
        <v>48</v>
      </c>
      <c r="F1013" s="11">
        <f>VLOOKUP(B1013,'ITEMS LIST'!$B$2:$F$19,4,FALSE)</f>
        <v>899</v>
      </c>
      <c r="G1013" s="11">
        <f>VLOOKUP(B1013,'ITEMS LIST'!$B$2:$F$19,5,FALSE)</f>
        <v>714</v>
      </c>
      <c r="H1013" s="11">
        <f t="shared" si="60"/>
        <v>0</v>
      </c>
      <c r="I1013" s="11">
        <f t="shared" si="61"/>
        <v>0</v>
      </c>
      <c r="J1013" s="11">
        <f t="shared" si="63"/>
        <v>0</v>
      </c>
    </row>
    <row r="1014" spans="1:10" x14ac:dyDescent="0.3">
      <c r="A1014" s="7">
        <v>44891.222222221404</v>
      </c>
      <c r="B1014" s="8" t="s">
        <v>4</v>
      </c>
      <c r="C1014" s="8">
        <v>0</v>
      </c>
      <c r="D1014" t="str">
        <f t="shared" si="62"/>
        <v>Saturday</v>
      </c>
      <c r="E1014">
        <v>48</v>
      </c>
      <c r="F1014" s="11">
        <f>VLOOKUP(B1014,'ITEMS LIST'!$B$2:$F$19,4,FALSE)</f>
        <v>1379</v>
      </c>
      <c r="G1014" s="11">
        <f>VLOOKUP(B1014,'ITEMS LIST'!$B$2:$F$19,5,FALSE)</f>
        <v>890</v>
      </c>
      <c r="H1014" s="11">
        <f t="shared" si="60"/>
        <v>0</v>
      </c>
      <c r="I1014" s="11">
        <f t="shared" si="61"/>
        <v>0</v>
      </c>
      <c r="J1014" s="11">
        <f t="shared" si="63"/>
        <v>0</v>
      </c>
    </row>
    <row r="1015" spans="1:10" x14ac:dyDescent="0.3">
      <c r="A1015" s="7">
        <v>44891.277777776959</v>
      </c>
      <c r="B1015" s="8" t="s">
        <v>5</v>
      </c>
      <c r="C1015" s="8">
        <v>0</v>
      </c>
      <c r="D1015" t="str">
        <f t="shared" si="62"/>
        <v>Saturday</v>
      </c>
      <c r="E1015">
        <v>48</v>
      </c>
      <c r="F1015" s="11">
        <f>VLOOKUP(B1015,'ITEMS LIST'!$B$2:$F$19,4,FALSE)</f>
        <v>849</v>
      </c>
      <c r="G1015" s="11">
        <f>VLOOKUP(B1015,'ITEMS LIST'!$B$2:$F$19,5,FALSE)</f>
        <v>530</v>
      </c>
      <c r="H1015" s="11">
        <f t="shared" si="60"/>
        <v>0</v>
      </c>
      <c r="I1015" s="11">
        <f t="shared" si="61"/>
        <v>0</v>
      </c>
      <c r="J1015" s="11">
        <f t="shared" si="63"/>
        <v>0</v>
      </c>
    </row>
    <row r="1016" spans="1:10" x14ac:dyDescent="0.3">
      <c r="A1016" s="7">
        <v>44891.333333332514</v>
      </c>
      <c r="B1016" s="8" t="s">
        <v>6</v>
      </c>
      <c r="C1016" s="8">
        <v>1</v>
      </c>
      <c r="D1016" t="str">
        <f t="shared" si="62"/>
        <v>Saturday</v>
      </c>
      <c r="E1016">
        <v>48</v>
      </c>
      <c r="F1016" s="11">
        <f>VLOOKUP(B1016,'ITEMS LIST'!$B$2:$F$19,4,FALSE)</f>
        <v>1000</v>
      </c>
      <c r="G1016" s="11">
        <f>VLOOKUP(B1016,'ITEMS LIST'!$B$2:$F$19,5,FALSE)</f>
        <v>768</v>
      </c>
      <c r="H1016" s="11">
        <f t="shared" si="60"/>
        <v>1000</v>
      </c>
      <c r="I1016" s="11">
        <f t="shared" si="61"/>
        <v>768</v>
      </c>
      <c r="J1016" s="11">
        <f t="shared" si="63"/>
        <v>232</v>
      </c>
    </row>
    <row r="1017" spans="1:10" x14ac:dyDescent="0.3">
      <c r="A1017" s="7">
        <v>44891.388888888068</v>
      </c>
      <c r="B1017" s="8" t="s">
        <v>7</v>
      </c>
      <c r="C1017" s="8">
        <v>0</v>
      </c>
      <c r="D1017" t="str">
        <f t="shared" si="62"/>
        <v>Saturday</v>
      </c>
      <c r="E1017">
        <v>48</v>
      </c>
      <c r="F1017" s="11">
        <f>VLOOKUP(B1017,'ITEMS LIST'!$B$2:$F$19,4,FALSE)</f>
        <v>680</v>
      </c>
      <c r="G1017" s="11">
        <f>VLOOKUP(B1017,'ITEMS LIST'!$B$2:$F$19,5,FALSE)</f>
        <v>570</v>
      </c>
      <c r="H1017" s="11">
        <f t="shared" si="60"/>
        <v>0</v>
      </c>
      <c r="I1017" s="11">
        <f t="shared" si="61"/>
        <v>0</v>
      </c>
      <c r="J1017" s="11">
        <f t="shared" si="63"/>
        <v>0</v>
      </c>
    </row>
    <row r="1018" spans="1:10" x14ac:dyDescent="0.3">
      <c r="A1018" s="7">
        <v>44891.444444443623</v>
      </c>
      <c r="B1018" s="8" t="s">
        <v>8</v>
      </c>
      <c r="C1018" s="8">
        <v>0</v>
      </c>
      <c r="D1018" t="str">
        <f t="shared" si="62"/>
        <v>Saturday</v>
      </c>
      <c r="E1018">
        <v>48</v>
      </c>
      <c r="F1018" s="11">
        <f>VLOOKUP(B1018,'ITEMS LIST'!$B$2:$F$19,4,FALSE)</f>
        <v>199</v>
      </c>
      <c r="G1018" s="11">
        <f>VLOOKUP(B1018,'ITEMS LIST'!$B$2:$F$19,5,FALSE)</f>
        <v>140</v>
      </c>
      <c r="H1018" s="11">
        <f t="shared" si="60"/>
        <v>0</v>
      </c>
      <c r="I1018" s="11">
        <f t="shared" si="61"/>
        <v>0</v>
      </c>
      <c r="J1018" s="11">
        <f t="shared" si="63"/>
        <v>0</v>
      </c>
    </row>
    <row r="1019" spans="1:10" x14ac:dyDescent="0.3">
      <c r="A1019" s="7">
        <v>44891.499999999178</v>
      </c>
      <c r="B1019" s="8" t="s">
        <v>9</v>
      </c>
      <c r="C1019" s="8">
        <v>0</v>
      </c>
      <c r="D1019" t="str">
        <f t="shared" si="62"/>
        <v>Saturday</v>
      </c>
      <c r="E1019">
        <v>48</v>
      </c>
      <c r="F1019" s="11">
        <f>VLOOKUP(B1019,'ITEMS LIST'!$B$2:$F$19,4,FALSE)</f>
        <v>219</v>
      </c>
      <c r="G1019" s="11">
        <f>VLOOKUP(B1019,'ITEMS LIST'!$B$2:$F$19,5,FALSE)</f>
        <v>132</v>
      </c>
      <c r="H1019" s="11">
        <f t="shared" si="60"/>
        <v>0</v>
      </c>
      <c r="I1019" s="11">
        <f t="shared" si="61"/>
        <v>0</v>
      </c>
      <c r="J1019" s="11">
        <f t="shared" si="63"/>
        <v>0</v>
      </c>
    </row>
    <row r="1020" spans="1:10" x14ac:dyDescent="0.3">
      <c r="A1020" s="7">
        <v>44891.555555554733</v>
      </c>
      <c r="B1020" s="8" t="s">
        <v>10</v>
      </c>
      <c r="C1020" s="8">
        <v>0</v>
      </c>
      <c r="D1020" t="str">
        <f t="shared" si="62"/>
        <v>Saturday</v>
      </c>
      <c r="E1020">
        <v>48</v>
      </c>
      <c r="F1020" s="11">
        <f>VLOOKUP(B1020,'ITEMS LIST'!$B$2:$F$19,4,FALSE)</f>
        <v>1469</v>
      </c>
      <c r="G1020" s="11">
        <f>VLOOKUP(B1020,'ITEMS LIST'!$B$2:$F$19,5,FALSE)</f>
        <v>1184</v>
      </c>
      <c r="H1020" s="11">
        <f t="shared" si="60"/>
        <v>0</v>
      </c>
      <c r="I1020" s="11">
        <f t="shared" si="61"/>
        <v>0</v>
      </c>
      <c r="J1020" s="11">
        <f t="shared" si="63"/>
        <v>0</v>
      </c>
    </row>
    <row r="1021" spans="1:10" x14ac:dyDescent="0.3">
      <c r="A1021" s="7">
        <v>44891.611111110287</v>
      </c>
      <c r="B1021" s="8" t="s">
        <v>11</v>
      </c>
      <c r="C1021" s="8">
        <v>0</v>
      </c>
      <c r="D1021" t="str">
        <f t="shared" si="62"/>
        <v>Saturday</v>
      </c>
      <c r="E1021">
        <v>48</v>
      </c>
      <c r="F1021" s="11">
        <f>VLOOKUP(B1021,'ITEMS LIST'!$B$2:$F$19,4,FALSE)</f>
        <v>89</v>
      </c>
      <c r="G1021" s="11">
        <f>VLOOKUP(B1021,'ITEMS LIST'!$B$2:$F$19,5,FALSE)</f>
        <v>59</v>
      </c>
      <c r="H1021" s="11">
        <f t="shared" si="60"/>
        <v>0</v>
      </c>
      <c r="I1021" s="11">
        <f t="shared" si="61"/>
        <v>0</v>
      </c>
      <c r="J1021" s="11">
        <f t="shared" si="63"/>
        <v>0</v>
      </c>
    </row>
    <row r="1022" spans="1:10" x14ac:dyDescent="0.3">
      <c r="A1022" s="7">
        <v>44891.666666665842</v>
      </c>
      <c r="B1022" s="8" t="s">
        <v>12</v>
      </c>
      <c r="C1022" s="8">
        <v>0</v>
      </c>
      <c r="D1022" t="str">
        <f t="shared" si="62"/>
        <v>Saturday</v>
      </c>
      <c r="E1022">
        <v>48</v>
      </c>
      <c r="F1022" s="11">
        <f>VLOOKUP(B1022,'ITEMS LIST'!$B$2:$F$19,4,FALSE)</f>
        <v>310</v>
      </c>
      <c r="G1022" s="11">
        <f>VLOOKUP(B1022,'ITEMS LIST'!$B$2:$F$19,5,FALSE)</f>
        <v>206</v>
      </c>
      <c r="H1022" s="11">
        <f t="shared" si="60"/>
        <v>0</v>
      </c>
      <c r="I1022" s="11">
        <f t="shared" si="61"/>
        <v>0</v>
      </c>
      <c r="J1022" s="11">
        <f t="shared" si="63"/>
        <v>0</v>
      </c>
    </row>
    <row r="1023" spans="1:10" x14ac:dyDescent="0.3">
      <c r="A1023" s="7">
        <v>44891.722222221397</v>
      </c>
      <c r="B1023" s="8" t="s">
        <v>13</v>
      </c>
      <c r="C1023" s="8">
        <v>0</v>
      </c>
      <c r="D1023" t="str">
        <f t="shared" si="62"/>
        <v>Saturday</v>
      </c>
      <c r="E1023">
        <v>48</v>
      </c>
      <c r="F1023" s="11">
        <f>VLOOKUP(B1023,'ITEMS LIST'!$B$2:$F$19,4,FALSE)</f>
        <v>540</v>
      </c>
      <c r="G1023" s="11">
        <f>VLOOKUP(B1023,'ITEMS LIST'!$B$2:$F$19,5,FALSE)</f>
        <v>397</v>
      </c>
      <c r="H1023" s="11">
        <f t="shared" si="60"/>
        <v>0</v>
      </c>
      <c r="I1023" s="11">
        <f t="shared" si="61"/>
        <v>0</v>
      </c>
      <c r="J1023" s="11">
        <f t="shared" si="63"/>
        <v>0</v>
      </c>
    </row>
    <row r="1024" spans="1:10" x14ac:dyDescent="0.3">
      <c r="A1024" s="7">
        <v>44891.777777776952</v>
      </c>
      <c r="B1024" s="8" t="s">
        <v>14</v>
      </c>
      <c r="C1024" s="8">
        <v>0</v>
      </c>
      <c r="D1024" t="str">
        <f t="shared" si="62"/>
        <v>Saturday</v>
      </c>
      <c r="E1024">
        <v>48</v>
      </c>
      <c r="F1024" s="11">
        <f>VLOOKUP(B1024,'ITEMS LIST'!$B$2:$F$19,4,FALSE)</f>
        <v>360</v>
      </c>
      <c r="G1024" s="11">
        <f>VLOOKUP(B1024,'ITEMS LIST'!$B$2:$F$19,5,FALSE)</f>
        <v>248</v>
      </c>
      <c r="H1024" s="11">
        <f t="shared" si="60"/>
        <v>0</v>
      </c>
      <c r="I1024" s="11">
        <f t="shared" si="61"/>
        <v>0</v>
      </c>
      <c r="J1024" s="11">
        <f t="shared" si="63"/>
        <v>0</v>
      </c>
    </row>
    <row r="1025" spans="1:10" x14ac:dyDescent="0.3">
      <c r="A1025" s="7">
        <v>44891.833333332506</v>
      </c>
      <c r="B1025" s="8" t="s">
        <v>15</v>
      </c>
      <c r="C1025" s="8">
        <v>0</v>
      </c>
      <c r="D1025" t="str">
        <f t="shared" si="62"/>
        <v>Saturday</v>
      </c>
      <c r="E1025">
        <v>48</v>
      </c>
      <c r="F1025" s="11">
        <f>VLOOKUP(B1025,'ITEMS LIST'!$B$2:$F$19,4,FALSE)</f>
        <v>250</v>
      </c>
      <c r="G1025" s="11">
        <f>VLOOKUP(B1025,'ITEMS LIST'!$B$2:$F$19,5,FALSE)</f>
        <v>190</v>
      </c>
      <c r="H1025" s="11">
        <f t="shared" si="60"/>
        <v>0</v>
      </c>
      <c r="I1025" s="11">
        <f t="shared" si="61"/>
        <v>0</v>
      </c>
      <c r="J1025" s="11">
        <f t="shared" si="63"/>
        <v>0</v>
      </c>
    </row>
    <row r="1026" spans="1:10" x14ac:dyDescent="0.3">
      <c r="A1026" s="7">
        <v>44891.888888888061</v>
      </c>
      <c r="B1026" s="8" t="s">
        <v>16</v>
      </c>
      <c r="C1026" s="8">
        <v>0</v>
      </c>
      <c r="D1026" t="str">
        <f t="shared" si="62"/>
        <v>Saturday</v>
      </c>
      <c r="E1026">
        <v>48</v>
      </c>
      <c r="F1026" s="11">
        <f>VLOOKUP(B1026,'ITEMS LIST'!$B$2:$F$19,4,FALSE)</f>
        <v>120</v>
      </c>
      <c r="G1026" s="11">
        <f>VLOOKUP(B1026,'ITEMS LIST'!$B$2:$F$19,5,FALSE)</f>
        <v>85</v>
      </c>
      <c r="H1026" s="11">
        <f t="shared" ref="H1026:H1089" si="64">C1026*F1026</f>
        <v>0</v>
      </c>
      <c r="I1026" s="11">
        <f t="shared" ref="I1026:I1089" si="65">C1026*G1026</f>
        <v>0</v>
      </c>
      <c r="J1026" s="11">
        <f t="shared" si="63"/>
        <v>0</v>
      </c>
    </row>
    <row r="1027" spans="1:10" x14ac:dyDescent="0.3">
      <c r="A1027" s="7">
        <v>44891.944444443616</v>
      </c>
      <c r="B1027" s="8" t="s">
        <v>17</v>
      </c>
      <c r="C1027" s="8">
        <v>0</v>
      </c>
      <c r="D1027" t="str">
        <f t="shared" ref="D1027:D1090" si="66">TEXT(A1027,"dddd")</f>
        <v>Saturday</v>
      </c>
      <c r="E1027">
        <v>48</v>
      </c>
      <c r="F1027" s="11">
        <f>VLOOKUP(B1027,'ITEMS LIST'!$B$2:$F$19,4,FALSE)</f>
        <v>80</v>
      </c>
      <c r="G1027" s="11">
        <f>VLOOKUP(B1027,'ITEMS LIST'!$B$2:$F$19,5,FALSE)</f>
        <v>55</v>
      </c>
      <c r="H1027" s="11">
        <f t="shared" si="64"/>
        <v>0</v>
      </c>
      <c r="I1027" s="11">
        <f t="shared" si="65"/>
        <v>0</v>
      </c>
      <c r="J1027" s="11">
        <f t="shared" ref="J1027:J1090" si="67">H1027-I1027</f>
        <v>0</v>
      </c>
    </row>
    <row r="1028" spans="1:10" x14ac:dyDescent="0.3">
      <c r="A1028" s="7">
        <v>44891.999999999171</v>
      </c>
      <c r="B1028" s="8" t="s">
        <v>0</v>
      </c>
      <c r="C1028" s="8">
        <v>0</v>
      </c>
      <c r="D1028" t="str">
        <f t="shared" si="66"/>
        <v>Sunday</v>
      </c>
      <c r="E1028">
        <v>49</v>
      </c>
      <c r="F1028" s="11">
        <f>VLOOKUP(B1028,'ITEMS LIST'!$B$2:$F$19,4,FALSE)</f>
        <v>549</v>
      </c>
      <c r="G1028" s="11">
        <f>VLOOKUP(B1028,'ITEMS LIST'!$B$2:$F$19,5,FALSE)</f>
        <v>365</v>
      </c>
      <c r="H1028" s="11">
        <f t="shared" si="64"/>
        <v>0</v>
      </c>
      <c r="I1028" s="11">
        <f t="shared" si="65"/>
        <v>0</v>
      </c>
      <c r="J1028" s="11">
        <f t="shared" si="67"/>
        <v>0</v>
      </c>
    </row>
    <row r="1029" spans="1:10" x14ac:dyDescent="0.3">
      <c r="A1029" s="7">
        <v>44892.055555554725</v>
      </c>
      <c r="B1029" s="8" t="s">
        <v>1</v>
      </c>
      <c r="C1029" s="8">
        <v>1</v>
      </c>
      <c r="D1029" t="str">
        <f t="shared" si="66"/>
        <v>Sunday</v>
      </c>
      <c r="E1029">
        <v>49</v>
      </c>
      <c r="F1029" s="11">
        <f>VLOOKUP(B1029,'ITEMS LIST'!$B$2:$F$19,4,FALSE)</f>
        <v>699</v>
      </c>
      <c r="G1029" s="11">
        <f>VLOOKUP(B1029,'ITEMS LIST'!$B$2:$F$19,5,FALSE)</f>
        <v>550</v>
      </c>
      <c r="H1029" s="11">
        <f t="shared" si="64"/>
        <v>699</v>
      </c>
      <c r="I1029" s="11">
        <f t="shared" si="65"/>
        <v>550</v>
      </c>
      <c r="J1029" s="11">
        <f t="shared" si="67"/>
        <v>149</v>
      </c>
    </row>
    <row r="1030" spans="1:10" x14ac:dyDescent="0.3">
      <c r="A1030" s="7">
        <v>44892.11111111028</v>
      </c>
      <c r="B1030" s="8" t="s">
        <v>2</v>
      </c>
      <c r="C1030" s="8">
        <v>0</v>
      </c>
      <c r="D1030" t="str">
        <f t="shared" si="66"/>
        <v>Sunday</v>
      </c>
      <c r="E1030">
        <v>49</v>
      </c>
      <c r="F1030" s="11">
        <f>VLOOKUP(B1030,'ITEMS LIST'!$B$2:$F$19,4,FALSE)</f>
        <v>739</v>
      </c>
      <c r="G1030" s="11">
        <f>VLOOKUP(B1030,'ITEMS LIST'!$B$2:$F$19,5,FALSE)</f>
        <v>620</v>
      </c>
      <c r="H1030" s="11">
        <f t="shared" si="64"/>
        <v>0</v>
      </c>
      <c r="I1030" s="11">
        <f t="shared" si="65"/>
        <v>0</v>
      </c>
      <c r="J1030" s="11">
        <f t="shared" si="67"/>
        <v>0</v>
      </c>
    </row>
    <row r="1031" spans="1:10" x14ac:dyDescent="0.3">
      <c r="A1031" s="7">
        <v>44892.166666665835</v>
      </c>
      <c r="B1031" s="8" t="s">
        <v>3</v>
      </c>
      <c r="C1031" s="8">
        <v>0</v>
      </c>
      <c r="D1031" t="str">
        <f t="shared" si="66"/>
        <v>Sunday</v>
      </c>
      <c r="E1031">
        <v>49</v>
      </c>
      <c r="F1031" s="11">
        <f>VLOOKUP(B1031,'ITEMS LIST'!$B$2:$F$19,4,FALSE)</f>
        <v>899</v>
      </c>
      <c r="G1031" s="11">
        <f>VLOOKUP(B1031,'ITEMS LIST'!$B$2:$F$19,5,FALSE)</f>
        <v>714</v>
      </c>
      <c r="H1031" s="11">
        <f t="shared" si="64"/>
        <v>0</v>
      </c>
      <c r="I1031" s="11">
        <f t="shared" si="65"/>
        <v>0</v>
      </c>
      <c r="J1031" s="11">
        <f t="shared" si="67"/>
        <v>0</v>
      </c>
    </row>
    <row r="1032" spans="1:10" x14ac:dyDescent="0.3">
      <c r="A1032" s="7">
        <v>44892.22222222139</v>
      </c>
      <c r="B1032" s="8" t="s">
        <v>4</v>
      </c>
      <c r="C1032" s="8">
        <v>0</v>
      </c>
      <c r="D1032" t="str">
        <f t="shared" si="66"/>
        <v>Sunday</v>
      </c>
      <c r="E1032">
        <v>49</v>
      </c>
      <c r="F1032" s="11">
        <f>VLOOKUP(B1032,'ITEMS LIST'!$B$2:$F$19,4,FALSE)</f>
        <v>1379</v>
      </c>
      <c r="G1032" s="11">
        <f>VLOOKUP(B1032,'ITEMS LIST'!$B$2:$F$19,5,FALSE)</f>
        <v>890</v>
      </c>
      <c r="H1032" s="11">
        <f t="shared" si="64"/>
        <v>0</v>
      </c>
      <c r="I1032" s="11">
        <f t="shared" si="65"/>
        <v>0</v>
      </c>
      <c r="J1032" s="11">
        <f t="shared" si="67"/>
        <v>0</v>
      </c>
    </row>
    <row r="1033" spans="1:10" x14ac:dyDescent="0.3">
      <c r="A1033" s="7">
        <v>44892.277777776944</v>
      </c>
      <c r="B1033" s="8" t="s">
        <v>5</v>
      </c>
      <c r="C1033" s="8">
        <v>0</v>
      </c>
      <c r="D1033" t="str">
        <f t="shared" si="66"/>
        <v>Sunday</v>
      </c>
      <c r="E1033">
        <v>49</v>
      </c>
      <c r="F1033" s="11">
        <f>VLOOKUP(B1033,'ITEMS LIST'!$B$2:$F$19,4,FALSE)</f>
        <v>849</v>
      </c>
      <c r="G1033" s="11">
        <f>VLOOKUP(B1033,'ITEMS LIST'!$B$2:$F$19,5,FALSE)</f>
        <v>530</v>
      </c>
      <c r="H1033" s="11">
        <f t="shared" si="64"/>
        <v>0</v>
      </c>
      <c r="I1033" s="11">
        <f t="shared" si="65"/>
        <v>0</v>
      </c>
      <c r="J1033" s="11">
        <f t="shared" si="67"/>
        <v>0</v>
      </c>
    </row>
    <row r="1034" spans="1:10" x14ac:dyDescent="0.3">
      <c r="A1034" s="7">
        <v>44892.333333332499</v>
      </c>
      <c r="B1034" s="8" t="s">
        <v>6</v>
      </c>
      <c r="C1034" s="8">
        <v>0</v>
      </c>
      <c r="D1034" t="str">
        <f t="shared" si="66"/>
        <v>Sunday</v>
      </c>
      <c r="E1034">
        <v>49</v>
      </c>
      <c r="F1034" s="11">
        <f>VLOOKUP(B1034,'ITEMS LIST'!$B$2:$F$19,4,FALSE)</f>
        <v>1000</v>
      </c>
      <c r="G1034" s="11">
        <f>VLOOKUP(B1034,'ITEMS LIST'!$B$2:$F$19,5,FALSE)</f>
        <v>768</v>
      </c>
      <c r="H1034" s="11">
        <f t="shared" si="64"/>
        <v>0</v>
      </c>
      <c r="I1034" s="11">
        <f t="shared" si="65"/>
        <v>0</v>
      </c>
      <c r="J1034" s="11">
        <f t="shared" si="67"/>
        <v>0</v>
      </c>
    </row>
    <row r="1035" spans="1:10" x14ac:dyDescent="0.3">
      <c r="A1035" s="7">
        <v>44892.388888888054</v>
      </c>
      <c r="B1035" s="8" t="s">
        <v>7</v>
      </c>
      <c r="C1035" s="8">
        <v>0</v>
      </c>
      <c r="D1035" t="str">
        <f t="shared" si="66"/>
        <v>Sunday</v>
      </c>
      <c r="E1035">
        <v>49</v>
      </c>
      <c r="F1035" s="11">
        <f>VLOOKUP(B1035,'ITEMS LIST'!$B$2:$F$19,4,FALSE)</f>
        <v>680</v>
      </c>
      <c r="G1035" s="11">
        <f>VLOOKUP(B1035,'ITEMS LIST'!$B$2:$F$19,5,FALSE)</f>
        <v>570</v>
      </c>
      <c r="H1035" s="11">
        <f t="shared" si="64"/>
        <v>0</v>
      </c>
      <c r="I1035" s="11">
        <f t="shared" si="65"/>
        <v>0</v>
      </c>
      <c r="J1035" s="11">
        <f t="shared" si="67"/>
        <v>0</v>
      </c>
    </row>
    <row r="1036" spans="1:10" x14ac:dyDescent="0.3">
      <c r="A1036" s="7">
        <v>44892.444444443609</v>
      </c>
      <c r="B1036" s="8" t="s">
        <v>8</v>
      </c>
      <c r="C1036" s="8">
        <v>0</v>
      </c>
      <c r="D1036" t="str">
        <f t="shared" si="66"/>
        <v>Sunday</v>
      </c>
      <c r="E1036">
        <v>49</v>
      </c>
      <c r="F1036" s="11">
        <f>VLOOKUP(B1036,'ITEMS LIST'!$B$2:$F$19,4,FALSE)</f>
        <v>199</v>
      </c>
      <c r="G1036" s="11">
        <f>VLOOKUP(B1036,'ITEMS LIST'!$B$2:$F$19,5,FALSE)</f>
        <v>140</v>
      </c>
      <c r="H1036" s="11">
        <f t="shared" si="64"/>
        <v>0</v>
      </c>
      <c r="I1036" s="11">
        <f t="shared" si="65"/>
        <v>0</v>
      </c>
      <c r="J1036" s="11">
        <f t="shared" si="67"/>
        <v>0</v>
      </c>
    </row>
    <row r="1037" spans="1:10" x14ac:dyDescent="0.3">
      <c r="A1037" s="7">
        <v>44892.499999999163</v>
      </c>
      <c r="B1037" s="8" t="s">
        <v>9</v>
      </c>
      <c r="C1037" s="8">
        <v>0</v>
      </c>
      <c r="D1037" t="str">
        <f t="shared" si="66"/>
        <v>Sunday</v>
      </c>
      <c r="E1037">
        <v>49</v>
      </c>
      <c r="F1037" s="11">
        <f>VLOOKUP(B1037,'ITEMS LIST'!$B$2:$F$19,4,FALSE)</f>
        <v>219</v>
      </c>
      <c r="G1037" s="11">
        <f>VLOOKUP(B1037,'ITEMS LIST'!$B$2:$F$19,5,FALSE)</f>
        <v>132</v>
      </c>
      <c r="H1037" s="11">
        <f t="shared" si="64"/>
        <v>0</v>
      </c>
      <c r="I1037" s="11">
        <f t="shared" si="65"/>
        <v>0</v>
      </c>
      <c r="J1037" s="11">
        <f t="shared" si="67"/>
        <v>0</v>
      </c>
    </row>
    <row r="1038" spans="1:10" x14ac:dyDescent="0.3">
      <c r="A1038" s="7">
        <v>44892.555555554718</v>
      </c>
      <c r="B1038" s="8" t="s">
        <v>10</v>
      </c>
      <c r="C1038" s="8">
        <v>1</v>
      </c>
      <c r="D1038" t="str">
        <f t="shared" si="66"/>
        <v>Sunday</v>
      </c>
      <c r="E1038">
        <v>49</v>
      </c>
      <c r="F1038" s="11">
        <f>VLOOKUP(B1038,'ITEMS LIST'!$B$2:$F$19,4,FALSE)</f>
        <v>1469</v>
      </c>
      <c r="G1038" s="11">
        <f>VLOOKUP(B1038,'ITEMS LIST'!$B$2:$F$19,5,FALSE)</f>
        <v>1184</v>
      </c>
      <c r="H1038" s="11">
        <f t="shared" si="64"/>
        <v>1469</v>
      </c>
      <c r="I1038" s="11">
        <f t="shared" si="65"/>
        <v>1184</v>
      </c>
      <c r="J1038" s="11">
        <f t="shared" si="67"/>
        <v>285</v>
      </c>
    </row>
    <row r="1039" spans="1:10" x14ac:dyDescent="0.3">
      <c r="A1039" s="7">
        <v>44892.611111110273</v>
      </c>
      <c r="B1039" s="8" t="s">
        <v>11</v>
      </c>
      <c r="C1039" s="8">
        <v>0</v>
      </c>
      <c r="D1039" t="str">
        <f t="shared" si="66"/>
        <v>Sunday</v>
      </c>
      <c r="E1039">
        <v>49</v>
      </c>
      <c r="F1039" s="11">
        <f>VLOOKUP(B1039,'ITEMS LIST'!$B$2:$F$19,4,FALSE)</f>
        <v>89</v>
      </c>
      <c r="G1039" s="11">
        <f>VLOOKUP(B1039,'ITEMS LIST'!$B$2:$F$19,5,FALSE)</f>
        <v>59</v>
      </c>
      <c r="H1039" s="11">
        <f t="shared" si="64"/>
        <v>0</v>
      </c>
      <c r="I1039" s="11">
        <f t="shared" si="65"/>
        <v>0</v>
      </c>
      <c r="J1039" s="11">
        <f t="shared" si="67"/>
        <v>0</v>
      </c>
    </row>
    <row r="1040" spans="1:10" x14ac:dyDescent="0.3">
      <c r="A1040" s="7">
        <v>44892.666666665828</v>
      </c>
      <c r="B1040" s="8" t="s">
        <v>12</v>
      </c>
      <c r="C1040" s="8">
        <v>0</v>
      </c>
      <c r="D1040" t="str">
        <f t="shared" si="66"/>
        <v>Sunday</v>
      </c>
      <c r="E1040">
        <v>49</v>
      </c>
      <c r="F1040" s="11">
        <f>VLOOKUP(B1040,'ITEMS LIST'!$B$2:$F$19,4,FALSE)</f>
        <v>310</v>
      </c>
      <c r="G1040" s="11">
        <f>VLOOKUP(B1040,'ITEMS LIST'!$B$2:$F$19,5,FALSE)</f>
        <v>206</v>
      </c>
      <c r="H1040" s="11">
        <f t="shared" si="64"/>
        <v>0</v>
      </c>
      <c r="I1040" s="11">
        <f t="shared" si="65"/>
        <v>0</v>
      </c>
      <c r="J1040" s="11">
        <f t="shared" si="67"/>
        <v>0</v>
      </c>
    </row>
    <row r="1041" spans="1:10" x14ac:dyDescent="0.3">
      <c r="A1041" s="7">
        <v>44892.722222221382</v>
      </c>
      <c r="B1041" s="8" t="s">
        <v>13</v>
      </c>
      <c r="C1041" s="8">
        <v>0</v>
      </c>
      <c r="D1041" t="str">
        <f t="shared" si="66"/>
        <v>Sunday</v>
      </c>
      <c r="E1041">
        <v>49</v>
      </c>
      <c r="F1041" s="11">
        <f>VLOOKUP(B1041,'ITEMS LIST'!$B$2:$F$19,4,FALSE)</f>
        <v>540</v>
      </c>
      <c r="G1041" s="11">
        <f>VLOOKUP(B1041,'ITEMS LIST'!$B$2:$F$19,5,FALSE)</f>
        <v>397</v>
      </c>
      <c r="H1041" s="11">
        <f t="shared" si="64"/>
        <v>0</v>
      </c>
      <c r="I1041" s="11">
        <f t="shared" si="65"/>
        <v>0</v>
      </c>
      <c r="J1041" s="11">
        <f t="shared" si="67"/>
        <v>0</v>
      </c>
    </row>
    <row r="1042" spans="1:10" x14ac:dyDescent="0.3">
      <c r="A1042" s="7">
        <v>44892.777777776937</v>
      </c>
      <c r="B1042" s="8" t="s">
        <v>14</v>
      </c>
      <c r="C1042" s="8">
        <v>0</v>
      </c>
      <c r="D1042" t="str">
        <f t="shared" si="66"/>
        <v>Sunday</v>
      </c>
      <c r="E1042">
        <v>49</v>
      </c>
      <c r="F1042" s="11">
        <f>VLOOKUP(B1042,'ITEMS LIST'!$B$2:$F$19,4,FALSE)</f>
        <v>360</v>
      </c>
      <c r="G1042" s="11">
        <f>VLOOKUP(B1042,'ITEMS LIST'!$B$2:$F$19,5,FALSE)</f>
        <v>248</v>
      </c>
      <c r="H1042" s="11">
        <f t="shared" si="64"/>
        <v>0</v>
      </c>
      <c r="I1042" s="11">
        <f t="shared" si="65"/>
        <v>0</v>
      </c>
      <c r="J1042" s="11">
        <f t="shared" si="67"/>
        <v>0</v>
      </c>
    </row>
    <row r="1043" spans="1:10" x14ac:dyDescent="0.3">
      <c r="A1043" s="7">
        <v>44892.833333332492</v>
      </c>
      <c r="B1043" s="8" t="s">
        <v>15</v>
      </c>
      <c r="C1043" s="8">
        <v>0</v>
      </c>
      <c r="D1043" t="str">
        <f t="shared" si="66"/>
        <v>Sunday</v>
      </c>
      <c r="E1043">
        <v>49</v>
      </c>
      <c r="F1043" s="11">
        <f>VLOOKUP(B1043,'ITEMS LIST'!$B$2:$F$19,4,FALSE)</f>
        <v>250</v>
      </c>
      <c r="G1043" s="11">
        <f>VLOOKUP(B1043,'ITEMS LIST'!$B$2:$F$19,5,FALSE)</f>
        <v>190</v>
      </c>
      <c r="H1043" s="11">
        <f t="shared" si="64"/>
        <v>0</v>
      </c>
      <c r="I1043" s="11">
        <f t="shared" si="65"/>
        <v>0</v>
      </c>
      <c r="J1043" s="11">
        <f t="shared" si="67"/>
        <v>0</v>
      </c>
    </row>
    <row r="1044" spans="1:10" x14ac:dyDescent="0.3">
      <c r="A1044" s="7">
        <v>44892.888888888046</v>
      </c>
      <c r="B1044" s="8" t="s">
        <v>16</v>
      </c>
      <c r="C1044" s="8">
        <v>0</v>
      </c>
      <c r="D1044" t="str">
        <f t="shared" si="66"/>
        <v>Sunday</v>
      </c>
      <c r="E1044">
        <v>49</v>
      </c>
      <c r="F1044" s="11">
        <f>VLOOKUP(B1044,'ITEMS LIST'!$B$2:$F$19,4,FALSE)</f>
        <v>120</v>
      </c>
      <c r="G1044" s="11">
        <f>VLOOKUP(B1044,'ITEMS LIST'!$B$2:$F$19,5,FALSE)</f>
        <v>85</v>
      </c>
      <c r="H1044" s="11">
        <f t="shared" si="64"/>
        <v>0</v>
      </c>
      <c r="I1044" s="11">
        <f t="shared" si="65"/>
        <v>0</v>
      </c>
      <c r="J1044" s="11">
        <f t="shared" si="67"/>
        <v>0</v>
      </c>
    </row>
    <row r="1045" spans="1:10" x14ac:dyDescent="0.3">
      <c r="A1045" s="7">
        <v>44892.944444443601</v>
      </c>
      <c r="B1045" s="8" t="s">
        <v>17</v>
      </c>
      <c r="C1045" s="8">
        <v>0</v>
      </c>
      <c r="D1045" t="str">
        <f t="shared" si="66"/>
        <v>Sunday</v>
      </c>
      <c r="E1045">
        <v>49</v>
      </c>
      <c r="F1045" s="11">
        <f>VLOOKUP(B1045,'ITEMS LIST'!$B$2:$F$19,4,FALSE)</f>
        <v>80</v>
      </c>
      <c r="G1045" s="11">
        <f>VLOOKUP(B1045,'ITEMS LIST'!$B$2:$F$19,5,FALSE)</f>
        <v>55</v>
      </c>
      <c r="H1045" s="11">
        <f t="shared" si="64"/>
        <v>0</v>
      </c>
      <c r="I1045" s="11">
        <f t="shared" si="65"/>
        <v>0</v>
      </c>
      <c r="J1045" s="11">
        <f t="shared" si="67"/>
        <v>0</v>
      </c>
    </row>
    <row r="1046" spans="1:10" x14ac:dyDescent="0.3">
      <c r="A1046" s="7">
        <v>44892.999999999156</v>
      </c>
      <c r="B1046" s="8" t="s">
        <v>0</v>
      </c>
      <c r="C1046" s="8">
        <v>0</v>
      </c>
      <c r="D1046" t="str">
        <f t="shared" si="66"/>
        <v>Monday</v>
      </c>
      <c r="E1046">
        <v>49</v>
      </c>
      <c r="F1046" s="11">
        <f>VLOOKUP(B1046,'ITEMS LIST'!$B$2:$F$19,4,FALSE)</f>
        <v>549</v>
      </c>
      <c r="G1046" s="11">
        <f>VLOOKUP(B1046,'ITEMS LIST'!$B$2:$F$19,5,FALSE)</f>
        <v>365</v>
      </c>
      <c r="H1046" s="11">
        <f t="shared" si="64"/>
        <v>0</v>
      </c>
      <c r="I1046" s="11">
        <f t="shared" si="65"/>
        <v>0</v>
      </c>
      <c r="J1046" s="11">
        <f t="shared" si="67"/>
        <v>0</v>
      </c>
    </row>
    <row r="1047" spans="1:10" x14ac:dyDescent="0.3">
      <c r="A1047" s="7">
        <v>44893.055555554711</v>
      </c>
      <c r="B1047" s="8" t="s">
        <v>1</v>
      </c>
      <c r="C1047" s="8">
        <v>0</v>
      </c>
      <c r="D1047" t="str">
        <f t="shared" si="66"/>
        <v>Monday</v>
      </c>
      <c r="E1047">
        <v>49</v>
      </c>
      <c r="F1047" s="11">
        <f>VLOOKUP(B1047,'ITEMS LIST'!$B$2:$F$19,4,FALSE)</f>
        <v>699</v>
      </c>
      <c r="G1047" s="11">
        <f>VLOOKUP(B1047,'ITEMS LIST'!$B$2:$F$19,5,FALSE)</f>
        <v>550</v>
      </c>
      <c r="H1047" s="11">
        <f t="shared" si="64"/>
        <v>0</v>
      </c>
      <c r="I1047" s="11">
        <f t="shared" si="65"/>
        <v>0</v>
      </c>
      <c r="J1047" s="11">
        <f t="shared" si="67"/>
        <v>0</v>
      </c>
    </row>
    <row r="1048" spans="1:10" x14ac:dyDescent="0.3">
      <c r="A1048" s="7">
        <v>44893.111111110265</v>
      </c>
      <c r="B1048" s="8" t="s">
        <v>2</v>
      </c>
      <c r="C1048" s="8">
        <v>0</v>
      </c>
      <c r="D1048" t="str">
        <f t="shared" si="66"/>
        <v>Monday</v>
      </c>
      <c r="E1048">
        <v>49</v>
      </c>
      <c r="F1048" s="11">
        <f>VLOOKUP(B1048,'ITEMS LIST'!$B$2:$F$19,4,FALSE)</f>
        <v>739</v>
      </c>
      <c r="G1048" s="11">
        <f>VLOOKUP(B1048,'ITEMS LIST'!$B$2:$F$19,5,FALSE)</f>
        <v>620</v>
      </c>
      <c r="H1048" s="11">
        <f t="shared" si="64"/>
        <v>0</v>
      </c>
      <c r="I1048" s="11">
        <f t="shared" si="65"/>
        <v>0</v>
      </c>
      <c r="J1048" s="11">
        <f t="shared" si="67"/>
        <v>0</v>
      </c>
    </row>
    <row r="1049" spans="1:10" x14ac:dyDescent="0.3">
      <c r="A1049" s="7">
        <v>44893.16666666582</v>
      </c>
      <c r="B1049" s="8" t="s">
        <v>3</v>
      </c>
      <c r="C1049" s="8">
        <v>6</v>
      </c>
      <c r="D1049" t="str">
        <f t="shared" si="66"/>
        <v>Monday</v>
      </c>
      <c r="E1049">
        <v>49</v>
      </c>
      <c r="F1049" s="11">
        <f>VLOOKUP(B1049,'ITEMS LIST'!$B$2:$F$19,4,FALSE)</f>
        <v>899</v>
      </c>
      <c r="G1049" s="11">
        <f>VLOOKUP(B1049,'ITEMS LIST'!$B$2:$F$19,5,FALSE)</f>
        <v>714</v>
      </c>
      <c r="H1049" s="11">
        <f t="shared" si="64"/>
        <v>5394</v>
      </c>
      <c r="I1049" s="11">
        <f t="shared" si="65"/>
        <v>4284</v>
      </c>
      <c r="J1049" s="11">
        <f t="shared" si="67"/>
        <v>1110</v>
      </c>
    </row>
    <row r="1050" spans="1:10" x14ac:dyDescent="0.3">
      <c r="A1050" s="7">
        <v>44893.222222221375</v>
      </c>
      <c r="B1050" s="8" t="s">
        <v>4</v>
      </c>
      <c r="C1050" s="8">
        <v>0</v>
      </c>
      <c r="D1050" t="str">
        <f t="shared" si="66"/>
        <v>Monday</v>
      </c>
      <c r="E1050">
        <v>49</v>
      </c>
      <c r="F1050" s="11">
        <f>VLOOKUP(B1050,'ITEMS LIST'!$B$2:$F$19,4,FALSE)</f>
        <v>1379</v>
      </c>
      <c r="G1050" s="11">
        <f>VLOOKUP(B1050,'ITEMS LIST'!$B$2:$F$19,5,FALSE)</f>
        <v>890</v>
      </c>
      <c r="H1050" s="11">
        <f t="shared" si="64"/>
        <v>0</v>
      </c>
      <c r="I1050" s="11">
        <f t="shared" si="65"/>
        <v>0</v>
      </c>
      <c r="J1050" s="11">
        <f t="shared" si="67"/>
        <v>0</v>
      </c>
    </row>
    <row r="1051" spans="1:10" x14ac:dyDescent="0.3">
      <c r="A1051" s="7">
        <v>44893.27777777693</v>
      </c>
      <c r="B1051" s="8" t="s">
        <v>5</v>
      </c>
      <c r="C1051" s="8">
        <v>0</v>
      </c>
      <c r="D1051" t="str">
        <f t="shared" si="66"/>
        <v>Monday</v>
      </c>
      <c r="E1051">
        <v>49</v>
      </c>
      <c r="F1051" s="11">
        <f>VLOOKUP(B1051,'ITEMS LIST'!$B$2:$F$19,4,FALSE)</f>
        <v>849</v>
      </c>
      <c r="G1051" s="11">
        <f>VLOOKUP(B1051,'ITEMS LIST'!$B$2:$F$19,5,FALSE)</f>
        <v>530</v>
      </c>
      <c r="H1051" s="11">
        <f t="shared" si="64"/>
        <v>0</v>
      </c>
      <c r="I1051" s="11">
        <f t="shared" si="65"/>
        <v>0</v>
      </c>
      <c r="J1051" s="11">
        <f t="shared" si="67"/>
        <v>0</v>
      </c>
    </row>
    <row r="1052" spans="1:10" x14ac:dyDescent="0.3">
      <c r="A1052" s="7">
        <v>44893.333333332484</v>
      </c>
      <c r="B1052" s="8" t="s">
        <v>6</v>
      </c>
      <c r="C1052" s="8">
        <v>0</v>
      </c>
      <c r="D1052" t="str">
        <f t="shared" si="66"/>
        <v>Monday</v>
      </c>
      <c r="E1052">
        <v>49</v>
      </c>
      <c r="F1052" s="11">
        <f>VLOOKUP(B1052,'ITEMS LIST'!$B$2:$F$19,4,FALSE)</f>
        <v>1000</v>
      </c>
      <c r="G1052" s="11">
        <f>VLOOKUP(B1052,'ITEMS LIST'!$B$2:$F$19,5,FALSE)</f>
        <v>768</v>
      </c>
      <c r="H1052" s="11">
        <f t="shared" si="64"/>
        <v>0</v>
      </c>
      <c r="I1052" s="11">
        <f t="shared" si="65"/>
        <v>0</v>
      </c>
      <c r="J1052" s="11">
        <f t="shared" si="67"/>
        <v>0</v>
      </c>
    </row>
    <row r="1053" spans="1:10" x14ac:dyDescent="0.3">
      <c r="A1053" s="7">
        <v>44893.388888888039</v>
      </c>
      <c r="B1053" s="8" t="s">
        <v>7</v>
      </c>
      <c r="C1053" s="8">
        <v>0</v>
      </c>
      <c r="D1053" t="str">
        <f t="shared" si="66"/>
        <v>Monday</v>
      </c>
      <c r="E1053">
        <v>49</v>
      </c>
      <c r="F1053" s="11">
        <f>VLOOKUP(B1053,'ITEMS LIST'!$B$2:$F$19,4,FALSE)</f>
        <v>680</v>
      </c>
      <c r="G1053" s="11">
        <f>VLOOKUP(B1053,'ITEMS LIST'!$B$2:$F$19,5,FALSE)</f>
        <v>570</v>
      </c>
      <c r="H1053" s="11">
        <f t="shared" si="64"/>
        <v>0</v>
      </c>
      <c r="I1053" s="11">
        <f t="shared" si="65"/>
        <v>0</v>
      </c>
      <c r="J1053" s="11">
        <f t="shared" si="67"/>
        <v>0</v>
      </c>
    </row>
    <row r="1054" spans="1:10" x14ac:dyDescent="0.3">
      <c r="A1054" s="7">
        <v>44893.444444443594</v>
      </c>
      <c r="B1054" s="8" t="s">
        <v>8</v>
      </c>
      <c r="C1054" s="8">
        <v>0</v>
      </c>
      <c r="D1054" t="str">
        <f t="shared" si="66"/>
        <v>Monday</v>
      </c>
      <c r="E1054">
        <v>49</v>
      </c>
      <c r="F1054" s="11">
        <f>VLOOKUP(B1054,'ITEMS LIST'!$B$2:$F$19,4,FALSE)</f>
        <v>199</v>
      </c>
      <c r="G1054" s="11">
        <f>VLOOKUP(B1054,'ITEMS LIST'!$B$2:$F$19,5,FALSE)</f>
        <v>140</v>
      </c>
      <c r="H1054" s="11">
        <f t="shared" si="64"/>
        <v>0</v>
      </c>
      <c r="I1054" s="11">
        <f t="shared" si="65"/>
        <v>0</v>
      </c>
      <c r="J1054" s="11">
        <f t="shared" si="67"/>
        <v>0</v>
      </c>
    </row>
    <row r="1055" spans="1:10" x14ac:dyDescent="0.3">
      <c r="A1055" s="7">
        <v>44893.499999999149</v>
      </c>
      <c r="B1055" s="8" t="s">
        <v>9</v>
      </c>
      <c r="C1055" s="8">
        <v>0</v>
      </c>
      <c r="D1055" t="str">
        <f t="shared" si="66"/>
        <v>Monday</v>
      </c>
      <c r="E1055">
        <v>49</v>
      </c>
      <c r="F1055" s="11">
        <f>VLOOKUP(B1055,'ITEMS LIST'!$B$2:$F$19,4,FALSE)</f>
        <v>219</v>
      </c>
      <c r="G1055" s="11">
        <f>VLOOKUP(B1055,'ITEMS LIST'!$B$2:$F$19,5,FALSE)</f>
        <v>132</v>
      </c>
      <c r="H1055" s="11">
        <f t="shared" si="64"/>
        <v>0</v>
      </c>
      <c r="I1055" s="11">
        <f t="shared" si="65"/>
        <v>0</v>
      </c>
      <c r="J1055" s="11">
        <f t="shared" si="67"/>
        <v>0</v>
      </c>
    </row>
    <row r="1056" spans="1:10" x14ac:dyDescent="0.3">
      <c r="A1056" s="7">
        <v>44893.555555554703</v>
      </c>
      <c r="B1056" s="8" t="s">
        <v>10</v>
      </c>
      <c r="C1056" s="8">
        <v>1</v>
      </c>
      <c r="D1056" t="str">
        <f t="shared" si="66"/>
        <v>Monday</v>
      </c>
      <c r="E1056">
        <v>49</v>
      </c>
      <c r="F1056" s="11">
        <f>VLOOKUP(B1056,'ITEMS LIST'!$B$2:$F$19,4,FALSE)</f>
        <v>1469</v>
      </c>
      <c r="G1056" s="11">
        <f>VLOOKUP(B1056,'ITEMS LIST'!$B$2:$F$19,5,FALSE)</f>
        <v>1184</v>
      </c>
      <c r="H1056" s="11">
        <f t="shared" si="64"/>
        <v>1469</v>
      </c>
      <c r="I1056" s="11">
        <f t="shared" si="65"/>
        <v>1184</v>
      </c>
      <c r="J1056" s="11">
        <f t="shared" si="67"/>
        <v>285</v>
      </c>
    </row>
    <row r="1057" spans="1:10" x14ac:dyDescent="0.3">
      <c r="A1057" s="7">
        <v>44893.611111110258</v>
      </c>
      <c r="B1057" s="8" t="s">
        <v>11</v>
      </c>
      <c r="C1057" s="8">
        <v>0</v>
      </c>
      <c r="D1057" t="str">
        <f t="shared" si="66"/>
        <v>Monday</v>
      </c>
      <c r="E1057">
        <v>49</v>
      </c>
      <c r="F1057" s="11">
        <f>VLOOKUP(B1057,'ITEMS LIST'!$B$2:$F$19,4,FALSE)</f>
        <v>89</v>
      </c>
      <c r="G1057" s="11">
        <f>VLOOKUP(B1057,'ITEMS LIST'!$B$2:$F$19,5,FALSE)</f>
        <v>59</v>
      </c>
      <c r="H1057" s="11">
        <f t="shared" si="64"/>
        <v>0</v>
      </c>
      <c r="I1057" s="11">
        <f t="shared" si="65"/>
        <v>0</v>
      </c>
      <c r="J1057" s="11">
        <f t="shared" si="67"/>
        <v>0</v>
      </c>
    </row>
    <row r="1058" spans="1:10" x14ac:dyDescent="0.3">
      <c r="A1058" s="7">
        <v>44893.666666665813</v>
      </c>
      <c r="B1058" s="8" t="s">
        <v>12</v>
      </c>
      <c r="C1058" s="8">
        <v>0</v>
      </c>
      <c r="D1058" t="str">
        <f t="shared" si="66"/>
        <v>Monday</v>
      </c>
      <c r="E1058">
        <v>49</v>
      </c>
      <c r="F1058" s="11">
        <f>VLOOKUP(B1058,'ITEMS LIST'!$B$2:$F$19,4,FALSE)</f>
        <v>310</v>
      </c>
      <c r="G1058" s="11">
        <f>VLOOKUP(B1058,'ITEMS LIST'!$B$2:$F$19,5,FALSE)</f>
        <v>206</v>
      </c>
      <c r="H1058" s="11">
        <f t="shared" si="64"/>
        <v>0</v>
      </c>
      <c r="I1058" s="11">
        <f t="shared" si="65"/>
        <v>0</v>
      </c>
      <c r="J1058" s="11">
        <f t="shared" si="67"/>
        <v>0</v>
      </c>
    </row>
    <row r="1059" spans="1:10" x14ac:dyDescent="0.3">
      <c r="A1059" s="7">
        <v>44893.722222221368</v>
      </c>
      <c r="B1059" s="8" t="s">
        <v>13</v>
      </c>
      <c r="C1059" s="8">
        <v>0</v>
      </c>
      <c r="D1059" t="str">
        <f t="shared" si="66"/>
        <v>Monday</v>
      </c>
      <c r="E1059">
        <v>49</v>
      </c>
      <c r="F1059" s="11">
        <f>VLOOKUP(B1059,'ITEMS LIST'!$B$2:$F$19,4,FALSE)</f>
        <v>540</v>
      </c>
      <c r="G1059" s="11">
        <f>VLOOKUP(B1059,'ITEMS LIST'!$B$2:$F$19,5,FALSE)</f>
        <v>397</v>
      </c>
      <c r="H1059" s="11">
        <f t="shared" si="64"/>
        <v>0</v>
      </c>
      <c r="I1059" s="11">
        <f t="shared" si="65"/>
        <v>0</v>
      </c>
      <c r="J1059" s="11">
        <f t="shared" si="67"/>
        <v>0</v>
      </c>
    </row>
    <row r="1060" spans="1:10" x14ac:dyDescent="0.3">
      <c r="A1060" s="7">
        <v>44893.777777776922</v>
      </c>
      <c r="B1060" s="8" t="s">
        <v>14</v>
      </c>
      <c r="C1060" s="8">
        <v>0</v>
      </c>
      <c r="D1060" t="str">
        <f t="shared" si="66"/>
        <v>Monday</v>
      </c>
      <c r="E1060">
        <v>49</v>
      </c>
      <c r="F1060" s="11">
        <f>VLOOKUP(B1060,'ITEMS LIST'!$B$2:$F$19,4,FALSE)</f>
        <v>360</v>
      </c>
      <c r="G1060" s="11">
        <f>VLOOKUP(B1060,'ITEMS LIST'!$B$2:$F$19,5,FALSE)</f>
        <v>248</v>
      </c>
      <c r="H1060" s="11">
        <f t="shared" si="64"/>
        <v>0</v>
      </c>
      <c r="I1060" s="11">
        <f t="shared" si="65"/>
        <v>0</v>
      </c>
      <c r="J1060" s="11">
        <f t="shared" si="67"/>
        <v>0</v>
      </c>
    </row>
    <row r="1061" spans="1:10" x14ac:dyDescent="0.3">
      <c r="A1061" s="7">
        <v>44893.833333332477</v>
      </c>
      <c r="B1061" s="8" t="s">
        <v>15</v>
      </c>
      <c r="C1061" s="8">
        <v>0</v>
      </c>
      <c r="D1061" t="str">
        <f t="shared" si="66"/>
        <v>Monday</v>
      </c>
      <c r="E1061">
        <v>49</v>
      </c>
      <c r="F1061" s="11">
        <f>VLOOKUP(B1061,'ITEMS LIST'!$B$2:$F$19,4,FALSE)</f>
        <v>250</v>
      </c>
      <c r="G1061" s="11">
        <f>VLOOKUP(B1061,'ITEMS LIST'!$B$2:$F$19,5,FALSE)</f>
        <v>190</v>
      </c>
      <c r="H1061" s="11">
        <f t="shared" si="64"/>
        <v>0</v>
      </c>
      <c r="I1061" s="11">
        <f t="shared" si="65"/>
        <v>0</v>
      </c>
      <c r="J1061" s="11">
        <f t="shared" si="67"/>
        <v>0</v>
      </c>
    </row>
    <row r="1062" spans="1:10" x14ac:dyDescent="0.3">
      <c r="A1062" s="7">
        <v>44893.888888888032</v>
      </c>
      <c r="B1062" s="8" t="s">
        <v>16</v>
      </c>
      <c r="C1062" s="8">
        <v>0</v>
      </c>
      <c r="D1062" t="str">
        <f t="shared" si="66"/>
        <v>Monday</v>
      </c>
      <c r="E1062">
        <v>49</v>
      </c>
      <c r="F1062" s="11">
        <f>VLOOKUP(B1062,'ITEMS LIST'!$B$2:$F$19,4,FALSE)</f>
        <v>120</v>
      </c>
      <c r="G1062" s="11">
        <f>VLOOKUP(B1062,'ITEMS LIST'!$B$2:$F$19,5,FALSE)</f>
        <v>85</v>
      </c>
      <c r="H1062" s="11">
        <f t="shared" si="64"/>
        <v>0</v>
      </c>
      <c r="I1062" s="11">
        <f t="shared" si="65"/>
        <v>0</v>
      </c>
      <c r="J1062" s="11">
        <f t="shared" si="67"/>
        <v>0</v>
      </c>
    </row>
    <row r="1063" spans="1:10" x14ac:dyDescent="0.3">
      <c r="A1063" s="7">
        <v>44893.944444443587</v>
      </c>
      <c r="B1063" s="8" t="s">
        <v>17</v>
      </c>
      <c r="C1063" s="8">
        <v>0</v>
      </c>
      <c r="D1063" t="str">
        <f t="shared" si="66"/>
        <v>Monday</v>
      </c>
      <c r="E1063">
        <v>49</v>
      </c>
      <c r="F1063" s="11">
        <f>VLOOKUP(B1063,'ITEMS LIST'!$B$2:$F$19,4,FALSE)</f>
        <v>80</v>
      </c>
      <c r="G1063" s="11">
        <f>VLOOKUP(B1063,'ITEMS LIST'!$B$2:$F$19,5,FALSE)</f>
        <v>55</v>
      </c>
      <c r="H1063" s="11">
        <f t="shared" si="64"/>
        <v>0</v>
      </c>
      <c r="I1063" s="11">
        <f t="shared" si="65"/>
        <v>0</v>
      </c>
      <c r="J1063" s="11">
        <f t="shared" si="67"/>
        <v>0</v>
      </c>
    </row>
    <row r="1064" spans="1:10" x14ac:dyDescent="0.3">
      <c r="A1064" s="7">
        <v>44893.999999999141</v>
      </c>
      <c r="B1064" s="8" t="s">
        <v>0</v>
      </c>
      <c r="C1064" s="8">
        <v>0</v>
      </c>
      <c r="D1064" t="str">
        <f t="shared" si="66"/>
        <v>Tuesday</v>
      </c>
      <c r="E1064">
        <v>49</v>
      </c>
      <c r="F1064" s="11">
        <f>VLOOKUP(B1064,'ITEMS LIST'!$B$2:$F$19,4,FALSE)</f>
        <v>549</v>
      </c>
      <c r="G1064" s="11">
        <f>VLOOKUP(B1064,'ITEMS LIST'!$B$2:$F$19,5,FALSE)</f>
        <v>365</v>
      </c>
      <c r="H1064" s="11">
        <f t="shared" si="64"/>
        <v>0</v>
      </c>
      <c r="I1064" s="11">
        <f t="shared" si="65"/>
        <v>0</v>
      </c>
      <c r="J1064" s="11">
        <f t="shared" si="67"/>
        <v>0</v>
      </c>
    </row>
    <row r="1065" spans="1:10" x14ac:dyDescent="0.3">
      <c r="A1065" s="7">
        <v>44894.055555554696</v>
      </c>
      <c r="B1065" s="8" t="s">
        <v>1</v>
      </c>
      <c r="C1065" s="8">
        <v>0</v>
      </c>
      <c r="D1065" t="str">
        <f t="shared" si="66"/>
        <v>Tuesday</v>
      </c>
      <c r="E1065">
        <v>49</v>
      </c>
      <c r="F1065" s="11">
        <f>VLOOKUP(B1065,'ITEMS LIST'!$B$2:$F$19,4,FALSE)</f>
        <v>699</v>
      </c>
      <c r="G1065" s="11">
        <f>VLOOKUP(B1065,'ITEMS LIST'!$B$2:$F$19,5,FALSE)</f>
        <v>550</v>
      </c>
      <c r="H1065" s="11">
        <f t="shared" si="64"/>
        <v>0</v>
      </c>
      <c r="I1065" s="11">
        <f t="shared" si="65"/>
        <v>0</v>
      </c>
      <c r="J1065" s="11">
        <f t="shared" si="67"/>
        <v>0</v>
      </c>
    </row>
    <row r="1066" spans="1:10" x14ac:dyDescent="0.3">
      <c r="A1066" s="7">
        <v>44894.111111110251</v>
      </c>
      <c r="B1066" s="8" t="s">
        <v>2</v>
      </c>
      <c r="C1066" s="8">
        <v>0</v>
      </c>
      <c r="D1066" t="str">
        <f t="shared" si="66"/>
        <v>Tuesday</v>
      </c>
      <c r="E1066">
        <v>49</v>
      </c>
      <c r="F1066" s="11">
        <f>VLOOKUP(B1066,'ITEMS LIST'!$B$2:$F$19,4,FALSE)</f>
        <v>739</v>
      </c>
      <c r="G1066" s="11">
        <f>VLOOKUP(B1066,'ITEMS LIST'!$B$2:$F$19,5,FALSE)</f>
        <v>620</v>
      </c>
      <c r="H1066" s="11">
        <f t="shared" si="64"/>
        <v>0</v>
      </c>
      <c r="I1066" s="11">
        <f t="shared" si="65"/>
        <v>0</v>
      </c>
      <c r="J1066" s="11">
        <f t="shared" si="67"/>
        <v>0</v>
      </c>
    </row>
    <row r="1067" spans="1:10" x14ac:dyDescent="0.3">
      <c r="A1067" s="7">
        <v>44894.166666665806</v>
      </c>
      <c r="B1067" s="8" t="s">
        <v>3</v>
      </c>
      <c r="C1067" s="8">
        <v>0</v>
      </c>
      <c r="D1067" t="str">
        <f t="shared" si="66"/>
        <v>Tuesday</v>
      </c>
      <c r="E1067">
        <v>49</v>
      </c>
      <c r="F1067" s="11">
        <f>VLOOKUP(B1067,'ITEMS LIST'!$B$2:$F$19,4,FALSE)</f>
        <v>899</v>
      </c>
      <c r="G1067" s="11">
        <f>VLOOKUP(B1067,'ITEMS LIST'!$B$2:$F$19,5,FALSE)</f>
        <v>714</v>
      </c>
      <c r="H1067" s="11">
        <f t="shared" si="64"/>
        <v>0</v>
      </c>
      <c r="I1067" s="11">
        <f t="shared" si="65"/>
        <v>0</v>
      </c>
      <c r="J1067" s="11">
        <f t="shared" si="67"/>
        <v>0</v>
      </c>
    </row>
    <row r="1068" spans="1:10" x14ac:dyDescent="0.3">
      <c r="A1068" s="7">
        <v>44894.22222222136</v>
      </c>
      <c r="B1068" s="8" t="s">
        <v>4</v>
      </c>
      <c r="C1068" s="8">
        <v>0</v>
      </c>
      <c r="D1068" t="str">
        <f t="shared" si="66"/>
        <v>Tuesday</v>
      </c>
      <c r="E1068">
        <v>49</v>
      </c>
      <c r="F1068" s="11">
        <f>VLOOKUP(B1068,'ITEMS LIST'!$B$2:$F$19,4,FALSE)</f>
        <v>1379</v>
      </c>
      <c r="G1068" s="11">
        <f>VLOOKUP(B1068,'ITEMS LIST'!$B$2:$F$19,5,FALSE)</f>
        <v>890</v>
      </c>
      <c r="H1068" s="11">
        <f t="shared" si="64"/>
        <v>0</v>
      </c>
      <c r="I1068" s="11">
        <f t="shared" si="65"/>
        <v>0</v>
      </c>
      <c r="J1068" s="11">
        <f t="shared" si="67"/>
        <v>0</v>
      </c>
    </row>
    <row r="1069" spans="1:10" x14ac:dyDescent="0.3">
      <c r="A1069" s="7">
        <v>44894.277777776915</v>
      </c>
      <c r="B1069" s="8" t="s">
        <v>5</v>
      </c>
      <c r="C1069" s="8">
        <v>0</v>
      </c>
      <c r="D1069" t="str">
        <f t="shared" si="66"/>
        <v>Tuesday</v>
      </c>
      <c r="E1069">
        <v>49</v>
      </c>
      <c r="F1069" s="11">
        <f>VLOOKUP(B1069,'ITEMS LIST'!$B$2:$F$19,4,FALSE)</f>
        <v>849</v>
      </c>
      <c r="G1069" s="11">
        <f>VLOOKUP(B1069,'ITEMS LIST'!$B$2:$F$19,5,FALSE)</f>
        <v>530</v>
      </c>
      <c r="H1069" s="11">
        <f t="shared" si="64"/>
        <v>0</v>
      </c>
      <c r="I1069" s="11">
        <f t="shared" si="65"/>
        <v>0</v>
      </c>
      <c r="J1069" s="11">
        <f t="shared" si="67"/>
        <v>0</v>
      </c>
    </row>
    <row r="1070" spans="1:10" x14ac:dyDescent="0.3">
      <c r="A1070" s="7">
        <v>44894.33333333247</v>
      </c>
      <c r="B1070" s="8" t="s">
        <v>6</v>
      </c>
      <c r="C1070" s="8">
        <v>0</v>
      </c>
      <c r="D1070" t="str">
        <f t="shared" si="66"/>
        <v>Tuesday</v>
      </c>
      <c r="E1070">
        <v>49</v>
      </c>
      <c r="F1070" s="11">
        <f>VLOOKUP(B1070,'ITEMS LIST'!$B$2:$F$19,4,FALSE)</f>
        <v>1000</v>
      </c>
      <c r="G1070" s="11">
        <f>VLOOKUP(B1070,'ITEMS LIST'!$B$2:$F$19,5,FALSE)</f>
        <v>768</v>
      </c>
      <c r="H1070" s="11">
        <f t="shared" si="64"/>
        <v>0</v>
      </c>
      <c r="I1070" s="11">
        <f t="shared" si="65"/>
        <v>0</v>
      </c>
      <c r="J1070" s="11">
        <f t="shared" si="67"/>
        <v>0</v>
      </c>
    </row>
    <row r="1071" spans="1:10" x14ac:dyDescent="0.3">
      <c r="A1071" s="7">
        <v>44894.388888888025</v>
      </c>
      <c r="B1071" s="8" t="s">
        <v>7</v>
      </c>
      <c r="C1071" s="8">
        <v>0</v>
      </c>
      <c r="D1071" t="str">
        <f t="shared" si="66"/>
        <v>Tuesday</v>
      </c>
      <c r="E1071">
        <v>49</v>
      </c>
      <c r="F1071" s="11">
        <f>VLOOKUP(B1071,'ITEMS LIST'!$B$2:$F$19,4,FALSE)</f>
        <v>680</v>
      </c>
      <c r="G1071" s="11">
        <f>VLOOKUP(B1071,'ITEMS LIST'!$B$2:$F$19,5,FALSE)</f>
        <v>570</v>
      </c>
      <c r="H1071" s="11">
        <f t="shared" si="64"/>
        <v>0</v>
      </c>
      <c r="I1071" s="11">
        <f t="shared" si="65"/>
        <v>0</v>
      </c>
      <c r="J1071" s="11">
        <f t="shared" si="67"/>
        <v>0</v>
      </c>
    </row>
    <row r="1072" spans="1:10" x14ac:dyDescent="0.3">
      <c r="A1072" s="7">
        <v>44894.444444443579</v>
      </c>
      <c r="B1072" s="8" t="s">
        <v>8</v>
      </c>
      <c r="C1072" s="8">
        <v>0</v>
      </c>
      <c r="D1072" t="str">
        <f t="shared" si="66"/>
        <v>Tuesday</v>
      </c>
      <c r="E1072">
        <v>49</v>
      </c>
      <c r="F1072" s="11">
        <f>VLOOKUP(B1072,'ITEMS LIST'!$B$2:$F$19,4,FALSE)</f>
        <v>199</v>
      </c>
      <c r="G1072" s="11">
        <f>VLOOKUP(B1072,'ITEMS LIST'!$B$2:$F$19,5,FALSE)</f>
        <v>140</v>
      </c>
      <c r="H1072" s="11">
        <f t="shared" si="64"/>
        <v>0</v>
      </c>
      <c r="I1072" s="11">
        <f t="shared" si="65"/>
        <v>0</v>
      </c>
      <c r="J1072" s="11">
        <f t="shared" si="67"/>
        <v>0</v>
      </c>
    </row>
    <row r="1073" spans="1:10" x14ac:dyDescent="0.3">
      <c r="A1073" s="7">
        <v>44894.499999999134</v>
      </c>
      <c r="B1073" s="8" t="s">
        <v>9</v>
      </c>
      <c r="C1073" s="8">
        <v>0</v>
      </c>
      <c r="D1073" t="str">
        <f t="shared" si="66"/>
        <v>Tuesday</v>
      </c>
      <c r="E1073">
        <v>49</v>
      </c>
      <c r="F1073" s="11">
        <f>VLOOKUP(B1073,'ITEMS LIST'!$B$2:$F$19,4,FALSE)</f>
        <v>219</v>
      </c>
      <c r="G1073" s="11">
        <f>VLOOKUP(B1073,'ITEMS LIST'!$B$2:$F$19,5,FALSE)</f>
        <v>132</v>
      </c>
      <c r="H1073" s="11">
        <f t="shared" si="64"/>
        <v>0</v>
      </c>
      <c r="I1073" s="11">
        <f t="shared" si="65"/>
        <v>0</v>
      </c>
      <c r="J1073" s="11">
        <f t="shared" si="67"/>
        <v>0</v>
      </c>
    </row>
    <row r="1074" spans="1:10" x14ac:dyDescent="0.3">
      <c r="A1074" s="7">
        <v>44894.555555554689</v>
      </c>
      <c r="B1074" s="8" t="s">
        <v>10</v>
      </c>
      <c r="C1074" s="8">
        <v>1</v>
      </c>
      <c r="D1074" t="str">
        <f t="shared" si="66"/>
        <v>Tuesday</v>
      </c>
      <c r="E1074">
        <v>49</v>
      </c>
      <c r="F1074" s="11">
        <f>VLOOKUP(B1074,'ITEMS LIST'!$B$2:$F$19,4,FALSE)</f>
        <v>1469</v>
      </c>
      <c r="G1074" s="11">
        <f>VLOOKUP(B1074,'ITEMS LIST'!$B$2:$F$19,5,FALSE)</f>
        <v>1184</v>
      </c>
      <c r="H1074" s="11">
        <f t="shared" si="64"/>
        <v>1469</v>
      </c>
      <c r="I1074" s="11">
        <f t="shared" si="65"/>
        <v>1184</v>
      </c>
      <c r="J1074" s="11">
        <f t="shared" si="67"/>
        <v>285</v>
      </c>
    </row>
    <row r="1075" spans="1:10" x14ac:dyDescent="0.3">
      <c r="A1075" s="7">
        <v>44894.611111110244</v>
      </c>
      <c r="B1075" s="8" t="s">
        <v>11</v>
      </c>
      <c r="C1075" s="8">
        <v>0</v>
      </c>
      <c r="D1075" t="str">
        <f t="shared" si="66"/>
        <v>Tuesday</v>
      </c>
      <c r="E1075">
        <v>49</v>
      </c>
      <c r="F1075" s="11">
        <f>VLOOKUP(B1075,'ITEMS LIST'!$B$2:$F$19,4,FALSE)</f>
        <v>89</v>
      </c>
      <c r="G1075" s="11">
        <f>VLOOKUP(B1075,'ITEMS LIST'!$B$2:$F$19,5,FALSE)</f>
        <v>59</v>
      </c>
      <c r="H1075" s="11">
        <f t="shared" si="64"/>
        <v>0</v>
      </c>
      <c r="I1075" s="11">
        <f t="shared" si="65"/>
        <v>0</v>
      </c>
      <c r="J1075" s="11">
        <f t="shared" si="67"/>
        <v>0</v>
      </c>
    </row>
    <row r="1076" spans="1:10" x14ac:dyDescent="0.3">
      <c r="A1076" s="7">
        <v>44894.666666665798</v>
      </c>
      <c r="B1076" s="8" t="s">
        <v>12</v>
      </c>
      <c r="C1076" s="8">
        <v>0</v>
      </c>
      <c r="D1076" t="str">
        <f t="shared" si="66"/>
        <v>Tuesday</v>
      </c>
      <c r="E1076">
        <v>49</v>
      </c>
      <c r="F1076" s="11">
        <f>VLOOKUP(B1076,'ITEMS LIST'!$B$2:$F$19,4,FALSE)</f>
        <v>310</v>
      </c>
      <c r="G1076" s="11">
        <f>VLOOKUP(B1076,'ITEMS LIST'!$B$2:$F$19,5,FALSE)</f>
        <v>206</v>
      </c>
      <c r="H1076" s="11">
        <f t="shared" si="64"/>
        <v>0</v>
      </c>
      <c r="I1076" s="11">
        <f t="shared" si="65"/>
        <v>0</v>
      </c>
      <c r="J1076" s="11">
        <f t="shared" si="67"/>
        <v>0</v>
      </c>
    </row>
    <row r="1077" spans="1:10" x14ac:dyDescent="0.3">
      <c r="A1077" s="7">
        <v>44894.722222221353</v>
      </c>
      <c r="B1077" s="8" t="s">
        <v>13</v>
      </c>
      <c r="C1077" s="8">
        <v>0</v>
      </c>
      <c r="D1077" t="str">
        <f t="shared" si="66"/>
        <v>Tuesday</v>
      </c>
      <c r="E1077">
        <v>49</v>
      </c>
      <c r="F1077" s="11">
        <f>VLOOKUP(B1077,'ITEMS LIST'!$B$2:$F$19,4,FALSE)</f>
        <v>540</v>
      </c>
      <c r="G1077" s="11">
        <f>VLOOKUP(B1077,'ITEMS LIST'!$B$2:$F$19,5,FALSE)</f>
        <v>397</v>
      </c>
      <c r="H1077" s="11">
        <f t="shared" si="64"/>
        <v>0</v>
      </c>
      <c r="I1077" s="11">
        <f t="shared" si="65"/>
        <v>0</v>
      </c>
      <c r="J1077" s="11">
        <f t="shared" si="67"/>
        <v>0</v>
      </c>
    </row>
    <row r="1078" spans="1:10" x14ac:dyDescent="0.3">
      <c r="A1078" s="7">
        <v>44894.777777776908</v>
      </c>
      <c r="B1078" s="8" t="s">
        <v>14</v>
      </c>
      <c r="C1078" s="8">
        <v>0</v>
      </c>
      <c r="D1078" t="str">
        <f t="shared" si="66"/>
        <v>Tuesday</v>
      </c>
      <c r="E1078">
        <v>49</v>
      </c>
      <c r="F1078" s="11">
        <f>VLOOKUP(B1078,'ITEMS LIST'!$B$2:$F$19,4,FALSE)</f>
        <v>360</v>
      </c>
      <c r="G1078" s="11">
        <f>VLOOKUP(B1078,'ITEMS LIST'!$B$2:$F$19,5,FALSE)</f>
        <v>248</v>
      </c>
      <c r="H1078" s="11">
        <f t="shared" si="64"/>
        <v>0</v>
      </c>
      <c r="I1078" s="11">
        <f t="shared" si="65"/>
        <v>0</v>
      </c>
      <c r="J1078" s="11">
        <f t="shared" si="67"/>
        <v>0</v>
      </c>
    </row>
    <row r="1079" spans="1:10" x14ac:dyDescent="0.3">
      <c r="A1079" s="7">
        <v>44894.833333332463</v>
      </c>
      <c r="B1079" s="8" t="s">
        <v>15</v>
      </c>
      <c r="C1079" s="8">
        <v>0</v>
      </c>
      <c r="D1079" t="str">
        <f t="shared" si="66"/>
        <v>Tuesday</v>
      </c>
      <c r="E1079">
        <v>49</v>
      </c>
      <c r="F1079" s="11">
        <f>VLOOKUP(B1079,'ITEMS LIST'!$B$2:$F$19,4,FALSE)</f>
        <v>250</v>
      </c>
      <c r="G1079" s="11">
        <f>VLOOKUP(B1079,'ITEMS LIST'!$B$2:$F$19,5,FALSE)</f>
        <v>190</v>
      </c>
      <c r="H1079" s="11">
        <f t="shared" si="64"/>
        <v>0</v>
      </c>
      <c r="I1079" s="11">
        <f t="shared" si="65"/>
        <v>0</v>
      </c>
      <c r="J1079" s="11">
        <f t="shared" si="67"/>
        <v>0</v>
      </c>
    </row>
    <row r="1080" spans="1:10" x14ac:dyDescent="0.3">
      <c r="A1080" s="7">
        <v>44894.888888888017</v>
      </c>
      <c r="B1080" s="8" t="s">
        <v>16</v>
      </c>
      <c r="C1080" s="8">
        <v>0</v>
      </c>
      <c r="D1080" t="str">
        <f t="shared" si="66"/>
        <v>Tuesday</v>
      </c>
      <c r="E1080">
        <v>49</v>
      </c>
      <c r="F1080" s="11">
        <f>VLOOKUP(B1080,'ITEMS LIST'!$B$2:$F$19,4,FALSE)</f>
        <v>120</v>
      </c>
      <c r="G1080" s="11">
        <f>VLOOKUP(B1080,'ITEMS LIST'!$B$2:$F$19,5,FALSE)</f>
        <v>85</v>
      </c>
      <c r="H1080" s="11">
        <f t="shared" si="64"/>
        <v>0</v>
      </c>
      <c r="I1080" s="11">
        <f t="shared" si="65"/>
        <v>0</v>
      </c>
      <c r="J1080" s="11">
        <f t="shared" si="67"/>
        <v>0</v>
      </c>
    </row>
    <row r="1081" spans="1:10" x14ac:dyDescent="0.3">
      <c r="A1081" s="7">
        <v>44894.944444443572</v>
      </c>
      <c r="B1081" s="8" t="s">
        <v>17</v>
      </c>
      <c r="C1081" s="8">
        <v>0</v>
      </c>
      <c r="D1081" t="str">
        <f t="shared" si="66"/>
        <v>Tuesday</v>
      </c>
      <c r="E1081">
        <v>49</v>
      </c>
      <c r="F1081" s="11">
        <f>VLOOKUP(B1081,'ITEMS LIST'!$B$2:$F$19,4,FALSE)</f>
        <v>80</v>
      </c>
      <c r="G1081" s="11">
        <f>VLOOKUP(B1081,'ITEMS LIST'!$B$2:$F$19,5,FALSE)</f>
        <v>55</v>
      </c>
      <c r="H1081" s="11">
        <f t="shared" si="64"/>
        <v>0</v>
      </c>
      <c r="I1081" s="11">
        <f t="shared" si="65"/>
        <v>0</v>
      </c>
      <c r="J1081" s="11">
        <f t="shared" si="67"/>
        <v>0</v>
      </c>
    </row>
    <row r="1082" spans="1:10" x14ac:dyDescent="0.3">
      <c r="A1082" s="7">
        <v>44894.999999999127</v>
      </c>
      <c r="B1082" s="8" t="s">
        <v>0</v>
      </c>
      <c r="C1082" s="8">
        <v>0</v>
      </c>
      <c r="D1082" t="str">
        <f t="shared" si="66"/>
        <v>Wednesday</v>
      </c>
      <c r="E1082">
        <v>49</v>
      </c>
      <c r="F1082" s="11">
        <f>VLOOKUP(B1082,'ITEMS LIST'!$B$2:$F$19,4,FALSE)</f>
        <v>549</v>
      </c>
      <c r="G1082" s="11">
        <f>VLOOKUP(B1082,'ITEMS LIST'!$B$2:$F$19,5,FALSE)</f>
        <v>365</v>
      </c>
      <c r="H1082" s="11">
        <f t="shared" si="64"/>
        <v>0</v>
      </c>
      <c r="I1082" s="11">
        <f t="shared" si="65"/>
        <v>0</v>
      </c>
      <c r="J1082" s="11">
        <f t="shared" si="67"/>
        <v>0</v>
      </c>
    </row>
    <row r="1083" spans="1:10" x14ac:dyDescent="0.3">
      <c r="A1083" s="7">
        <v>44895.055555554682</v>
      </c>
      <c r="B1083" s="8" t="s">
        <v>1</v>
      </c>
      <c r="C1083" s="8">
        <v>0</v>
      </c>
      <c r="D1083" t="str">
        <f t="shared" si="66"/>
        <v>Wednesday</v>
      </c>
      <c r="E1083">
        <v>49</v>
      </c>
      <c r="F1083" s="11">
        <f>VLOOKUP(B1083,'ITEMS LIST'!$B$2:$F$19,4,FALSE)</f>
        <v>699</v>
      </c>
      <c r="G1083" s="11">
        <f>VLOOKUP(B1083,'ITEMS LIST'!$B$2:$F$19,5,FALSE)</f>
        <v>550</v>
      </c>
      <c r="H1083" s="11">
        <f t="shared" si="64"/>
        <v>0</v>
      </c>
      <c r="I1083" s="11">
        <f t="shared" si="65"/>
        <v>0</v>
      </c>
      <c r="J1083" s="11">
        <f t="shared" si="67"/>
        <v>0</v>
      </c>
    </row>
    <row r="1084" spans="1:10" x14ac:dyDescent="0.3">
      <c r="A1084" s="7">
        <v>44895.111111110236</v>
      </c>
      <c r="B1084" s="8" t="s">
        <v>2</v>
      </c>
      <c r="C1084" s="8">
        <v>0</v>
      </c>
      <c r="D1084" t="str">
        <f t="shared" si="66"/>
        <v>Wednesday</v>
      </c>
      <c r="E1084">
        <v>49</v>
      </c>
      <c r="F1084" s="11">
        <f>VLOOKUP(B1084,'ITEMS LIST'!$B$2:$F$19,4,FALSE)</f>
        <v>739</v>
      </c>
      <c r="G1084" s="11">
        <f>VLOOKUP(B1084,'ITEMS LIST'!$B$2:$F$19,5,FALSE)</f>
        <v>620</v>
      </c>
      <c r="H1084" s="11">
        <f t="shared" si="64"/>
        <v>0</v>
      </c>
      <c r="I1084" s="11">
        <f t="shared" si="65"/>
        <v>0</v>
      </c>
      <c r="J1084" s="11">
        <f t="shared" si="67"/>
        <v>0</v>
      </c>
    </row>
    <row r="1085" spans="1:10" x14ac:dyDescent="0.3">
      <c r="A1085" s="7">
        <v>44895.166666665791</v>
      </c>
      <c r="B1085" s="8" t="s">
        <v>3</v>
      </c>
      <c r="C1085" s="8">
        <v>0</v>
      </c>
      <c r="D1085" t="str">
        <f t="shared" si="66"/>
        <v>Wednesday</v>
      </c>
      <c r="E1085">
        <v>49</v>
      </c>
      <c r="F1085" s="11">
        <f>VLOOKUP(B1085,'ITEMS LIST'!$B$2:$F$19,4,FALSE)</f>
        <v>899</v>
      </c>
      <c r="G1085" s="11">
        <f>VLOOKUP(B1085,'ITEMS LIST'!$B$2:$F$19,5,FALSE)</f>
        <v>714</v>
      </c>
      <c r="H1085" s="11">
        <f t="shared" si="64"/>
        <v>0</v>
      </c>
      <c r="I1085" s="11">
        <f t="shared" si="65"/>
        <v>0</v>
      </c>
      <c r="J1085" s="11">
        <f t="shared" si="67"/>
        <v>0</v>
      </c>
    </row>
    <row r="1086" spans="1:10" x14ac:dyDescent="0.3">
      <c r="A1086" s="7">
        <v>44895.222222221346</v>
      </c>
      <c r="B1086" s="8" t="s">
        <v>4</v>
      </c>
      <c r="C1086" s="8">
        <v>0</v>
      </c>
      <c r="D1086" t="str">
        <f t="shared" si="66"/>
        <v>Wednesday</v>
      </c>
      <c r="E1086">
        <v>49</v>
      </c>
      <c r="F1086" s="11">
        <f>VLOOKUP(B1086,'ITEMS LIST'!$B$2:$F$19,4,FALSE)</f>
        <v>1379</v>
      </c>
      <c r="G1086" s="11">
        <f>VLOOKUP(B1086,'ITEMS LIST'!$B$2:$F$19,5,FALSE)</f>
        <v>890</v>
      </c>
      <c r="H1086" s="11">
        <f t="shared" si="64"/>
        <v>0</v>
      </c>
      <c r="I1086" s="11">
        <f t="shared" si="65"/>
        <v>0</v>
      </c>
      <c r="J1086" s="11">
        <f t="shared" si="67"/>
        <v>0</v>
      </c>
    </row>
    <row r="1087" spans="1:10" x14ac:dyDescent="0.3">
      <c r="A1087" s="7">
        <v>44895.277777776901</v>
      </c>
      <c r="B1087" s="8" t="s">
        <v>5</v>
      </c>
      <c r="C1087" s="8">
        <v>0</v>
      </c>
      <c r="D1087" t="str">
        <f t="shared" si="66"/>
        <v>Wednesday</v>
      </c>
      <c r="E1087">
        <v>49</v>
      </c>
      <c r="F1087" s="11">
        <f>VLOOKUP(B1087,'ITEMS LIST'!$B$2:$F$19,4,FALSE)</f>
        <v>849</v>
      </c>
      <c r="G1087" s="11">
        <f>VLOOKUP(B1087,'ITEMS LIST'!$B$2:$F$19,5,FALSE)</f>
        <v>530</v>
      </c>
      <c r="H1087" s="11">
        <f t="shared" si="64"/>
        <v>0</v>
      </c>
      <c r="I1087" s="11">
        <f t="shared" si="65"/>
        <v>0</v>
      </c>
      <c r="J1087" s="11">
        <f t="shared" si="67"/>
        <v>0</v>
      </c>
    </row>
    <row r="1088" spans="1:10" x14ac:dyDescent="0.3">
      <c r="A1088" s="7">
        <v>44895.333333332455</v>
      </c>
      <c r="B1088" s="8" t="s">
        <v>6</v>
      </c>
      <c r="C1088" s="8">
        <v>0</v>
      </c>
      <c r="D1088" t="str">
        <f t="shared" si="66"/>
        <v>Wednesday</v>
      </c>
      <c r="E1088">
        <v>49</v>
      </c>
      <c r="F1088" s="11">
        <f>VLOOKUP(B1088,'ITEMS LIST'!$B$2:$F$19,4,FALSE)</f>
        <v>1000</v>
      </c>
      <c r="G1088" s="11">
        <f>VLOOKUP(B1088,'ITEMS LIST'!$B$2:$F$19,5,FALSE)</f>
        <v>768</v>
      </c>
      <c r="H1088" s="11">
        <f t="shared" si="64"/>
        <v>0</v>
      </c>
      <c r="I1088" s="11">
        <f t="shared" si="65"/>
        <v>0</v>
      </c>
      <c r="J1088" s="11">
        <f t="shared" si="67"/>
        <v>0</v>
      </c>
    </row>
    <row r="1089" spans="1:10" x14ac:dyDescent="0.3">
      <c r="A1089" s="7">
        <v>44895.38888888801</v>
      </c>
      <c r="B1089" s="8" t="s">
        <v>7</v>
      </c>
      <c r="C1089" s="8">
        <v>0</v>
      </c>
      <c r="D1089" t="str">
        <f t="shared" si="66"/>
        <v>Wednesday</v>
      </c>
      <c r="E1089">
        <v>49</v>
      </c>
      <c r="F1089" s="11">
        <f>VLOOKUP(B1089,'ITEMS LIST'!$B$2:$F$19,4,FALSE)</f>
        <v>680</v>
      </c>
      <c r="G1089" s="11">
        <f>VLOOKUP(B1089,'ITEMS LIST'!$B$2:$F$19,5,FALSE)</f>
        <v>570</v>
      </c>
      <c r="H1089" s="11">
        <f t="shared" si="64"/>
        <v>0</v>
      </c>
      <c r="I1089" s="11">
        <f t="shared" si="65"/>
        <v>0</v>
      </c>
      <c r="J1089" s="11">
        <f t="shared" si="67"/>
        <v>0</v>
      </c>
    </row>
    <row r="1090" spans="1:10" x14ac:dyDescent="0.3">
      <c r="A1090" s="7">
        <v>44895.444444443565</v>
      </c>
      <c r="B1090" s="8" t="s">
        <v>8</v>
      </c>
      <c r="C1090" s="8">
        <v>0</v>
      </c>
      <c r="D1090" t="str">
        <f t="shared" si="66"/>
        <v>Wednesday</v>
      </c>
      <c r="E1090">
        <v>49</v>
      </c>
      <c r="F1090" s="11">
        <f>VLOOKUP(B1090,'ITEMS LIST'!$B$2:$F$19,4,FALSE)</f>
        <v>199</v>
      </c>
      <c r="G1090" s="11">
        <f>VLOOKUP(B1090,'ITEMS LIST'!$B$2:$F$19,5,FALSE)</f>
        <v>140</v>
      </c>
      <c r="H1090" s="11">
        <f t="shared" ref="H1090:H1153" si="68">C1090*F1090</f>
        <v>0</v>
      </c>
      <c r="I1090" s="11">
        <f t="shared" ref="I1090:I1153" si="69">C1090*G1090</f>
        <v>0</v>
      </c>
      <c r="J1090" s="11">
        <f t="shared" si="67"/>
        <v>0</v>
      </c>
    </row>
    <row r="1091" spans="1:10" x14ac:dyDescent="0.3">
      <c r="A1091" s="7">
        <v>44895.49999999912</v>
      </c>
      <c r="B1091" s="8" t="s">
        <v>9</v>
      </c>
      <c r="C1091" s="8">
        <v>0</v>
      </c>
      <c r="D1091" t="str">
        <f t="shared" ref="D1091:D1154" si="70">TEXT(A1091,"dddd")</f>
        <v>Wednesday</v>
      </c>
      <c r="E1091">
        <v>49</v>
      </c>
      <c r="F1091" s="11">
        <f>VLOOKUP(B1091,'ITEMS LIST'!$B$2:$F$19,4,FALSE)</f>
        <v>219</v>
      </c>
      <c r="G1091" s="11">
        <f>VLOOKUP(B1091,'ITEMS LIST'!$B$2:$F$19,5,FALSE)</f>
        <v>132</v>
      </c>
      <c r="H1091" s="11">
        <f t="shared" si="68"/>
        <v>0</v>
      </c>
      <c r="I1091" s="11">
        <f t="shared" si="69"/>
        <v>0</v>
      </c>
      <c r="J1091" s="11">
        <f t="shared" ref="J1091:J1154" si="71">H1091-I1091</f>
        <v>0</v>
      </c>
    </row>
    <row r="1092" spans="1:10" x14ac:dyDescent="0.3">
      <c r="A1092" s="7">
        <v>44895.555555554674</v>
      </c>
      <c r="B1092" s="8" t="s">
        <v>10</v>
      </c>
      <c r="C1092" s="8">
        <v>1</v>
      </c>
      <c r="D1092" t="str">
        <f t="shared" si="70"/>
        <v>Wednesday</v>
      </c>
      <c r="E1092">
        <v>49</v>
      </c>
      <c r="F1092" s="11">
        <f>VLOOKUP(B1092,'ITEMS LIST'!$B$2:$F$19,4,FALSE)</f>
        <v>1469</v>
      </c>
      <c r="G1092" s="11">
        <f>VLOOKUP(B1092,'ITEMS LIST'!$B$2:$F$19,5,FALSE)</f>
        <v>1184</v>
      </c>
      <c r="H1092" s="11">
        <f t="shared" si="68"/>
        <v>1469</v>
      </c>
      <c r="I1092" s="11">
        <f t="shared" si="69"/>
        <v>1184</v>
      </c>
      <c r="J1092" s="11">
        <f t="shared" si="71"/>
        <v>285</v>
      </c>
    </row>
    <row r="1093" spans="1:10" x14ac:dyDescent="0.3">
      <c r="A1093" s="7">
        <v>44895.611111110229</v>
      </c>
      <c r="B1093" s="8" t="s">
        <v>11</v>
      </c>
      <c r="C1093" s="8">
        <v>0</v>
      </c>
      <c r="D1093" t="str">
        <f t="shared" si="70"/>
        <v>Wednesday</v>
      </c>
      <c r="E1093">
        <v>49</v>
      </c>
      <c r="F1093" s="11">
        <f>VLOOKUP(B1093,'ITEMS LIST'!$B$2:$F$19,4,FALSE)</f>
        <v>89</v>
      </c>
      <c r="G1093" s="11">
        <f>VLOOKUP(B1093,'ITEMS LIST'!$B$2:$F$19,5,FALSE)</f>
        <v>59</v>
      </c>
      <c r="H1093" s="11">
        <f t="shared" si="68"/>
        <v>0</v>
      </c>
      <c r="I1093" s="11">
        <f t="shared" si="69"/>
        <v>0</v>
      </c>
      <c r="J1093" s="11">
        <f t="shared" si="71"/>
        <v>0</v>
      </c>
    </row>
    <row r="1094" spans="1:10" x14ac:dyDescent="0.3">
      <c r="A1094" s="7">
        <v>44895.666666665784</v>
      </c>
      <c r="B1094" s="8" t="s">
        <v>12</v>
      </c>
      <c r="C1094" s="8">
        <v>0</v>
      </c>
      <c r="D1094" t="str">
        <f t="shared" si="70"/>
        <v>Wednesday</v>
      </c>
      <c r="E1094">
        <v>49</v>
      </c>
      <c r="F1094" s="11">
        <f>VLOOKUP(B1094,'ITEMS LIST'!$B$2:$F$19,4,FALSE)</f>
        <v>310</v>
      </c>
      <c r="G1094" s="11">
        <f>VLOOKUP(B1094,'ITEMS LIST'!$B$2:$F$19,5,FALSE)</f>
        <v>206</v>
      </c>
      <c r="H1094" s="11">
        <f t="shared" si="68"/>
        <v>0</v>
      </c>
      <c r="I1094" s="11">
        <f t="shared" si="69"/>
        <v>0</v>
      </c>
      <c r="J1094" s="11">
        <f t="shared" si="71"/>
        <v>0</v>
      </c>
    </row>
    <row r="1095" spans="1:10" x14ac:dyDescent="0.3">
      <c r="A1095" s="7">
        <v>44895.722222221339</v>
      </c>
      <c r="B1095" s="8" t="s">
        <v>13</v>
      </c>
      <c r="C1095" s="8">
        <v>0</v>
      </c>
      <c r="D1095" t="str">
        <f t="shared" si="70"/>
        <v>Wednesday</v>
      </c>
      <c r="E1095">
        <v>49</v>
      </c>
      <c r="F1095" s="11">
        <f>VLOOKUP(B1095,'ITEMS LIST'!$B$2:$F$19,4,FALSE)</f>
        <v>540</v>
      </c>
      <c r="G1095" s="11">
        <f>VLOOKUP(B1095,'ITEMS LIST'!$B$2:$F$19,5,FALSE)</f>
        <v>397</v>
      </c>
      <c r="H1095" s="11">
        <f t="shared" si="68"/>
        <v>0</v>
      </c>
      <c r="I1095" s="11">
        <f t="shared" si="69"/>
        <v>0</v>
      </c>
      <c r="J1095" s="11">
        <f t="shared" si="71"/>
        <v>0</v>
      </c>
    </row>
    <row r="1096" spans="1:10" x14ac:dyDescent="0.3">
      <c r="A1096" s="7">
        <v>44895.777777776893</v>
      </c>
      <c r="B1096" s="8" t="s">
        <v>14</v>
      </c>
      <c r="C1096" s="8">
        <v>0</v>
      </c>
      <c r="D1096" t="str">
        <f t="shared" si="70"/>
        <v>Wednesday</v>
      </c>
      <c r="E1096">
        <v>49</v>
      </c>
      <c r="F1096" s="11">
        <f>VLOOKUP(B1096,'ITEMS LIST'!$B$2:$F$19,4,FALSE)</f>
        <v>360</v>
      </c>
      <c r="G1096" s="11">
        <f>VLOOKUP(B1096,'ITEMS LIST'!$B$2:$F$19,5,FALSE)</f>
        <v>248</v>
      </c>
      <c r="H1096" s="11">
        <f t="shared" si="68"/>
        <v>0</v>
      </c>
      <c r="I1096" s="11">
        <f t="shared" si="69"/>
        <v>0</v>
      </c>
      <c r="J1096" s="11">
        <f t="shared" si="71"/>
        <v>0</v>
      </c>
    </row>
    <row r="1097" spans="1:10" x14ac:dyDescent="0.3">
      <c r="A1097" s="7">
        <v>44895.833333332448</v>
      </c>
      <c r="B1097" s="8" t="s">
        <v>15</v>
      </c>
      <c r="C1097" s="8">
        <v>0</v>
      </c>
      <c r="D1097" t="str">
        <f t="shared" si="70"/>
        <v>Wednesday</v>
      </c>
      <c r="E1097">
        <v>49</v>
      </c>
      <c r="F1097" s="11">
        <f>VLOOKUP(B1097,'ITEMS LIST'!$B$2:$F$19,4,FALSE)</f>
        <v>250</v>
      </c>
      <c r="G1097" s="11">
        <f>VLOOKUP(B1097,'ITEMS LIST'!$B$2:$F$19,5,FALSE)</f>
        <v>190</v>
      </c>
      <c r="H1097" s="11">
        <f t="shared" si="68"/>
        <v>0</v>
      </c>
      <c r="I1097" s="11">
        <f t="shared" si="69"/>
        <v>0</v>
      </c>
      <c r="J1097" s="11">
        <f t="shared" si="71"/>
        <v>0</v>
      </c>
    </row>
    <row r="1098" spans="1:10" x14ac:dyDescent="0.3">
      <c r="A1098" s="7">
        <v>44895.888888888003</v>
      </c>
      <c r="B1098" s="8" t="s">
        <v>16</v>
      </c>
      <c r="C1098" s="8">
        <v>0</v>
      </c>
      <c r="D1098" t="str">
        <f t="shared" si="70"/>
        <v>Wednesday</v>
      </c>
      <c r="E1098">
        <v>49</v>
      </c>
      <c r="F1098" s="11">
        <f>VLOOKUP(B1098,'ITEMS LIST'!$B$2:$F$19,4,FALSE)</f>
        <v>120</v>
      </c>
      <c r="G1098" s="11">
        <f>VLOOKUP(B1098,'ITEMS LIST'!$B$2:$F$19,5,FALSE)</f>
        <v>85</v>
      </c>
      <c r="H1098" s="11">
        <f t="shared" si="68"/>
        <v>0</v>
      </c>
      <c r="I1098" s="11">
        <f t="shared" si="69"/>
        <v>0</v>
      </c>
      <c r="J1098" s="11">
        <f t="shared" si="71"/>
        <v>0</v>
      </c>
    </row>
    <row r="1099" spans="1:10" x14ac:dyDescent="0.3">
      <c r="A1099" s="7">
        <v>44895.944444443558</v>
      </c>
      <c r="B1099" s="8" t="s">
        <v>17</v>
      </c>
      <c r="C1099" s="8">
        <v>0</v>
      </c>
      <c r="D1099" t="str">
        <f t="shared" si="70"/>
        <v>Wednesday</v>
      </c>
      <c r="E1099">
        <v>49</v>
      </c>
      <c r="F1099" s="11">
        <f>VLOOKUP(B1099,'ITEMS LIST'!$B$2:$F$19,4,FALSE)</f>
        <v>80</v>
      </c>
      <c r="G1099" s="11">
        <f>VLOOKUP(B1099,'ITEMS LIST'!$B$2:$F$19,5,FALSE)</f>
        <v>55</v>
      </c>
      <c r="H1099" s="11">
        <f t="shared" si="68"/>
        <v>0</v>
      </c>
      <c r="I1099" s="11">
        <f t="shared" si="69"/>
        <v>0</v>
      </c>
      <c r="J1099" s="11">
        <f t="shared" si="71"/>
        <v>0</v>
      </c>
    </row>
    <row r="1100" spans="1:10" x14ac:dyDescent="0.3">
      <c r="A1100" s="7">
        <v>44895.999999999112</v>
      </c>
      <c r="B1100" s="8" t="s">
        <v>0</v>
      </c>
      <c r="C1100" s="8">
        <v>0</v>
      </c>
      <c r="D1100" t="str">
        <f t="shared" si="70"/>
        <v>Thursday</v>
      </c>
      <c r="E1100">
        <v>49</v>
      </c>
      <c r="F1100" s="11">
        <f>VLOOKUP(B1100,'ITEMS LIST'!$B$2:$F$19,4,FALSE)</f>
        <v>549</v>
      </c>
      <c r="G1100" s="11">
        <f>VLOOKUP(B1100,'ITEMS LIST'!$B$2:$F$19,5,FALSE)</f>
        <v>365</v>
      </c>
      <c r="H1100" s="11">
        <f t="shared" si="68"/>
        <v>0</v>
      </c>
      <c r="I1100" s="11">
        <f t="shared" si="69"/>
        <v>0</v>
      </c>
      <c r="J1100" s="11">
        <f t="shared" si="71"/>
        <v>0</v>
      </c>
    </row>
    <row r="1101" spans="1:10" x14ac:dyDescent="0.3">
      <c r="A1101" s="7">
        <v>44896.055555554667</v>
      </c>
      <c r="B1101" s="8" t="s">
        <v>1</v>
      </c>
      <c r="C1101" s="8">
        <v>0</v>
      </c>
      <c r="D1101" t="str">
        <f t="shared" si="70"/>
        <v>Thursday</v>
      </c>
      <c r="E1101">
        <v>49</v>
      </c>
      <c r="F1101" s="11">
        <f>VLOOKUP(B1101,'ITEMS LIST'!$B$2:$F$19,4,FALSE)</f>
        <v>699</v>
      </c>
      <c r="G1101" s="11">
        <f>VLOOKUP(B1101,'ITEMS LIST'!$B$2:$F$19,5,FALSE)</f>
        <v>550</v>
      </c>
      <c r="H1101" s="11">
        <f t="shared" si="68"/>
        <v>0</v>
      </c>
      <c r="I1101" s="11">
        <f t="shared" si="69"/>
        <v>0</v>
      </c>
      <c r="J1101" s="11">
        <f t="shared" si="71"/>
        <v>0</v>
      </c>
    </row>
    <row r="1102" spans="1:10" x14ac:dyDescent="0.3">
      <c r="A1102" s="7">
        <v>44896.111111110222</v>
      </c>
      <c r="B1102" s="8" t="s">
        <v>2</v>
      </c>
      <c r="C1102" s="8">
        <v>0</v>
      </c>
      <c r="D1102" t="str">
        <f t="shared" si="70"/>
        <v>Thursday</v>
      </c>
      <c r="E1102">
        <v>49</v>
      </c>
      <c r="F1102" s="11">
        <f>VLOOKUP(B1102,'ITEMS LIST'!$B$2:$F$19,4,FALSE)</f>
        <v>739</v>
      </c>
      <c r="G1102" s="11">
        <f>VLOOKUP(B1102,'ITEMS LIST'!$B$2:$F$19,5,FALSE)</f>
        <v>620</v>
      </c>
      <c r="H1102" s="11">
        <f t="shared" si="68"/>
        <v>0</v>
      </c>
      <c r="I1102" s="11">
        <f t="shared" si="69"/>
        <v>0</v>
      </c>
      <c r="J1102" s="11">
        <f t="shared" si="71"/>
        <v>0</v>
      </c>
    </row>
    <row r="1103" spans="1:10" x14ac:dyDescent="0.3">
      <c r="A1103" s="7">
        <v>44896.166666665777</v>
      </c>
      <c r="B1103" s="8" t="s">
        <v>3</v>
      </c>
      <c r="C1103" s="8">
        <v>0</v>
      </c>
      <c r="D1103" t="str">
        <f t="shared" si="70"/>
        <v>Thursday</v>
      </c>
      <c r="E1103">
        <v>49</v>
      </c>
      <c r="F1103" s="11">
        <f>VLOOKUP(B1103,'ITEMS LIST'!$B$2:$F$19,4,FALSE)</f>
        <v>899</v>
      </c>
      <c r="G1103" s="11">
        <f>VLOOKUP(B1103,'ITEMS LIST'!$B$2:$F$19,5,FALSE)</f>
        <v>714</v>
      </c>
      <c r="H1103" s="11">
        <f t="shared" si="68"/>
        <v>0</v>
      </c>
      <c r="I1103" s="11">
        <f t="shared" si="69"/>
        <v>0</v>
      </c>
      <c r="J1103" s="11">
        <f t="shared" si="71"/>
        <v>0</v>
      </c>
    </row>
    <row r="1104" spans="1:10" x14ac:dyDescent="0.3">
      <c r="A1104" s="7">
        <v>44896.222222221331</v>
      </c>
      <c r="B1104" s="8" t="s">
        <v>4</v>
      </c>
      <c r="C1104" s="8">
        <v>0</v>
      </c>
      <c r="D1104" t="str">
        <f t="shared" si="70"/>
        <v>Thursday</v>
      </c>
      <c r="E1104">
        <v>49</v>
      </c>
      <c r="F1104" s="11">
        <f>VLOOKUP(B1104,'ITEMS LIST'!$B$2:$F$19,4,FALSE)</f>
        <v>1379</v>
      </c>
      <c r="G1104" s="11">
        <f>VLOOKUP(B1104,'ITEMS LIST'!$B$2:$F$19,5,FALSE)</f>
        <v>890</v>
      </c>
      <c r="H1104" s="11">
        <f t="shared" si="68"/>
        <v>0</v>
      </c>
      <c r="I1104" s="11">
        <f t="shared" si="69"/>
        <v>0</v>
      </c>
      <c r="J1104" s="11">
        <f t="shared" si="71"/>
        <v>0</v>
      </c>
    </row>
    <row r="1105" spans="1:10" x14ac:dyDescent="0.3">
      <c r="A1105" s="7">
        <v>44896.277777776886</v>
      </c>
      <c r="B1105" s="8" t="s">
        <v>5</v>
      </c>
      <c r="C1105" s="8">
        <v>0</v>
      </c>
      <c r="D1105" t="str">
        <f t="shared" si="70"/>
        <v>Thursday</v>
      </c>
      <c r="E1105">
        <v>49</v>
      </c>
      <c r="F1105" s="11">
        <f>VLOOKUP(B1105,'ITEMS LIST'!$B$2:$F$19,4,FALSE)</f>
        <v>849</v>
      </c>
      <c r="G1105" s="11">
        <f>VLOOKUP(B1105,'ITEMS LIST'!$B$2:$F$19,5,FALSE)</f>
        <v>530</v>
      </c>
      <c r="H1105" s="11">
        <f t="shared" si="68"/>
        <v>0</v>
      </c>
      <c r="I1105" s="11">
        <f t="shared" si="69"/>
        <v>0</v>
      </c>
      <c r="J1105" s="11">
        <f t="shared" si="71"/>
        <v>0</v>
      </c>
    </row>
    <row r="1106" spans="1:10" x14ac:dyDescent="0.3">
      <c r="A1106" s="7">
        <v>44896.333333332441</v>
      </c>
      <c r="B1106" s="8" t="s">
        <v>6</v>
      </c>
      <c r="C1106" s="8">
        <v>0</v>
      </c>
      <c r="D1106" t="str">
        <f t="shared" si="70"/>
        <v>Thursday</v>
      </c>
      <c r="E1106">
        <v>49</v>
      </c>
      <c r="F1106" s="11">
        <f>VLOOKUP(B1106,'ITEMS LIST'!$B$2:$F$19,4,FALSE)</f>
        <v>1000</v>
      </c>
      <c r="G1106" s="11">
        <f>VLOOKUP(B1106,'ITEMS LIST'!$B$2:$F$19,5,FALSE)</f>
        <v>768</v>
      </c>
      <c r="H1106" s="11">
        <f t="shared" si="68"/>
        <v>0</v>
      </c>
      <c r="I1106" s="11">
        <f t="shared" si="69"/>
        <v>0</v>
      </c>
      <c r="J1106" s="11">
        <f t="shared" si="71"/>
        <v>0</v>
      </c>
    </row>
    <row r="1107" spans="1:10" x14ac:dyDescent="0.3">
      <c r="A1107" s="7">
        <v>44896.388888887996</v>
      </c>
      <c r="B1107" s="8" t="s">
        <v>7</v>
      </c>
      <c r="C1107" s="8">
        <v>0</v>
      </c>
      <c r="D1107" t="str">
        <f t="shared" si="70"/>
        <v>Thursday</v>
      </c>
      <c r="E1107">
        <v>49</v>
      </c>
      <c r="F1107" s="11">
        <f>VLOOKUP(B1107,'ITEMS LIST'!$B$2:$F$19,4,FALSE)</f>
        <v>680</v>
      </c>
      <c r="G1107" s="11">
        <f>VLOOKUP(B1107,'ITEMS LIST'!$B$2:$F$19,5,FALSE)</f>
        <v>570</v>
      </c>
      <c r="H1107" s="11">
        <f t="shared" si="68"/>
        <v>0</v>
      </c>
      <c r="I1107" s="11">
        <f t="shared" si="69"/>
        <v>0</v>
      </c>
      <c r="J1107" s="11">
        <f t="shared" si="71"/>
        <v>0</v>
      </c>
    </row>
    <row r="1108" spans="1:10" x14ac:dyDescent="0.3">
      <c r="A1108" s="7">
        <v>44896.44444444355</v>
      </c>
      <c r="B1108" s="8" t="s">
        <v>8</v>
      </c>
      <c r="C1108" s="8">
        <v>0</v>
      </c>
      <c r="D1108" t="str">
        <f t="shared" si="70"/>
        <v>Thursday</v>
      </c>
      <c r="E1108">
        <v>49</v>
      </c>
      <c r="F1108" s="11">
        <f>VLOOKUP(B1108,'ITEMS LIST'!$B$2:$F$19,4,FALSE)</f>
        <v>199</v>
      </c>
      <c r="G1108" s="11">
        <f>VLOOKUP(B1108,'ITEMS LIST'!$B$2:$F$19,5,FALSE)</f>
        <v>140</v>
      </c>
      <c r="H1108" s="11">
        <f t="shared" si="68"/>
        <v>0</v>
      </c>
      <c r="I1108" s="11">
        <f t="shared" si="69"/>
        <v>0</v>
      </c>
      <c r="J1108" s="11">
        <f t="shared" si="71"/>
        <v>0</v>
      </c>
    </row>
    <row r="1109" spans="1:10" x14ac:dyDescent="0.3">
      <c r="A1109" s="7">
        <v>44896.499999999105</v>
      </c>
      <c r="B1109" s="8" t="s">
        <v>9</v>
      </c>
      <c r="C1109" s="8">
        <v>0</v>
      </c>
      <c r="D1109" t="str">
        <f t="shared" si="70"/>
        <v>Thursday</v>
      </c>
      <c r="E1109">
        <v>49</v>
      </c>
      <c r="F1109" s="11">
        <f>VLOOKUP(B1109,'ITEMS LIST'!$B$2:$F$19,4,FALSE)</f>
        <v>219</v>
      </c>
      <c r="G1109" s="11">
        <f>VLOOKUP(B1109,'ITEMS LIST'!$B$2:$F$19,5,FALSE)</f>
        <v>132</v>
      </c>
      <c r="H1109" s="11">
        <f t="shared" si="68"/>
        <v>0</v>
      </c>
      <c r="I1109" s="11">
        <f t="shared" si="69"/>
        <v>0</v>
      </c>
      <c r="J1109" s="11">
        <f t="shared" si="71"/>
        <v>0</v>
      </c>
    </row>
    <row r="1110" spans="1:10" x14ac:dyDescent="0.3">
      <c r="A1110" s="7">
        <v>44896.55555555466</v>
      </c>
      <c r="B1110" s="8" t="s">
        <v>10</v>
      </c>
      <c r="C1110" s="8">
        <v>2</v>
      </c>
      <c r="D1110" t="str">
        <f t="shared" si="70"/>
        <v>Thursday</v>
      </c>
      <c r="E1110">
        <v>49</v>
      </c>
      <c r="F1110" s="11">
        <f>VLOOKUP(B1110,'ITEMS LIST'!$B$2:$F$19,4,FALSE)</f>
        <v>1469</v>
      </c>
      <c r="G1110" s="11">
        <f>VLOOKUP(B1110,'ITEMS LIST'!$B$2:$F$19,5,FALSE)</f>
        <v>1184</v>
      </c>
      <c r="H1110" s="11">
        <f t="shared" si="68"/>
        <v>2938</v>
      </c>
      <c r="I1110" s="11">
        <f t="shared" si="69"/>
        <v>2368</v>
      </c>
      <c r="J1110" s="11">
        <f t="shared" si="71"/>
        <v>570</v>
      </c>
    </row>
    <row r="1111" spans="1:10" x14ac:dyDescent="0.3">
      <c r="A1111" s="7">
        <v>44896.611111110215</v>
      </c>
      <c r="B1111" s="8" t="s">
        <v>11</v>
      </c>
      <c r="C1111" s="8">
        <v>0</v>
      </c>
      <c r="D1111" t="str">
        <f t="shared" si="70"/>
        <v>Thursday</v>
      </c>
      <c r="E1111">
        <v>49</v>
      </c>
      <c r="F1111" s="11">
        <f>VLOOKUP(B1111,'ITEMS LIST'!$B$2:$F$19,4,FALSE)</f>
        <v>89</v>
      </c>
      <c r="G1111" s="11">
        <f>VLOOKUP(B1111,'ITEMS LIST'!$B$2:$F$19,5,FALSE)</f>
        <v>59</v>
      </c>
      <c r="H1111" s="11">
        <f t="shared" si="68"/>
        <v>0</v>
      </c>
      <c r="I1111" s="11">
        <f t="shared" si="69"/>
        <v>0</v>
      </c>
      <c r="J1111" s="11">
        <f t="shared" si="71"/>
        <v>0</v>
      </c>
    </row>
    <row r="1112" spans="1:10" x14ac:dyDescent="0.3">
      <c r="A1112" s="7">
        <v>44896.666666665769</v>
      </c>
      <c r="B1112" s="8" t="s">
        <v>12</v>
      </c>
      <c r="C1112" s="8">
        <v>0</v>
      </c>
      <c r="D1112" t="str">
        <f t="shared" si="70"/>
        <v>Thursday</v>
      </c>
      <c r="E1112">
        <v>49</v>
      </c>
      <c r="F1112" s="11">
        <f>VLOOKUP(B1112,'ITEMS LIST'!$B$2:$F$19,4,FALSE)</f>
        <v>310</v>
      </c>
      <c r="G1112" s="11">
        <f>VLOOKUP(B1112,'ITEMS LIST'!$B$2:$F$19,5,FALSE)</f>
        <v>206</v>
      </c>
      <c r="H1112" s="11">
        <f t="shared" si="68"/>
        <v>0</v>
      </c>
      <c r="I1112" s="11">
        <f t="shared" si="69"/>
        <v>0</v>
      </c>
      <c r="J1112" s="11">
        <f t="shared" si="71"/>
        <v>0</v>
      </c>
    </row>
    <row r="1113" spans="1:10" x14ac:dyDescent="0.3">
      <c r="A1113" s="7">
        <v>44896.722222221324</v>
      </c>
      <c r="B1113" s="8" t="s">
        <v>13</v>
      </c>
      <c r="C1113" s="8">
        <v>0</v>
      </c>
      <c r="D1113" t="str">
        <f t="shared" si="70"/>
        <v>Thursday</v>
      </c>
      <c r="E1113">
        <v>49</v>
      </c>
      <c r="F1113" s="11">
        <f>VLOOKUP(B1113,'ITEMS LIST'!$B$2:$F$19,4,FALSE)</f>
        <v>540</v>
      </c>
      <c r="G1113" s="11">
        <f>VLOOKUP(B1113,'ITEMS LIST'!$B$2:$F$19,5,FALSE)</f>
        <v>397</v>
      </c>
      <c r="H1113" s="11">
        <f t="shared" si="68"/>
        <v>0</v>
      </c>
      <c r="I1113" s="11">
        <f t="shared" si="69"/>
        <v>0</v>
      </c>
      <c r="J1113" s="11">
        <f t="shared" si="71"/>
        <v>0</v>
      </c>
    </row>
    <row r="1114" spans="1:10" x14ac:dyDescent="0.3">
      <c r="A1114" s="7">
        <v>44896.777777776879</v>
      </c>
      <c r="B1114" s="8" t="s">
        <v>14</v>
      </c>
      <c r="C1114" s="8">
        <v>0</v>
      </c>
      <c r="D1114" t="str">
        <f t="shared" si="70"/>
        <v>Thursday</v>
      </c>
      <c r="E1114">
        <v>49</v>
      </c>
      <c r="F1114" s="11">
        <f>VLOOKUP(B1114,'ITEMS LIST'!$B$2:$F$19,4,FALSE)</f>
        <v>360</v>
      </c>
      <c r="G1114" s="11">
        <f>VLOOKUP(B1114,'ITEMS LIST'!$B$2:$F$19,5,FALSE)</f>
        <v>248</v>
      </c>
      <c r="H1114" s="11">
        <f t="shared" si="68"/>
        <v>0</v>
      </c>
      <c r="I1114" s="11">
        <f t="shared" si="69"/>
        <v>0</v>
      </c>
      <c r="J1114" s="11">
        <f t="shared" si="71"/>
        <v>0</v>
      </c>
    </row>
    <row r="1115" spans="1:10" x14ac:dyDescent="0.3">
      <c r="A1115" s="7">
        <v>44896.833333332434</v>
      </c>
      <c r="B1115" s="8" t="s">
        <v>15</v>
      </c>
      <c r="C1115" s="8">
        <v>0</v>
      </c>
      <c r="D1115" t="str">
        <f t="shared" si="70"/>
        <v>Thursday</v>
      </c>
      <c r="E1115">
        <v>49</v>
      </c>
      <c r="F1115" s="11">
        <f>VLOOKUP(B1115,'ITEMS LIST'!$B$2:$F$19,4,FALSE)</f>
        <v>250</v>
      </c>
      <c r="G1115" s="11">
        <f>VLOOKUP(B1115,'ITEMS LIST'!$B$2:$F$19,5,FALSE)</f>
        <v>190</v>
      </c>
      <c r="H1115" s="11">
        <f t="shared" si="68"/>
        <v>0</v>
      </c>
      <c r="I1115" s="11">
        <f t="shared" si="69"/>
        <v>0</v>
      </c>
      <c r="J1115" s="11">
        <f t="shared" si="71"/>
        <v>0</v>
      </c>
    </row>
    <row r="1116" spans="1:10" x14ac:dyDescent="0.3">
      <c r="A1116" s="7">
        <v>44896.888888887988</v>
      </c>
      <c r="B1116" s="8" t="s">
        <v>16</v>
      </c>
      <c r="C1116" s="8">
        <v>0</v>
      </c>
      <c r="D1116" t="str">
        <f t="shared" si="70"/>
        <v>Thursday</v>
      </c>
      <c r="E1116">
        <v>49</v>
      </c>
      <c r="F1116" s="11">
        <f>VLOOKUP(B1116,'ITEMS LIST'!$B$2:$F$19,4,FALSE)</f>
        <v>120</v>
      </c>
      <c r="G1116" s="11">
        <f>VLOOKUP(B1116,'ITEMS LIST'!$B$2:$F$19,5,FALSE)</f>
        <v>85</v>
      </c>
      <c r="H1116" s="11">
        <f t="shared" si="68"/>
        <v>0</v>
      </c>
      <c r="I1116" s="11">
        <f t="shared" si="69"/>
        <v>0</v>
      </c>
      <c r="J1116" s="11">
        <f t="shared" si="71"/>
        <v>0</v>
      </c>
    </row>
    <row r="1117" spans="1:10" x14ac:dyDescent="0.3">
      <c r="A1117" s="7">
        <v>44896.944444443543</v>
      </c>
      <c r="B1117" s="8" t="s">
        <v>17</v>
      </c>
      <c r="C1117" s="8">
        <v>0</v>
      </c>
      <c r="D1117" t="str">
        <f t="shared" si="70"/>
        <v>Thursday</v>
      </c>
      <c r="E1117">
        <v>49</v>
      </c>
      <c r="F1117" s="11">
        <f>VLOOKUP(B1117,'ITEMS LIST'!$B$2:$F$19,4,FALSE)</f>
        <v>80</v>
      </c>
      <c r="G1117" s="11">
        <f>VLOOKUP(B1117,'ITEMS LIST'!$B$2:$F$19,5,FALSE)</f>
        <v>55</v>
      </c>
      <c r="H1117" s="11">
        <f t="shared" si="68"/>
        <v>0</v>
      </c>
      <c r="I1117" s="11">
        <f t="shared" si="69"/>
        <v>0</v>
      </c>
      <c r="J1117" s="11">
        <f t="shared" si="71"/>
        <v>0</v>
      </c>
    </row>
    <row r="1118" spans="1:10" x14ac:dyDescent="0.3">
      <c r="A1118" s="7">
        <v>44896.999999999098</v>
      </c>
      <c r="B1118" s="8" t="s">
        <v>0</v>
      </c>
      <c r="C1118" s="8">
        <v>0</v>
      </c>
      <c r="D1118" t="str">
        <f t="shared" si="70"/>
        <v>Friday</v>
      </c>
      <c r="E1118">
        <v>49</v>
      </c>
      <c r="F1118" s="11">
        <f>VLOOKUP(B1118,'ITEMS LIST'!$B$2:$F$19,4,FALSE)</f>
        <v>549</v>
      </c>
      <c r="G1118" s="11">
        <f>VLOOKUP(B1118,'ITEMS LIST'!$B$2:$F$19,5,FALSE)</f>
        <v>365</v>
      </c>
      <c r="H1118" s="11">
        <f t="shared" si="68"/>
        <v>0</v>
      </c>
      <c r="I1118" s="11">
        <f t="shared" si="69"/>
        <v>0</v>
      </c>
      <c r="J1118" s="11">
        <f t="shared" si="71"/>
        <v>0</v>
      </c>
    </row>
    <row r="1119" spans="1:10" x14ac:dyDescent="0.3">
      <c r="A1119" s="7">
        <v>44897.055555554653</v>
      </c>
      <c r="B1119" s="8" t="s">
        <v>1</v>
      </c>
      <c r="C1119" s="8">
        <v>1</v>
      </c>
      <c r="D1119" t="str">
        <f t="shared" si="70"/>
        <v>Friday</v>
      </c>
      <c r="E1119">
        <v>49</v>
      </c>
      <c r="F1119" s="11">
        <f>VLOOKUP(B1119,'ITEMS LIST'!$B$2:$F$19,4,FALSE)</f>
        <v>699</v>
      </c>
      <c r="G1119" s="11">
        <f>VLOOKUP(B1119,'ITEMS LIST'!$B$2:$F$19,5,FALSE)</f>
        <v>550</v>
      </c>
      <c r="H1119" s="11">
        <f t="shared" si="68"/>
        <v>699</v>
      </c>
      <c r="I1119" s="11">
        <f t="shared" si="69"/>
        <v>550</v>
      </c>
      <c r="J1119" s="11">
        <f t="shared" si="71"/>
        <v>149</v>
      </c>
    </row>
    <row r="1120" spans="1:10" x14ac:dyDescent="0.3">
      <c r="A1120" s="7">
        <v>44897.111111110207</v>
      </c>
      <c r="B1120" s="8" t="s">
        <v>2</v>
      </c>
      <c r="C1120" s="8">
        <v>0</v>
      </c>
      <c r="D1120" t="str">
        <f t="shared" si="70"/>
        <v>Friday</v>
      </c>
      <c r="E1120">
        <v>49</v>
      </c>
      <c r="F1120" s="11">
        <f>VLOOKUP(B1120,'ITEMS LIST'!$B$2:$F$19,4,FALSE)</f>
        <v>739</v>
      </c>
      <c r="G1120" s="11">
        <f>VLOOKUP(B1120,'ITEMS LIST'!$B$2:$F$19,5,FALSE)</f>
        <v>620</v>
      </c>
      <c r="H1120" s="11">
        <f t="shared" si="68"/>
        <v>0</v>
      </c>
      <c r="I1120" s="11">
        <f t="shared" si="69"/>
        <v>0</v>
      </c>
      <c r="J1120" s="11">
        <f t="shared" si="71"/>
        <v>0</v>
      </c>
    </row>
    <row r="1121" spans="1:10" x14ac:dyDescent="0.3">
      <c r="A1121" s="7">
        <v>44897.166666665762</v>
      </c>
      <c r="B1121" s="8" t="s">
        <v>3</v>
      </c>
      <c r="C1121" s="8">
        <v>0</v>
      </c>
      <c r="D1121" t="str">
        <f t="shared" si="70"/>
        <v>Friday</v>
      </c>
      <c r="E1121">
        <v>49</v>
      </c>
      <c r="F1121" s="11">
        <f>VLOOKUP(B1121,'ITEMS LIST'!$B$2:$F$19,4,FALSE)</f>
        <v>899</v>
      </c>
      <c r="G1121" s="11">
        <f>VLOOKUP(B1121,'ITEMS LIST'!$B$2:$F$19,5,FALSE)</f>
        <v>714</v>
      </c>
      <c r="H1121" s="11">
        <f t="shared" si="68"/>
        <v>0</v>
      </c>
      <c r="I1121" s="11">
        <f t="shared" si="69"/>
        <v>0</v>
      </c>
      <c r="J1121" s="11">
        <f t="shared" si="71"/>
        <v>0</v>
      </c>
    </row>
    <row r="1122" spans="1:10" x14ac:dyDescent="0.3">
      <c r="A1122" s="7">
        <v>44897.222222221317</v>
      </c>
      <c r="B1122" s="8" t="s">
        <v>4</v>
      </c>
      <c r="C1122" s="8">
        <v>0</v>
      </c>
      <c r="D1122" t="str">
        <f t="shared" si="70"/>
        <v>Friday</v>
      </c>
      <c r="E1122">
        <v>49</v>
      </c>
      <c r="F1122" s="11">
        <f>VLOOKUP(B1122,'ITEMS LIST'!$B$2:$F$19,4,FALSE)</f>
        <v>1379</v>
      </c>
      <c r="G1122" s="11">
        <f>VLOOKUP(B1122,'ITEMS LIST'!$B$2:$F$19,5,FALSE)</f>
        <v>890</v>
      </c>
      <c r="H1122" s="11">
        <f t="shared" si="68"/>
        <v>0</v>
      </c>
      <c r="I1122" s="11">
        <f t="shared" si="69"/>
        <v>0</v>
      </c>
      <c r="J1122" s="11">
        <f t="shared" si="71"/>
        <v>0</v>
      </c>
    </row>
    <row r="1123" spans="1:10" x14ac:dyDescent="0.3">
      <c r="A1123" s="7">
        <v>44897.277777776872</v>
      </c>
      <c r="B1123" s="8" t="s">
        <v>5</v>
      </c>
      <c r="C1123" s="8">
        <v>1</v>
      </c>
      <c r="D1123" t="str">
        <f t="shared" si="70"/>
        <v>Friday</v>
      </c>
      <c r="E1123">
        <v>49</v>
      </c>
      <c r="F1123" s="11">
        <f>VLOOKUP(B1123,'ITEMS LIST'!$B$2:$F$19,4,FALSE)</f>
        <v>849</v>
      </c>
      <c r="G1123" s="11">
        <f>VLOOKUP(B1123,'ITEMS LIST'!$B$2:$F$19,5,FALSE)</f>
        <v>530</v>
      </c>
      <c r="H1123" s="11">
        <f t="shared" si="68"/>
        <v>849</v>
      </c>
      <c r="I1123" s="11">
        <f t="shared" si="69"/>
        <v>530</v>
      </c>
      <c r="J1123" s="11">
        <f t="shared" si="71"/>
        <v>319</v>
      </c>
    </row>
    <row r="1124" spans="1:10" x14ac:dyDescent="0.3">
      <c r="A1124" s="7">
        <v>44897.333333332426</v>
      </c>
      <c r="B1124" s="8" t="s">
        <v>6</v>
      </c>
      <c r="C1124" s="8">
        <v>0</v>
      </c>
      <c r="D1124" t="str">
        <f t="shared" si="70"/>
        <v>Friday</v>
      </c>
      <c r="E1124">
        <v>49</v>
      </c>
      <c r="F1124" s="11">
        <f>VLOOKUP(B1124,'ITEMS LIST'!$B$2:$F$19,4,FALSE)</f>
        <v>1000</v>
      </c>
      <c r="G1124" s="11">
        <f>VLOOKUP(B1124,'ITEMS LIST'!$B$2:$F$19,5,FALSE)</f>
        <v>768</v>
      </c>
      <c r="H1124" s="11">
        <f t="shared" si="68"/>
        <v>0</v>
      </c>
      <c r="I1124" s="11">
        <f t="shared" si="69"/>
        <v>0</v>
      </c>
      <c r="J1124" s="11">
        <f t="shared" si="71"/>
        <v>0</v>
      </c>
    </row>
    <row r="1125" spans="1:10" x14ac:dyDescent="0.3">
      <c r="A1125" s="7">
        <v>44897.388888887981</v>
      </c>
      <c r="B1125" s="8" t="s">
        <v>7</v>
      </c>
      <c r="C1125" s="8">
        <v>0</v>
      </c>
      <c r="D1125" t="str">
        <f t="shared" si="70"/>
        <v>Friday</v>
      </c>
      <c r="E1125">
        <v>49</v>
      </c>
      <c r="F1125" s="11">
        <f>VLOOKUP(B1125,'ITEMS LIST'!$B$2:$F$19,4,FALSE)</f>
        <v>680</v>
      </c>
      <c r="G1125" s="11">
        <f>VLOOKUP(B1125,'ITEMS LIST'!$B$2:$F$19,5,FALSE)</f>
        <v>570</v>
      </c>
      <c r="H1125" s="11">
        <f t="shared" si="68"/>
        <v>0</v>
      </c>
      <c r="I1125" s="11">
        <f t="shared" si="69"/>
        <v>0</v>
      </c>
      <c r="J1125" s="11">
        <f t="shared" si="71"/>
        <v>0</v>
      </c>
    </row>
    <row r="1126" spans="1:10" x14ac:dyDescent="0.3">
      <c r="A1126" s="7">
        <v>44897.444444443536</v>
      </c>
      <c r="B1126" s="8" t="s">
        <v>8</v>
      </c>
      <c r="C1126" s="8">
        <v>0</v>
      </c>
      <c r="D1126" t="str">
        <f t="shared" si="70"/>
        <v>Friday</v>
      </c>
      <c r="E1126">
        <v>49</v>
      </c>
      <c r="F1126" s="11">
        <f>VLOOKUP(B1126,'ITEMS LIST'!$B$2:$F$19,4,FALSE)</f>
        <v>199</v>
      </c>
      <c r="G1126" s="11">
        <f>VLOOKUP(B1126,'ITEMS LIST'!$B$2:$F$19,5,FALSE)</f>
        <v>140</v>
      </c>
      <c r="H1126" s="11">
        <f t="shared" si="68"/>
        <v>0</v>
      </c>
      <c r="I1126" s="11">
        <f t="shared" si="69"/>
        <v>0</v>
      </c>
      <c r="J1126" s="11">
        <f t="shared" si="71"/>
        <v>0</v>
      </c>
    </row>
    <row r="1127" spans="1:10" x14ac:dyDescent="0.3">
      <c r="A1127" s="7">
        <v>44897.499999999091</v>
      </c>
      <c r="B1127" s="8" t="s">
        <v>9</v>
      </c>
      <c r="C1127" s="8">
        <v>0</v>
      </c>
      <c r="D1127" t="str">
        <f t="shared" si="70"/>
        <v>Friday</v>
      </c>
      <c r="E1127">
        <v>49</v>
      </c>
      <c r="F1127" s="11">
        <f>VLOOKUP(B1127,'ITEMS LIST'!$B$2:$F$19,4,FALSE)</f>
        <v>219</v>
      </c>
      <c r="G1127" s="11">
        <f>VLOOKUP(B1127,'ITEMS LIST'!$B$2:$F$19,5,FALSE)</f>
        <v>132</v>
      </c>
      <c r="H1127" s="11">
        <f t="shared" si="68"/>
        <v>0</v>
      </c>
      <c r="I1127" s="11">
        <f t="shared" si="69"/>
        <v>0</v>
      </c>
      <c r="J1127" s="11">
        <f t="shared" si="71"/>
        <v>0</v>
      </c>
    </row>
    <row r="1128" spans="1:10" x14ac:dyDescent="0.3">
      <c r="A1128" s="7">
        <v>44897.555555554645</v>
      </c>
      <c r="B1128" s="8" t="s">
        <v>10</v>
      </c>
      <c r="C1128" s="8">
        <v>2</v>
      </c>
      <c r="D1128" t="str">
        <f t="shared" si="70"/>
        <v>Friday</v>
      </c>
      <c r="E1128">
        <v>49</v>
      </c>
      <c r="F1128" s="11">
        <f>VLOOKUP(B1128,'ITEMS LIST'!$B$2:$F$19,4,FALSE)</f>
        <v>1469</v>
      </c>
      <c r="G1128" s="11">
        <f>VLOOKUP(B1128,'ITEMS LIST'!$B$2:$F$19,5,FALSE)</f>
        <v>1184</v>
      </c>
      <c r="H1128" s="11">
        <f t="shared" si="68"/>
        <v>2938</v>
      </c>
      <c r="I1128" s="11">
        <f t="shared" si="69"/>
        <v>2368</v>
      </c>
      <c r="J1128" s="11">
        <f t="shared" si="71"/>
        <v>570</v>
      </c>
    </row>
    <row r="1129" spans="1:10" x14ac:dyDescent="0.3">
      <c r="A1129" s="7">
        <v>44897.6111111102</v>
      </c>
      <c r="B1129" s="8" t="s">
        <v>11</v>
      </c>
      <c r="C1129" s="8">
        <v>0</v>
      </c>
      <c r="D1129" t="str">
        <f t="shared" si="70"/>
        <v>Friday</v>
      </c>
      <c r="E1129">
        <v>49</v>
      </c>
      <c r="F1129" s="11">
        <f>VLOOKUP(B1129,'ITEMS LIST'!$B$2:$F$19,4,FALSE)</f>
        <v>89</v>
      </c>
      <c r="G1129" s="11">
        <f>VLOOKUP(B1129,'ITEMS LIST'!$B$2:$F$19,5,FALSE)</f>
        <v>59</v>
      </c>
      <c r="H1129" s="11">
        <f t="shared" si="68"/>
        <v>0</v>
      </c>
      <c r="I1129" s="11">
        <f t="shared" si="69"/>
        <v>0</v>
      </c>
      <c r="J1129" s="11">
        <f t="shared" si="71"/>
        <v>0</v>
      </c>
    </row>
    <row r="1130" spans="1:10" x14ac:dyDescent="0.3">
      <c r="A1130" s="7">
        <v>44897.666666665755</v>
      </c>
      <c r="B1130" s="8" t="s">
        <v>12</v>
      </c>
      <c r="C1130" s="8">
        <v>0</v>
      </c>
      <c r="D1130" t="str">
        <f t="shared" si="70"/>
        <v>Friday</v>
      </c>
      <c r="E1130">
        <v>49</v>
      </c>
      <c r="F1130" s="11">
        <f>VLOOKUP(B1130,'ITEMS LIST'!$B$2:$F$19,4,FALSE)</f>
        <v>310</v>
      </c>
      <c r="G1130" s="11">
        <f>VLOOKUP(B1130,'ITEMS LIST'!$B$2:$F$19,5,FALSE)</f>
        <v>206</v>
      </c>
      <c r="H1130" s="11">
        <f t="shared" si="68"/>
        <v>0</v>
      </c>
      <c r="I1130" s="11">
        <f t="shared" si="69"/>
        <v>0</v>
      </c>
      <c r="J1130" s="11">
        <f t="shared" si="71"/>
        <v>0</v>
      </c>
    </row>
    <row r="1131" spans="1:10" x14ac:dyDescent="0.3">
      <c r="A1131" s="7">
        <v>44897.722222221309</v>
      </c>
      <c r="B1131" s="8" t="s">
        <v>13</v>
      </c>
      <c r="C1131" s="8">
        <v>0</v>
      </c>
      <c r="D1131" t="str">
        <f t="shared" si="70"/>
        <v>Friday</v>
      </c>
      <c r="E1131">
        <v>49</v>
      </c>
      <c r="F1131" s="11">
        <f>VLOOKUP(B1131,'ITEMS LIST'!$B$2:$F$19,4,FALSE)</f>
        <v>540</v>
      </c>
      <c r="G1131" s="11">
        <f>VLOOKUP(B1131,'ITEMS LIST'!$B$2:$F$19,5,FALSE)</f>
        <v>397</v>
      </c>
      <c r="H1131" s="11">
        <f t="shared" si="68"/>
        <v>0</v>
      </c>
      <c r="I1131" s="11">
        <f t="shared" si="69"/>
        <v>0</v>
      </c>
      <c r="J1131" s="11">
        <f t="shared" si="71"/>
        <v>0</v>
      </c>
    </row>
    <row r="1132" spans="1:10" x14ac:dyDescent="0.3">
      <c r="A1132" s="7">
        <v>44897.777777776864</v>
      </c>
      <c r="B1132" s="8" t="s">
        <v>14</v>
      </c>
      <c r="C1132" s="8">
        <v>0</v>
      </c>
      <c r="D1132" t="str">
        <f t="shared" si="70"/>
        <v>Friday</v>
      </c>
      <c r="E1132">
        <v>49</v>
      </c>
      <c r="F1132" s="11">
        <f>VLOOKUP(B1132,'ITEMS LIST'!$B$2:$F$19,4,FALSE)</f>
        <v>360</v>
      </c>
      <c r="G1132" s="11">
        <f>VLOOKUP(B1132,'ITEMS LIST'!$B$2:$F$19,5,FALSE)</f>
        <v>248</v>
      </c>
      <c r="H1132" s="11">
        <f t="shared" si="68"/>
        <v>0</v>
      </c>
      <c r="I1132" s="11">
        <f t="shared" si="69"/>
        <v>0</v>
      </c>
      <c r="J1132" s="11">
        <f t="shared" si="71"/>
        <v>0</v>
      </c>
    </row>
    <row r="1133" spans="1:10" x14ac:dyDescent="0.3">
      <c r="A1133" s="7">
        <v>44897.833333332419</v>
      </c>
      <c r="B1133" s="8" t="s">
        <v>15</v>
      </c>
      <c r="C1133" s="8">
        <v>0</v>
      </c>
      <c r="D1133" t="str">
        <f t="shared" si="70"/>
        <v>Friday</v>
      </c>
      <c r="E1133">
        <v>49</v>
      </c>
      <c r="F1133" s="11">
        <f>VLOOKUP(B1133,'ITEMS LIST'!$B$2:$F$19,4,FALSE)</f>
        <v>250</v>
      </c>
      <c r="G1133" s="11">
        <f>VLOOKUP(B1133,'ITEMS LIST'!$B$2:$F$19,5,FALSE)</f>
        <v>190</v>
      </c>
      <c r="H1133" s="11">
        <f t="shared" si="68"/>
        <v>0</v>
      </c>
      <c r="I1133" s="11">
        <f t="shared" si="69"/>
        <v>0</v>
      </c>
      <c r="J1133" s="11">
        <f t="shared" si="71"/>
        <v>0</v>
      </c>
    </row>
    <row r="1134" spans="1:10" x14ac:dyDescent="0.3">
      <c r="A1134" s="7">
        <v>44897.888888887974</v>
      </c>
      <c r="B1134" s="8" t="s">
        <v>16</v>
      </c>
      <c r="C1134" s="8">
        <v>0</v>
      </c>
      <c r="D1134" t="str">
        <f t="shared" si="70"/>
        <v>Friday</v>
      </c>
      <c r="E1134">
        <v>49</v>
      </c>
      <c r="F1134" s="11">
        <f>VLOOKUP(B1134,'ITEMS LIST'!$B$2:$F$19,4,FALSE)</f>
        <v>120</v>
      </c>
      <c r="G1134" s="11">
        <f>VLOOKUP(B1134,'ITEMS LIST'!$B$2:$F$19,5,FALSE)</f>
        <v>85</v>
      </c>
      <c r="H1134" s="11">
        <f t="shared" si="68"/>
        <v>0</v>
      </c>
      <c r="I1134" s="11">
        <f t="shared" si="69"/>
        <v>0</v>
      </c>
      <c r="J1134" s="11">
        <f t="shared" si="71"/>
        <v>0</v>
      </c>
    </row>
    <row r="1135" spans="1:10" x14ac:dyDescent="0.3">
      <c r="A1135" s="7">
        <v>44897.944444443528</v>
      </c>
      <c r="B1135" s="8" t="s">
        <v>17</v>
      </c>
      <c r="C1135" s="8">
        <v>0</v>
      </c>
      <c r="D1135" t="str">
        <f t="shared" si="70"/>
        <v>Friday</v>
      </c>
      <c r="E1135">
        <v>49</v>
      </c>
      <c r="F1135" s="11">
        <f>VLOOKUP(B1135,'ITEMS LIST'!$B$2:$F$19,4,FALSE)</f>
        <v>80</v>
      </c>
      <c r="G1135" s="11">
        <f>VLOOKUP(B1135,'ITEMS LIST'!$B$2:$F$19,5,FALSE)</f>
        <v>55</v>
      </c>
      <c r="H1135" s="11">
        <f t="shared" si="68"/>
        <v>0</v>
      </c>
      <c r="I1135" s="11">
        <f t="shared" si="69"/>
        <v>0</v>
      </c>
      <c r="J1135" s="11">
        <f t="shared" si="71"/>
        <v>0</v>
      </c>
    </row>
    <row r="1136" spans="1:10" x14ac:dyDescent="0.3">
      <c r="A1136" s="7">
        <v>44897.999999999083</v>
      </c>
      <c r="B1136" s="8" t="s">
        <v>0</v>
      </c>
      <c r="C1136" s="8">
        <v>0</v>
      </c>
      <c r="D1136" t="str">
        <f t="shared" si="70"/>
        <v>Saturday</v>
      </c>
      <c r="E1136">
        <v>49</v>
      </c>
      <c r="F1136" s="11">
        <f>VLOOKUP(B1136,'ITEMS LIST'!$B$2:$F$19,4,FALSE)</f>
        <v>549</v>
      </c>
      <c r="G1136" s="11">
        <f>VLOOKUP(B1136,'ITEMS LIST'!$B$2:$F$19,5,FALSE)</f>
        <v>365</v>
      </c>
      <c r="H1136" s="11">
        <f t="shared" si="68"/>
        <v>0</v>
      </c>
      <c r="I1136" s="11">
        <f t="shared" si="69"/>
        <v>0</v>
      </c>
      <c r="J1136" s="11">
        <f t="shared" si="71"/>
        <v>0</v>
      </c>
    </row>
    <row r="1137" spans="1:10" x14ac:dyDescent="0.3">
      <c r="A1137" s="7">
        <v>44898.055555554638</v>
      </c>
      <c r="B1137" s="8" t="s">
        <v>1</v>
      </c>
      <c r="C1137" s="8">
        <v>2</v>
      </c>
      <c r="D1137" t="str">
        <f t="shared" si="70"/>
        <v>Saturday</v>
      </c>
      <c r="E1137">
        <v>49</v>
      </c>
      <c r="F1137" s="11">
        <f>VLOOKUP(B1137,'ITEMS LIST'!$B$2:$F$19,4,FALSE)</f>
        <v>699</v>
      </c>
      <c r="G1137" s="11">
        <f>VLOOKUP(B1137,'ITEMS LIST'!$B$2:$F$19,5,FALSE)</f>
        <v>550</v>
      </c>
      <c r="H1137" s="11">
        <f t="shared" si="68"/>
        <v>1398</v>
      </c>
      <c r="I1137" s="11">
        <f t="shared" si="69"/>
        <v>1100</v>
      </c>
      <c r="J1137" s="11">
        <f t="shared" si="71"/>
        <v>298</v>
      </c>
    </row>
    <row r="1138" spans="1:10" x14ac:dyDescent="0.3">
      <c r="A1138" s="7">
        <v>44898.111111110193</v>
      </c>
      <c r="B1138" s="8" t="s">
        <v>2</v>
      </c>
      <c r="C1138" s="8">
        <v>3</v>
      </c>
      <c r="D1138" t="str">
        <f t="shared" si="70"/>
        <v>Saturday</v>
      </c>
      <c r="E1138">
        <v>49</v>
      </c>
      <c r="F1138" s="11">
        <f>VLOOKUP(B1138,'ITEMS LIST'!$B$2:$F$19,4,FALSE)</f>
        <v>739</v>
      </c>
      <c r="G1138" s="11">
        <f>VLOOKUP(B1138,'ITEMS LIST'!$B$2:$F$19,5,FALSE)</f>
        <v>620</v>
      </c>
      <c r="H1138" s="11">
        <f t="shared" si="68"/>
        <v>2217</v>
      </c>
      <c r="I1138" s="11">
        <f t="shared" si="69"/>
        <v>1860</v>
      </c>
      <c r="J1138" s="11">
        <f t="shared" si="71"/>
        <v>357</v>
      </c>
    </row>
    <row r="1139" spans="1:10" x14ac:dyDescent="0.3">
      <c r="A1139" s="7">
        <v>44898.166666665747</v>
      </c>
      <c r="B1139" s="8" t="s">
        <v>3</v>
      </c>
      <c r="C1139" s="8">
        <v>0</v>
      </c>
      <c r="D1139" t="str">
        <f t="shared" si="70"/>
        <v>Saturday</v>
      </c>
      <c r="E1139">
        <v>49</v>
      </c>
      <c r="F1139" s="11">
        <f>VLOOKUP(B1139,'ITEMS LIST'!$B$2:$F$19,4,FALSE)</f>
        <v>899</v>
      </c>
      <c r="G1139" s="11">
        <f>VLOOKUP(B1139,'ITEMS LIST'!$B$2:$F$19,5,FALSE)</f>
        <v>714</v>
      </c>
      <c r="H1139" s="11">
        <f t="shared" si="68"/>
        <v>0</v>
      </c>
      <c r="I1139" s="11">
        <f t="shared" si="69"/>
        <v>0</v>
      </c>
      <c r="J1139" s="11">
        <f t="shared" si="71"/>
        <v>0</v>
      </c>
    </row>
    <row r="1140" spans="1:10" x14ac:dyDescent="0.3">
      <c r="A1140" s="7">
        <v>44898.222222221302</v>
      </c>
      <c r="B1140" s="8" t="s">
        <v>4</v>
      </c>
      <c r="C1140" s="8">
        <v>0</v>
      </c>
      <c r="D1140" t="str">
        <f t="shared" si="70"/>
        <v>Saturday</v>
      </c>
      <c r="E1140">
        <v>49</v>
      </c>
      <c r="F1140" s="11">
        <f>VLOOKUP(B1140,'ITEMS LIST'!$B$2:$F$19,4,FALSE)</f>
        <v>1379</v>
      </c>
      <c r="G1140" s="11">
        <f>VLOOKUP(B1140,'ITEMS LIST'!$B$2:$F$19,5,FALSE)</f>
        <v>890</v>
      </c>
      <c r="H1140" s="11">
        <f t="shared" si="68"/>
        <v>0</v>
      </c>
      <c r="I1140" s="11">
        <f t="shared" si="69"/>
        <v>0</v>
      </c>
      <c r="J1140" s="11">
        <f t="shared" si="71"/>
        <v>0</v>
      </c>
    </row>
    <row r="1141" spans="1:10" x14ac:dyDescent="0.3">
      <c r="A1141" s="7">
        <v>44898.277777776857</v>
      </c>
      <c r="B1141" s="8" t="s">
        <v>5</v>
      </c>
      <c r="C1141" s="8">
        <v>2</v>
      </c>
      <c r="D1141" t="str">
        <f t="shared" si="70"/>
        <v>Saturday</v>
      </c>
      <c r="E1141">
        <v>49</v>
      </c>
      <c r="F1141" s="11">
        <f>VLOOKUP(B1141,'ITEMS LIST'!$B$2:$F$19,4,FALSE)</f>
        <v>849</v>
      </c>
      <c r="G1141" s="11">
        <f>VLOOKUP(B1141,'ITEMS LIST'!$B$2:$F$19,5,FALSE)</f>
        <v>530</v>
      </c>
      <c r="H1141" s="11">
        <f t="shared" si="68"/>
        <v>1698</v>
      </c>
      <c r="I1141" s="11">
        <f t="shared" si="69"/>
        <v>1060</v>
      </c>
      <c r="J1141" s="11">
        <f t="shared" si="71"/>
        <v>638</v>
      </c>
    </row>
    <row r="1142" spans="1:10" x14ac:dyDescent="0.3">
      <c r="A1142" s="7">
        <v>44898.333333332412</v>
      </c>
      <c r="B1142" s="8" t="s">
        <v>6</v>
      </c>
      <c r="C1142" s="8">
        <v>0</v>
      </c>
      <c r="D1142" t="str">
        <f t="shared" si="70"/>
        <v>Saturday</v>
      </c>
      <c r="E1142">
        <v>49</v>
      </c>
      <c r="F1142" s="11">
        <f>VLOOKUP(B1142,'ITEMS LIST'!$B$2:$F$19,4,FALSE)</f>
        <v>1000</v>
      </c>
      <c r="G1142" s="11">
        <f>VLOOKUP(B1142,'ITEMS LIST'!$B$2:$F$19,5,FALSE)</f>
        <v>768</v>
      </c>
      <c r="H1142" s="11">
        <f t="shared" si="68"/>
        <v>0</v>
      </c>
      <c r="I1142" s="11">
        <f t="shared" si="69"/>
        <v>0</v>
      </c>
      <c r="J1142" s="11">
        <f t="shared" si="71"/>
        <v>0</v>
      </c>
    </row>
    <row r="1143" spans="1:10" x14ac:dyDescent="0.3">
      <c r="A1143" s="7">
        <v>44898.388888887966</v>
      </c>
      <c r="B1143" s="8" t="s">
        <v>7</v>
      </c>
      <c r="C1143" s="8">
        <v>0</v>
      </c>
      <c r="D1143" t="str">
        <f t="shared" si="70"/>
        <v>Saturday</v>
      </c>
      <c r="E1143">
        <v>49</v>
      </c>
      <c r="F1143" s="11">
        <f>VLOOKUP(B1143,'ITEMS LIST'!$B$2:$F$19,4,FALSE)</f>
        <v>680</v>
      </c>
      <c r="G1143" s="11">
        <f>VLOOKUP(B1143,'ITEMS LIST'!$B$2:$F$19,5,FALSE)</f>
        <v>570</v>
      </c>
      <c r="H1143" s="11">
        <f t="shared" si="68"/>
        <v>0</v>
      </c>
      <c r="I1143" s="11">
        <f t="shared" si="69"/>
        <v>0</v>
      </c>
      <c r="J1143" s="11">
        <f t="shared" si="71"/>
        <v>0</v>
      </c>
    </row>
    <row r="1144" spans="1:10" x14ac:dyDescent="0.3">
      <c r="A1144" s="7">
        <v>44898.444444443521</v>
      </c>
      <c r="B1144" s="8" t="s">
        <v>8</v>
      </c>
      <c r="C1144" s="8">
        <v>0</v>
      </c>
      <c r="D1144" t="str">
        <f t="shared" si="70"/>
        <v>Saturday</v>
      </c>
      <c r="E1144">
        <v>49</v>
      </c>
      <c r="F1144" s="11">
        <f>VLOOKUP(B1144,'ITEMS LIST'!$B$2:$F$19,4,FALSE)</f>
        <v>199</v>
      </c>
      <c r="G1144" s="11">
        <f>VLOOKUP(B1144,'ITEMS LIST'!$B$2:$F$19,5,FALSE)</f>
        <v>140</v>
      </c>
      <c r="H1144" s="11">
        <f t="shared" si="68"/>
        <v>0</v>
      </c>
      <c r="I1144" s="11">
        <f t="shared" si="69"/>
        <v>0</v>
      </c>
      <c r="J1144" s="11">
        <f t="shared" si="71"/>
        <v>0</v>
      </c>
    </row>
    <row r="1145" spans="1:10" x14ac:dyDescent="0.3">
      <c r="A1145" s="7">
        <v>44898.499999999076</v>
      </c>
      <c r="B1145" s="8" t="s">
        <v>9</v>
      </c>
      <c r="C1145" s="8">
        <v>0</v>
      </c>
      <c r="D1145" t="str">
        <f t="shared" si="70"/>
        <v>Saturday</v>
      </c>
      <c r="E1145">
        <v>49</v>
      </c>
      <c r="F1145" s="11">
        <f>VLOOKUP(B1145,'ITEMS LIST'!$B$2:$F$19,4,FALSE)</f>
        <v>219</v>
      </c>
      <c r="G1145" s="11">
        <f>VLOOKUP(B1145,'ITEMS LIST'!$B$2:$F$19,5,FALSE)</f>
        <v>132</v>
      </c>
      <c r="H1145" s="11">
        <f t="shared" si="68"/>
        <v>0</v>
      </c>
      <c r="I1145" s="11">
        <f t="shared" si="69"/>
        <v>0</v>
      </c>
      <c r="J1145" s="11">
        <f t="shared" si="71"/>
        <v>0</v>
      </c>
    </row>
    <row r="1146" spans="1:10" x14ac:dyDescent="0.3">
      <c r="A1146" s="7">
        <v>44898.555555554631</v>
      </c>
      <c r="B1146" s="8" t="s">
        <v>10</v>
      </c>
      <c r="C1146" s="8">
        <v>1</v>
      </c>
      <c r="D1146" t="str">
        <f t="shared" si="70"/>
        <v>Saturday</v>
      </c>
      <c r="E1146">
        <v>49</v>
      </c>
      <c r="F1146" s="11">
        <f>VLOOKUP(B1146,'ITEMS LIST'!$B$2:$F$19,4,FALSE)</f>
        <v>1469</v>
      </c>
      <c r="G1146" s="11">
        <f>VLOOKUP(B1146,'ITEMS LIST'!$B$2:$F$19,5,FALSE)</f>
        <v>1184</v>
      </c>
      <c r="H1146" s="11">
        <f t="shared" si="68"/>
        <v>1469</v>
      </c>
      <c r="I1146" s="11">
        <f t="shared" si="69"/>
        <v>1184</v>
      </c>
      <c r="J1146" s="11">
        <f t="shared" si="71"/>
        <v>285</v>
      </c>
    </row>
    <row r="1147" spans="1:10" x14ac:dyDescent="0.3">
      <c r="A1147" s="7">
        <v>44898.611111110185</v>
      </c>
      <c r="B1147" s="8" t="s">
        <v>11</v>
      </c>
      <c r="C1147" s="8">
        <v>0</v>
      </c>
      <c r="D1147" t="str">
        <f t="shared" si="70"/>
        <v>Saturday</v>
      </c>
      <c r="E1147">
        <v>49</v>
      </c>
      <c r="F1147" s="11">
        <f>VLOOKUP(B1147,'ITEMS LIST'!$B$2:$F$19,4,FALSE)</f>
        <v>89</v>
      </c>
      <c r="G1147" s="11">
        <f>VLOOKUP(B1147,'ITEMS LIST'!$B$2:$F$19,5,FALSE)</f>
        <v>59</v>
      </c>
      <c r="H1147" s="11">
        <f t="shared" si="68"/>
        <v>0</v>
      </c>
      <c r="I1147" s="11">
        <f t="shared" si="69"/>
        <v>0</v>
      </c>
      <c r="J1147" s="11">
        <f t="shared" si="71"/>
        <v>0</v>
      </c>
    </row>
    <row r="1148" spans="1:10" x14ac:dyDescent="0.3">
      <c r="A1148" s="7">
        <v>44898.66666666574</v>
      </c>
      <c r="B1148" s="8" t="s">
        <v>12</v>
      </c>
      <c r="C1148" s="8">
        <v>0</v>
      </c>
      <c r="D1148" t="str">
        <f t="shared" si="70"/>
        <v>Saturday</v>
      </c>
      <c r="E1148">
        <v>49</v>
      </c>
      <c r="F1148" s="11">
        <f>VLOOKUP(B1148,'ITEMS LIST'!$B$2:$F$19,4,FALSE)</f>
        <v>310</v>
      </c>
      <c r="G1148" s="11">
        <f>VLOOKUP(B1148,'ITEMS LIST'!$B$2:$F$19,5,FALSE)</f>
        <v>206</v>
      </c>
      <c r="H1148" s="11">
        <f t="shared" si="68"/>
        <v>0</v>
      </c>
      <c r="I1148" s="11">
        <f t="shared" si="69"/>
        <v>0</v>
      </c>
      <c r="J1148" s="11">
        <f t="shared" si="71"/>
        <v>0</v>
      </c>
    </row>
    <row r="1149" spans="1:10" x14ac:dyDescent="0.3">
      <c r="A1149" s="7">
        <v>44898.722222221295</v>
      </c>
      <c r="B1149" s="8" t="s">
        <v>13</v>
      </c>
      <c r="C1149" s="8">
        <v>0</v>
      </c>
      <c r="D1149" t="str">
        <f t="shared" si="70"/>
        <v>Saturday</v>
      </c>
      <c r="E1149">
        <v>49</v>
      </c>
      <c r="F1149" s="11">
        <f>VLOOKUP(B1149,'ITEMS LIST'!$B$2:$F$19,4,FALSE)</f>
        <v>540</v>
      </c>
      <c r="G1149" s="11">
        <f>VLOOKUP(B1149,'ITEMS LIST'!$B$2:$F$19,5,FALSE)</f>
        <v>397</v>
      </c>
      <c r="H1149" s="11">
        <f t="shared" si="68"/>
        <v>0</v>
      </c>
      <c r="I1149" s="11">
        <f t="shared" si="69"/>
        <v>0</v>
      </c>
      <c r="J1149" s="11">
        <f t="shared" si="71"/>
        <v>0</v>
      </c>
    </row>
    <row r="1150" spans="1:10" x14ac:dyDescent="0.3">
      <c r="A1150" s="7">
        <v>44898.77777777685</v>
      </c>
      <c r="B1150" s="8" t="s">
        <v>14</v>
      </c>
      <c r="C1150" s="8">
        <v>0</v>
      </c>
      <c r="D1150" t="str">
        <f t="shared" si="70"/>
        <v>Saturday</v>
      </c>
      <c r="E1150">
        <v>49</v>
      </c>
      <c r="F1150" s="11">
        <f>VLOOKUP(B1150,'ITEMS LIST'!$B$2:$F$19,4,FALSE)</f>
        <v>360</v>
      </c>
      <c r="G1150" s="11">
        <f>VLOOKUP(B1150,'ITEMS LIST'!$B$2:$F$19,5,FALSE)</f>
        <v>248</v>
      </c>
      <c r="H1150" s="11">
        <f t="shared" si="68"/>
        <v>0</v>
      </c>
      <c r="I1150" s="11">
        <f t="shared" si="69"/>
        <v>0</v>
      </c>
      <c r="J1150" s="11">
        <f t="shared" si="71"/>
        <v>0</v>
      </c>
    </row>
    <row r="1151" spans="1:10" x14ac:dyDescent="0.3">
      <c r="A1151" s="7">
        <v>44898.833333332404</v>
      </c>
      <c r="B1151" s="8" t="s">
        <v>15</v>
      </c>
      <c r="C1151" s="8">
        <v>0</v>
      </c>
      <c r="D1151" t="str">
        <f t="shared" si="70"/>
        <v>Saturday</v>
      </c>
      <c r="E1151">
        <v>49</v>
      </c>
      <c r="F1151" s="11">
        <f>VLOOKUP(B1151,'ITEMS LIST'!$B$2:$F$19,4,FALSE)</f>
        <v>250</v>
      </c>
      <c r="G1151" s="11">
        <f>VLOOKUP(B1151,'ITEMS LIST'!$B$2:$F$19,5,FALSE)</f>
        <v>190</v>
      </c>
      <c r="H1151" s="11">
        <f t="shared" si="68"/>
        <v>0</v>
      </c>
      <c r="I1151" s="11">
        <f t="shared" si="69"/>
        <v>0</v>
      </c>
      <c r="J1151" s="11">
        <f t="shared" si="71"/>
        <v>0</v>
      </c>
    </row>
    <row r="1152" spans="1:10" x14ac:dyDescent="0.3">
      <c r="A1152" s="7">
        <v>44898.888888887959</v>
      </c>
      <c r="B1152" s="8" t="s">
        <v>16</v>
      </c>
      <c r="C1152" s="8">
        <v>0</v>
      </c>
      <c r="D1152" t="str">
        <f t="shared" si="70"/>
        <v>Saturday</v>
      </c>
      <c r="E1152">
        <v>49</v>
      </c>
      <c r="F1152" s="11">
        <f>VLOOKUP(B1152,'ITEMS LIST'!$B$2:$F$19,4,FALSE)</f>
        <v>120</v>
      </c>
      <c r="G1152" s="11">
        <f>VLOOKUP(B1152,'ITEMS LIST'!$B$2:$F$19,5,FALSE)</f>
        <v>85</v>
      </c>
      <c r="H1152" s="11">
        <f t="shared" si="68"/>
        <v>0</v>
      </c>
      <c r="I1152" s="11">
        <f t="shared" si="69"/>
        <v>0</v>
      </c>
      <c r="J1152" s="11">
        <f t="shared" si="71"/>
        <v>0</v>
      </c>
    </row>
    <row r="1153" spans="1:10" x14ac:dyDescent="0.3">
      <c r="A1153" s="7">
        <v>44898.944444443514</v>
      </c>
      <c r="B1153" s="8" t="s">
        <v>17</v>
      </c>
      <c r="C1153" s="8">
        <v>0</v>
      </c>
      <c r="D1153" t="str">
        <f t="shared" si="70"/>
        <v>Saturday</v>
      </c>
      <c r="E1153">
        <v>49</v>
      </c>
      <c r="F1153" s="11">
        <f>VLOOKUP(B1153,'ITEMS LIST'!$B$2:$F$19,4,FALSE)</f>
        <v>80</v>
      </c>
      <c r="G1153" s="11">
        <f>VLOOKUP(B1153,'ITEMS LIST'!$B$2:$F$19,5,FALSE)</f>
        <v>55</v>
      </c>
      <c r="H1153" s="11">
        <f t="shared" si="68"/>
        <v>0</v>
      </c>
      <c r="I1153" s="11">
        <f t="shared" si="69"/>
        <v>0</v>
      </c>
      <c r="J1153" s="11">
        <f t="shared" si="71"/>
        <v>0</v>
      </c>
    </row>
    <row r="1154" spans="1:10" x14ac:dyDescent="0.3">
      <c r="A1154" s="7">
        <v>44898.999999999069</v>
      </c>
      <c r="B1154" s="8" t="s">
        <v>0</v>
      </c>
      <c r="C1154" s="8">
        <v>0</v>
      </c>
      <c r="D1154" t="str">
        <f t="shared" si="70"/>
        <v>Sunday</v>
      </c>
      <c r="E1154">
        <v>50</v>
      </c>
      <c r="F1154" s="11">
        <f>VLOOKUP(B1154,'ITEMS LIST'!$B$2:$F$19,4,FALSE)</f>
        <v>549</v>
      </c>
      <c r="G1154" s="11">
        <f>VLOOKUP(B1154,'ITEMS LIST'!$B$2:$F$19,5,FALSE)</f>
        <v>365</v>
      </c>
      <c r="H1154" s="11">
        <f t="shared" ref="H1154:H1217" si="72">C1154*F1154</f>
        <v>0</v>
      </c>
      <c r="I1154" s="11">
        <f t="shared" ref="I1154:I1217" si="73">C1154*G1154</f>
        <v>0</v>
      </c>
      <c r="J1154" s="11">
        <f t="shared" si="71"/>
        <v>0</v>
      </c>
    </row>
    <row r="1155" spans="1:10" x14ac:dyDescent="0.3">
      <c r="A1155" s="7">
        <v>44899.055555554623</v>
      </c>
      <c r="B1155" s="8" t="s">
        <v>1</v>
      </c>
      <c r="C1155" s="8">
        <v>1</v>
      </c>
      <c r="D1155" t="str">
        <f t="shared" ref="D1155:D1218" si="74">TEXT(A1155,"dddd")</f>
        <v>Sunday</v>
      </c>
      <c r="E1155">
        <v>50</v>
      </c>
      <c r="F1155" s="11">
        <f>VLOOKUP(B1155,'ITEMS LIST'!$B$2:$F$19,4,FALSE)</f>
        <v>699</v>
      </c>
      <c r="G1155" s="11">
        <f>VLOOKUP(B1155,'ITEMS LIST'!$B$2:$F$19,5,FALSE)</f>
        <v>550</v>
      </c>
      <c r="H1155" s="11">
        <f t="shared" si="72"/>
        <v>699</v>
      </c>
      <c r="I1155" s="11">
        <f t="shared" si="73"/>
        <v>550</v>
      </c>
      <c r="J1155" s="11">
        <f t="shared" ref="J1155:J1218" si="75">H1155-I1155</f>
        <v>149</v>
      </c>
    </row>
    <row r="1156" spans="1:10" x14ac:dyDescent="0.3">
      <c r="A1156" s="7">
        <v>44899.111111110178</v>
      </c>
      <c r="B1156" s="8" t="s">
        <v>2</v>
      </c>
      <c r="C1156" s="8">
        <v>0</v>
      </c>
      <c r="D1156" t="str">
        <f t="shared" si="74"/>
        <v>Sunday</v>
      </c>
      <c r="E1156">
        <v>50</v>
      </c>
      <c r="F1156" s="11">
        <f>VLOOKUP(B1156,'ITEMS LIST'!$B$2:$F$19,4,FALSE)</f>
        <v>739</v>
      </c>
      <c r="G1156" s="11">
        <f>VLOOKUP(B1156,'ITEMS LIST'!$B$2:$F$19,5,FALSE)</f>
        <v>620</v>
      </c>
      <c r="H1156" s="11">
        <f t="shared" si="72"/>
        <v>0</v>
      </c>
      <c r="I1156" s="11">
        <f t="shared" si="73"/>
        <v>0</v>
      </c>
      <c r="J1156" s="11">
        <f t="shared" si="75"/>
        <v>0</v>
      </c>
    </row>
    <row r="1157" spans="1:10" x14ac:dyDescent="0.3">
      <c r="A1157" s="7">
        <v>44899.166666665733</v>
      </c>
      <c r="B1157" s="8" t="s">
        <v>3</v>
      </c>
      <c r="C1157" s="8">
        <v>0</v>
      </c>
      <c r="D1157" t="str">
        <f t="shared" si="74"/>
        <v>Sunday</v>
      </c>
      <c r="E1157">
        <v>50</v>
      </c>
      <c r="F1157" s="11">
        <f>VLOOKUP(B1157,'ITEMS LIST'!$B$2:$F$19,4,FALSE)</f>
        <v>899</v>
      </c>
      <c r="G1157" s="11">
        <f>VLOOKUP(B1157,'ITEMS LIST'!$B$2:$F$19,5,FALSE)</f>
        <v>714</v>
      </c>
      <c r="H1157" s="11">
        <f t="shared" si="72"/>
        <v>0</v>
      </c>
      <c r="I1157" s="11">
        <f t="shared" si="73"/>
        <v>0</v>
      </c>
      <c r="J1157" s="11">
        <f t="shared" si="75"/>
        <v>0</v>
      </c>
    </row>
    <row r="1158" spans="1:10" x14ac:dyDescent="0.3">
      <c r="A1158" s="7">
        <v>44899.222222221288</v>
      </c>
      <c r="B1158" s="8" t="s">
        <v>4</v>
      </c>
      <c r="C1158" s="8">
        <v>0</v>
      </c>
      <c r="D1158" t="str">
        <f t="shared" si="74"/>
        <v>Sunday</v>
      </c>
      <c r="E1158">
        <v>50</v>
      </c>
      <c r="F1158" s="11">
        <f>VLOOKUP(B1158,'ITEMS LIST'!$B$2:$F$19,4,FALSE)</f>
        <v>1379</v>
      </c>
      <c r="G1158" s="11">
        <f>VLOOKUP(B1158,'ITEMS LIST'!$B$2:$F$19,5,FALSE)</f>
        <v>890</v>
      </c>
      <c r="H1158" s="11">
        <f t="shared" si="72"/>
        <v>0</v>
      </c>
      <c r="I1158" s="11">
        <f t="shared" si="73"/>
        <v>0</v>
      </c>
      <c r="J1158" s="11">
        <f t="shared" si="75"/>
        <v>0</v>
      </c>
    </row>
    <row r="1159" spans="1:10" x14ac:dyDescent="0.3">
      <c r="A1159" s="7">
        <v>44899.277777776842</v>
      </c>
      <c r="B1159" s="8" t="s">
        <v>5</v>
      </c>
      <c r="C1159" s="8">
        <v>0</v>
      </c>
      <c r="D1159" t="str">
        <f t="shared" si="74"/>
        <v>Sunday</v>
      </c>
      <c r="E1159">
        <v>50</v>
      </c>
      <c r="F1159" s="11">
        <f>VLOOKUP(B1159,'ITEMS LIST'!$B$2:$F$19,4,FALSE)</f>
        <v>849</v>
      </c>
      <c r="G1159" s="11">
        <f>VLOOKUP(B1159,'ITEMS LIST'!$B$2:$F$19,5,FALSE)</f>
        <v>530</v>
      </c>
      <c r="H1159" s="11">
        <f t="shared" si="72"/>
        <v>0</v>
      </c>
      <c r="I1159" s="11">
        <f t="shared" si="73"/>
        <v>0</v>
      </c>
      <c r="J1159" s="11">
        <f t="shared" si="75"/>
        <v>0</v>
      </c>
    </row>
    <row r="1160" spans="1:10" x14ac:dyDescent="0.3">
      <c r="A1160" s="7">
        <v>44899.333333332397</v>
      </c>
      <c r="B1160" s="8" t="s">
        <v>6</v>
      </c>
      <c r="C1160" s="8">
        <v>0</v>
      </c>
      <c r="D1160" t="str">
        <f t="shared" si="74"/>
        <v>Sunday</v>
      </c>
      <c r="E1160">
        <v>50</v>
      </c>
      <c r="F1160" s="11">
        <f>VLOOKUP(B1160,'ITEMS LIST'!$B$2:$F$19,4,FALSE)</f>
        <v>1000</v>
      </c>
      <c r="G1160" s="11">
        <f>VLOOKUP(B1160,'ITEMS LIST'!$B$2:$F$19,5,FALSE)</f>
        <v>768</v>
      </c>
      <c r="H1160" s="11">
        <f t="shared" si="72"/>
        <v>0</v>
      </c>
      <c r="I1160" s="11">
        <f t="shared" si="73"/>
        <v>0</v>
      </c>
      <c r="J1160" s="11">
        <f t="shared" si="75"/>
        <v>0</v>
      </c>
    </row>
    <row r="1161" spans="1:10" x14ac:dyDescent="0.3">
      <c r="A1161" s="7">
        <v>44899.388888887952</v>
      </c>
      <c r="B1161" s="8" t="s">
        <v>7</v>
      </c>
      <c r="C1161" s="8">
        <v>0</v>
      </c>
      <c r="D1161" t="str">
        <f t="shared" si="74"/>
        <v>Sunday</v>
      </c>
      <c r="E1161">
        <v>50</v>
      </c>
      <c r="F1161" s="11">
        <f>VLOOKUP(B1161,'ITEMS LIST'!$B$2:$F$19,4,FALSE)</f>
        <v>680</v>
      </c>
      <c r="G1161" s="11">
        <f>VLOOKUP(B1161,'ITEMS LIST'!$B$2:$F$19,5,FALSE)</f>
        <v>570</v>
      </c>
      <c r="H1161" s="11">
        <f t="shared" si="72"/>
        <v>0</v>
      </c>
      <c r="I1161" s="11">
        <f t="shared" si="73"/>
        <v>0</v>
      </c>
      <c r="J1161" s="11">
        <f t="shared" si="75"/>
        <v>0</v>
      </c>
    </row>
    <row r="1162" spans="1:10" x14ac:dyDescent="0.3">
      <c r="A1162" s="7">
        <v>44899.444444443507</v>
      </c>
      <c r="B1162" s="8" t="s">
        <v>8</v>
      </c>
      <c r="C1162" s="8">
        <v>0</v>
      </c>
      <c r="D1162" t="str">
        <f t="shared" si="74"/>
        <v>Sunday</v>
      </c>
      <c r="E1162">
        <v>50</v>
      </c>
      <c r="F1162" s="11">
        <f>VLOOKUP(B1162,'ITEMS LIST'!$B$2:$F$19,4,FALSE)</f>
        <v>199</v>
      </c>
      <c r="G1162" s="11">
        <f>VLOOKUP(B1162,'ITEMS LIST'!$B$2:$F$19,5,FALSE)</f>
        <v>140</v>
      </c>
      <c r="H1162" s="11">
        <f t="shared" si="72"/>
        <v>0</v>
      </c>
      <c r="I1162" s="11">
        <f t="shared" si="73"/>
        <v>0</v>
      </c>
      <c r="J1162" s="11">
        <f t="shared" si="75"/>
        <v>0</v>
      </c>
    </row>
    <row r="1163" spans="1:10" x14ac:dyDescent="0.3">
      <c r="A1163" s="7">
        <v>44899.499999999061</v>
      </c>
      <c r="B1163" s="8" t="s">
        <v>9</v>
      </c>
      <c r="C1163" s="8">
        <v>0</v>
      </c>
      <c r="D1163" t="str">
        <f t="shared" si="74"/>
        <v>Sunday</v>
      </c>
      <c r="E1163">
        <v>50</v>
      </c>
      <c r="F1163" s="11">
        <f>VLOOKUP(B1163,'ITEMS LIST'!$B$2:$F$19,4,FALSE)</f>
        <v>219</v>
      </c>
      <c r="G1163" s="11">
        <f>VLOOKUP(B1163,'ITEMS LIST'!$B$2:$F$19,5,FALSE)</f>
        <v>132</v>
      </c>
      <c r="H1163" s="11">
        <f t="shared" si="72"/>
        <v>0</v>
      </c>
      <c r="I1163" s="11">
        <f t="shared" si="73"/>
        <v>0</v>
      </c>
      <c r="J1163" s="11">
        <f t="shared" si="75"/>
        <v>0</v>
      </c>
    </row>
    <row r="1164" spans="1:10" x14ac:dyDescent="0.3">
      <c r="A1164" s="7">
        <v>44899.555555554616</v>
      </c>
      <c r="B1164" s="8" t="s">
        <v>10</v>
      </c>
      <c r="C1164" s="8">
        <v>0</v>
      </c>
      <c r="D1164" t="str">
        <f t="shared" si="74"/>
        <v>Sunday</v>
      </c>
      <c r="E1164">
        <v>50</v>
      </c>
      <c r="F1164" s="11">
        <f>VLOOKUP(B1164,'ITEMS LIST'!$B$2:$F$19,4,FALSE)</f>
        <v>1469</v>
      </c>
      <c r="G1164" s="11">
        <f>VLOOKUP(B1164,'ITEMS LIST'!$B$2:$F$19,5,FALSE)</f>
        <v>1184</v>
      </c>
      <c r="H1164" s="11">
        <f t="shared" si="72"/>
        <v>0</v>
      </c>
      <c r="I1164" s="11">
        <f t="shared" si="73"/>
        <v>0</v>
      </c>
      <c r="J1164" s="11">
        <f t="shared" si="75"/>
        <v>0</v>
      </c>
    </row>
    <row r="1165" spans="1:10" x14ac:dyDescent="0.3">
      <c r="A1165" s="7">
        <v>44899.611111110171</v>
      </c>
      <c r="B1165" s="8" t="s">
        <v>11</v>
      </c>
      <c r="C1165" s="8">
        <v>0</v>
      </c>
      <c r="D1165" t="str">
        <f t="shared" si="74"/>
        <v>Sunday</v>
      </c>
      <c r="E1165">
        <v>50</v>
      </c>
      <c r="F1165" s="11">
        <f>VLOOKUP(B1165,'ITEMS LIST'!$B$2:$F$19,4,FALSE)</f>
        <v>89</v>
      </c>
      <c r="G1165" s="11">
        <f>VLOOKUP(B1165,'ITEMS LIST'!$B$2:$F$19,5,FALSE)</f>
        <v>59</v>
      </c>
      <c r="H1165" s="11">
        <f t="shared" si="72"/>
        <v>0</v>
      </c>
      <c r="I1165" s="11">
        <f t="shared" si="73"/>
        <v>0</v>
      </c>
      <c r="J1165" s="11">
        <f t="shared" si="75"/>
        <v>0</v>
      </c>
    </row>
    <row r="1166" spans="1:10" x14ac:dyDescent="0.3">
      <c r="A1166" s="7">
        <v>44899.666666665726</v>
      </c>
      <c r="B1166" s="8" t="s">
        <v>12</v>
      </c>
      <c r="C1166" s="8">
        <v>0</v>
      </c>
      <c r="D1166" t="str">
        <f t="shared" si="74"/>
        <v>Sunday</v>
      </c>
      <c r="E1166">
        <v>50</v>
      </c>
      <c r="F1166" s="11">
        <f>VLOOKUP(B1166,'ITEMS LIST'!$B$2:$F$19,4,FALSE)</f>
        <v>310</v>
      </c>
      <c r="G1166" s="11">
        <f>VLOOKUP(B1166,'ITEMS LIST'!$B$2:$F$19,5,FALSE)</f>
        <v>206</v>
      </c>
      <c r="H1166" s="11">
        <f t="shared" si="72"/>
        <v>0</v>
      </c>
      <c r="I1166" s="11">
        <f t="shared" si="73"/>
        <v>0</v>
      </c>
      <c r="J1166" s="11">
        <f t="shared" si="75"/>
        <v>0</v>
      </c>
    </row>
    <row r="1167" spans="1:10" x14ac:dyDescent="0.3">
      <c r="A1167" s="7">
        <v>44899.72222222128</v>
      </c>
      <c r="B1167" s="8" t="s">
        <v>13</v>
      </c>
      <c r="C1167" s="8">
        <v>0</v>
      </c>
      <c r="D1167" t="str">
        <f t="shared" si="74"/>
        <v>Sunday</v>
      </c>
      <c r="E1167">
        <v>50</v>
      </c>
      <c r="F1167" s="11">
        <f>VLOOKUP(B1167,'ITEMS LIST'!$B$2:$F$19,4,FALSE)</f>
        <v>540</v>
      </c>
      <c r="G1167" s="11">
        <f>VLOOKUP(B1167,'ITEMS LIST'!$B$2:$F$19,5,FALSE)</f>
        <v>397</v>
      </c>
      <c r="H1167" s="11">
        <f t="shared" si="72"/>
        <v>0</v>
      </c>
      <c r="I1167" s="11">
        <f t="shared" si="73"/>
        <v>0</v>
      </c>
      <c r="J1167" s="11">
        <f t="shared" si="75"/>
        <v>0</v>
      </c>
    </row>
    <row r="1168" spans="1:10" x14ac:dyDescent="0.3">
      <c r="A1168" s="7">
        <v>44899.777777776835</v>
      </c>
      <c r="B1168" s="8" t="s">
        <v>14</v>
      </c>
      <c r="C1168" s="8">
        <v>0</v>
      </c>
      <c r="D1168" t="str">
        <f t="shared" si="74"/>
        <v>Sunday</v>
      </c>
      <c r="E1168">
        <v>50</v>
      </c>
      <c r="F1168" s="11">
        <f>VLOOKUP(B1168,'ITEMS LIST'!$B$2:$F$19,4,FALSE)</f>
        <v>360</v>
      </c>
      <c r="G1168" s="11">
        <f>VLOOKUP(B1168,'ITEMS LIST'!$B$2:$F$19,5,FALSE)</f>
        <v>248</v>
      </c>
      <c r="H1168" s="11">
        <f t="shared" si="72"/>
        <v>0</v>
      </c>
      <c r="I1168" s="11">
        <f t="shared" si="73"/>
        <v>0</v>
      </c>
      <c r="J1168" s="11">
        <f t="shared" si="75"/>
        <v>0</v>
      </c>
    </row>
    <row r="1169" spans="1:10" x14ac:dyDescent="0.3">
      <c r="A1169" s="7">
        <v>44899.83333333239</v>
      </c>
      <c r="B1169" s="8" t="s">
        <v>15</v>
      </c>
      <c r="C1169" s="8">
        <v>0</v>
      </c>
      <c r="D1169" t="str">
        <f t="shared" si="74"/>
        <v>Sunday</v>
      </c>
      <c r="E1169">
        <v>50</v>
      </c>
      <c r="F1169" s="11">
        <f>VLOOKUP(B1169,'ITEMS LIST'!$B$2:$F$19,4,FALSE)</f>
        <v>250</v>
      </c>
      <c r="G1169" s="11">
        <f>VLOOKUP(B1169,'ITEMS LIST'!$B$2:$F$19,5,FALSE)</f>
        <v>190</v>
      </c>
      <c r="H1169" s="11">
        <f t="shared" si="72"/>
        <v>0</v>
      </c>
      <c r="I1169" s="11">
        <f t="shared" si="73"/>
        <v>0</v>
      </c>
      <c r="J1169" s="11">
        <f t="shared" si="75"/>
        <v>0</v>
      </c>
    </row>
    <row r="1170" spans="1:10" x14ac:dyDescent="0.3">
      <c r="A1170" s="7">
        <v>44899.888888887945</v>
      </c>
      <c r="B1170" s="8" t="s">
        <v>16</v>
      </c>
      <c r="C1170" s="8">
        <v>0</v>
      </c>
      <c r="D1170" t="str">
        <f t="shared" si="74"/>
        <v>Sunday</v>
      </c>
      <c r="E1170">
        <v>50</v>
      </c>
      <c r="F1170" s="11">
        <f>VLOOKUP(B1170,'ITEMS LIST'!$B$2:$F$19,4,FALSE)</f>
        <v>120</v>
      </c>
      <c r="G1170" s="11">
        <f>VLOOKUP(B1170,'ITEMS LIST'!$B$2:$F$19,5,FALSE)</f>
        <v>85</v>
      </c>
      <c r="H1170" s="11">
        <f t="shared" si="72"/>
        <v>0</v>
      </c>
      <c r="I1170" s="11">
        <f t="shared" si="73"/>
        <v>0</v>
      </c>
      <c r="J1170" s="11">
        <f t="shared" si="75"/>
        <v>0</v>
      </c>
    </row>
    <row r="1171" spans="1:10" x14ac:dyDescent="0.3">
      <c r="A1171" s="7">
        <v>44899.944444443499</v>
      </c>
      <c r="B1171" s="8" t="s">
        <v>17</v>
      </c>
      <c r="C1171" s="8">
        <v>0</v>
      </c>
      <c r="D1171" t="str">
        <f t="shared" si="74"/>
        <v>Sunday</v>
      </c>
      <c r="E1171">
        <v>50</v>
      </c>
      <c r="F1171" s="11">
        <f>VLOOKUP(B1171,'ITEMS LIST'!$B$2:$F$19,4,FALSE)</f>
        <v>80</v>
      </c>
      <c r="G1171" s="11">
        <f>VLOOKUP(B1171,'ITEMS LIST'!$B$2:$F$19,5,FALSE)</f>
        <v>55</v>
      </c>
      <c r="H1171" s="11">
        <f t="shared" si="72"/>
        <v>0</v>
      </c>
      <c r="I1171" s="11">
        <f t="shared" si="73"/>
        <v>0</v>
      </c>
      <c r="J1171" s="11">
        <f t="shared" si="75"/>
        <v>0</v>
      </c>
    </row>
    <row r="1172" spans="1:10" x14ac:dyDescent="0.3">
      <c r="A1172" s="7">
        <v>44899.999999999054</v>
      </c>
      <c r="B1172" s="8" t="s">
        <v>0</v>
      </c>
      <c r="C1172" s="8">
        <v>0</v>
      </c>
      <c r="D1172" t="str">
        <f t="shared" si="74"/>
        <v>Monday</v>
      </c>
      <c r="E1172">
        <v>50</v>
      </c>
      <c r="F1172" s="11">
        <f>VLOOKUP(B1172,'ITEMS LIST'!$B$2:$F$19,4,FALSE)</f>
        <v>549</v>
      </c>
      <c r="G1172" s="11">
        <f>VLOOKUP(B1172,'ITEMS LIST'!$B$2:$F$19,5,FALSE)</f>
        <v>365</v>
      </c>
      <c r="H1172" s="11">
        <f t="shared" si="72"/>
        <v>0</v>
      </c>
      <c r="I1172" s="11">
        <f t="shared" si="73"/>
        <v>0</v>
      </c>
      <c r="J1172" s="11">
        <f t="shared" si="75"/>
        <v>0</v>
      </c>
    </row>
    <row r="1173" spans="1:10" x14ac:dyDescent="0.3">
      <c r="A1173" s="7">
        <v>44900.055555554609</v>
      </c>
      <c r="B1173" s="8" t="s">
        <v>1</v>
      </c>
      <c r="C1173" s="8">
        <v>0</v>
      </c>
      <c r="D1173" t="str">
        <f t="shared" si="74"/>
        <v>Monday</v>
      </c>
      <c r="E1173">
        <v>50</v>
      </c>
      <c r="F1173" s="11">
        <f>VLOOKUP(B1173,'ITEMS LIST'!$B$2:$F$19,4,FALSE)</f>
        <v>699</v>
      </c>
      <c r="G1173" s="11">
        <f>VLOOKUP(B1173,'ITEMS LIST'!$B$2:$F$19,5,FALSE)</f>
        <v>550</v>
      </c>
      <c r="H1173" s="11">
        <f t="shared" si="72"/>
        <v>0</v>
      </c>
      <c r="I1173" s="11">
        <f t="shared" si="73"/>
        <v>0</v>
      </c>
      <c r="J1173" s="11">
        <f t="shared" si="75"/>
        <v>0</v>
      </c>
    </row>
    <row r="1174" spans="1:10" x14ac:dyDescent="0.3">
      <c r="A1174" s="7">
        <v>44900.111111110164</v>
      </c>
      <c r="B1174" s="8" t="s">
        <v>2</v>
      </c>
      <c r="C1174" s="8">
        <v>0</v>
      </c>
      <c r="D1174" t="str">
        <f t="shared" si="74"/>
        <v>Monday</v>
      </c>
      <c r="E1174">
        <v>50</v>
      </c>
      <c r="F1174" s="11">
        <f>VLOOKUP(B1174,'ITEMS LIST'!$B$2:$F$19,4,FALSE)</f>
        <v>739</v>
      </c>
      <c r="G1174" s="11">
        <f>VLOOKUP(B1174,'ITEMS LIST'!$B$2:$F$19,5,FALSE)</f>
        <v>620</v>
      </c>
      <c r="H1174" s="11">
        <f t="shared" si="72"/>
        <v>0</v>
      </c>
      <c r="I1174" s="11">
        <f t="shared" si="73"/>
        <v>0</v>
      </c>
      <c r="J1174" s="11">
        <f t="shared" si="75"/>
        <v>0</v>
      </c>
    </row>
    <row r="1175" spans="1:10" x14ac:dyDescent="0.3">
      <c r="A1175" s="7">
        <v>44900.166666665718</v>
      </c>
      <c r="B1175" s="8" t="s">
        <v>3</v>
      </c>
      <c r="C1175" s="8">
        <v>0</v>
      </c>
      <c r="D1175" t="str">
        <f t="shared" si="74"/>
        <v>Monday</v>
      </c>
      <c r="E1175">
        <v>50</v>
      </c>
      <c r="F1175" s="11">
        <f>VLOOKUP(B1175,'ITEMS LIST'!$B$2:$F$19,4,FALSE)</f>
        <v>899</v>
      </c>
      <c r="G1175" s="11">
        <f>VLOOKUP(B1175,'ITEMS LIST'!$B$2:$F$19,5,FALSE)</f>
        <v>714</v>
      </c>
      <c r="H1175" s="11">
        <f t="shared" si="72"/>
        <v>0</v>
      </c>
      <c r="I1175" s="11">
        <f t="shared" si="73"/>
        <v>0</v>
      </c>
      <c r="J1175" s="11">
        <f t="shared" si="75"/>
        <v>0</v>
      </c>
    </row>
    <row r="1176" spans="1:10" x14ac:dyDescent="0.3">
      <c r="A1176" s="7">
        <v>44900.222222221273</v>
      </c>
      <c r="B1176" s="8" t="s">
        <v>4</v>
      </c>
      <c r="C1176" s="8">
        <v>1</v>
      </c>
      <c r="D1176" t="str">
        <f t="shared" si="74"/>
        <v>Monday</v>
      </c>
      <c r="E1176">
        <v>50</v>
      </c>
      <c r="F1176" s="11">
        <f>VLOOKUP(B1176,'ITEMS LIST'!$B$2:$F$19,4,FALSE)</f>
        <v>1379</v>
      </c>
      <c r="G1176" s="11">
        <f>VLOOKUP(B1176,'ITEMS LIST'!$B$2:$F$19,5,FALSE)</f>
        <v>890</v>
      </c>
      <c r="H1176" s="11">
        <f t="shared" si="72"/>
        <v>1379</v>
      </c>
      <c r="I1176" s="11">
        <f t="shared" si="73"/>
        <v>890</v>
      </c>
      <c r="J1176" s="11">
        <f t="shared" si="75"/>
        <v>489</v>
      </c>
    </row>
    <row r="1177" spans="1:10" x14ac:dyDescent="0.3">
      <c r="A1177" s="7">
        <v>44900.277777776828</v>
      </c>
      <c r="B1177" s="8" t="s">
        <v>5</v>
      </c>
      <c r="C1177" s="8">
        <v>1</v>
      </c>
      <c r="D1177" t="str">
        <f t="shared" si="74"/>
        <v>Monday</v>
      </c>
      <c r="E1177">
        <v>50</v>
      </c>
      <c r="F1177" s="11">
        <f>VLOOKUP(B1177,'ITEMS LIST'!$B$2:$F$19,4,FALSE)</f>
        <v>849</v>
      </c>
      <c r="G1177" s="11">
        <f>VLOOKUP(B1177,'ITEMS LIST'!$B$2:$F$19,5,FALSE)</f>
        <v>530</v>
      </c>
      <c r="H1177" s="11">
        <f t="shared" si="72"/>
        <v>849</v>
      </c>
      <c r="I1177" s="11">
        <f t="shared" si="73"/>
        <v>530</v>
      </c>
      <c r="J1177" s="11">
        <f t="shared" si="75"/>
        <v>319</v>
      </c>
    </row>
    <row r="1178" spans="1:10" x14ac:dyDescent="0.3">
      <c r="A1178" s="7">
        <v>44900.333333332383</v>
      </c>
      <c r="B1178" s="8" t="s">
        <v>6</v>
      </c>
      <c r="C1178" s="8">
        <v>0</v>
      </c>
      <c r="D1178" t="str">
        <f t="shared" si="74"/>
        <v>Monday</v>
      </c>
      <c r="E1178">
        <v>50</v>
      </c>
      <c r="F1178" s="11">
        <f>VLOOKUP(B1178,'ITEMS LIST'!$B$2:$F$19,4,FALSE)</f>
        <v>1000</v>
      </c>
      <c r="G1178" s="11">
        <f>VLOOKUP(B1178,'ITEMS LIST'!$B$2:$F$19,5,FALSE)</f>
        <v>768</v>
      </c>
      <c r="H1178" s="11">
        <f t="shared" si="72"/>
        <v>0</v>
      </c>
      <c r="I1178" s="11">
        <f t="shared" si="73"/>
        <v>0</v>
      </c>
      <c r="J1178" s="11">
        <f t="shared" si="75"/>
        <v>0</v>
      </c>
    </row>
    <row r="1179" spans="1:10" x14ac:dyDescent="0.3">
      <c r="A1179" s="7">
        <v>44900.388888887937</v>
      </c>
      <c r="B1179" s="8" t="s">
        <v>7</v>
      </c>
      <c r="C1179" s="8">
        <v>0</v>
      </c>
      <c r="D1179" t="str">
        <f t="shared" si="74"/>
        <v>Monday</v>
      </c>
      <c r="E1179">
        <v>50</v>
      </c>
      <c r="F1179" s="11">
        <f>VLOOKUP(B1179,'ITEMS LIST'!$B$2:$F$19,4,FALSE)</f>
        <v>680</v>
      </c>
      <c r="G1179" s="11">
        <f>VLOOKUP(B1179,'ITEMS LIST'!$B$2:$F$19,5,FALSE)</f>
        <v>570</v>
      </c>
      <c r="H1179" s="11">
        <f t="shared" si="72"/>
        <v>0</v>
      </c>
      <c r="I1179" s="11">
        <f t="shared" si="73"/>
        <v>0</v>
      </c>
      <c r="J1179" s="11">
        <f t="shared" si="75"/>
        <v>0</v>
      </c>
    </row>
    <row r="1180" spans="1:10" x14ac:dyDescent="0.3">
      <c r="A1180" s="7">
        <v>44900.444444443492</v>
      </c>
      <c r="B1180" s="8" t="s">
        <v>8</v>
      </c>
      <c r="C1180" s="8">
        <v>0</v>
      </c>
      <c r="D1180" t="str">
        <f t="shared" si="74"/>
        <v>Monday</v>
      </c>
      <c r="E1180">
        <v>50</v>
      </c>
      <c r="F1180" s="11">
        <f>VLOOKUP(B1180,'ITEMS LIST'!$B$2:$F$19,4,FALSE)</f>
        <v>199</v>
      </c>
      <c r="G1180" s="11">
        <f>VLOOKUP(B1180,'ITEMS LIST'!$B$2:$F$19,5,FALSE)</f>
        <v>140</v>
      </c>
      <c r="H1180" s="11">
        <f t="shared" si="72"/>
        <v>0</v>
      </c>
      <c r="I1180" s="11">
        <f t="shared" si="73"/>
        <v>0</v>
      </c>
      <c r="J1180" s="11">
        <f t="shared" si="75"/>
        <v>0</v>
      </c>
    </row>
    <row r="1181" spans="1:10" x14ac:dyDescent="0.3">
      <c r="A1181" s="7">
        <v>44900.499999999047</v>
      </c>
      <c r="B1181" s="8" t="s">
        <v>9</v>
      </c>
      <c r="C1181" s="8">
        <v>0</v>
      </c>
      <c r="D1181" t="str">
        <f t="shared" si="74"/>
        <v>Monday</v>
      </c>
      <c r="E1181">
        <v>50</v>
      </c>
      <c r="F1181" s="11">
        <f>VLOOKUP(B1181,'ITEMS LIST'!$B$2:$F$19,4,FALSE)</f>
        <v>219</v>
      </c>
      <c r="G1181" s="11">
        <f>VLOOKUP(B1181,'ITEMS LIST'!$B$2:$F$19,5,FALSE)</f>
        <v>132</v>
      </c>
      <c r="H1181" s="11">
        <f t="shared" si="72"/>
        <v>0</v>
      </c>
      <c r="I1181" s="11">
        <f t="shared" si="73"/>
        <v>0</v>
      </c>
      <c r="J1181" s="11">
        <f t="shared" si="75"/>
        <v>0</v>
      </c>
    </row>
    <row r="1182" spans="1:10" x14ac:dyDescent="0.3">
      <c r="A1182" s="7">
        <v>44900.555555554602</v>
      </c>
      <c r="B1182" s="8" t="s">
        <v>10</v>
      </c>
      <c r="C1182" s="8">
        <v>5</v>
      </c>
      <c r="D1182" t="str">
        <f t="shared" si="74"/>
        <v>Monday</v>
      </c>
      <c r="E1182">
        <v>50</v>
      </c>
      <c r="F1182" s="11">
        <f>VLOOKUP(B1182,'ITEMS LIST'!$B$2:$F$19,4,FALSE)</f>
        <v>1469</v>
      </c>
      <c r="G1182" s="11">
        <f>VLOOKUP(B1182,'ITEMS LIST'!$B$2:$F$19,5,FALSE)</f>
        <v>1184</v>
      </c>
      <c r="H1182" s="11">
        <f t="shared" si="72"/>
        <v>7345</v>
      </c>
      <c r="I1182" s="11">
        <f t="shared" si="73"/>
        <v>5920</v>
      </c>
      <c r="J1182" s="11">
        <f t="shared" si="75"/>
        <v>1425</v>
      </c>
    </row>
    <row r="1183" spans="1:10" x14ac:dyDescent="0.3">
      <c r="A1183" s="7">
        <v>44900.611111110156</v>
      </c>
      <c r="B1183" s="8" t="s">
        <v>11</v>
      </c>
      <c r="C1183" s="8">
        <v>0</v>
      </c>
      <c r="D1183" t="str">
        <f t="shared" si="74"/>
        <v>Monday</v>
      </c>
      <c r="E1183">
        <v>50</v>
      </c>
      <c r="F1183" s="11">
        <f>VLOOKUP(B1183,'ITEMS LIST'!$B$2:$F$19,4,FALSE)</f>
        <v>89</v>
      </c>
      <c r="G1183" s="11">
        <f>VLOOKUP(B1183,'ITEMS LIST'!$B$2:$F$19,5,FALSE)</f>
        <v>59</v>
      </c>
      <c r="H1183" s="11">
        <f t="shared" si="72"/>
        <v>0</v>
      </c>
      <c r="I1183" s="11">
        <f t="shared" si="73"/>
        <v>0</v>
      </c>
      <c r="J1183" s="11">
        <f t="shared" si="75"/>
        <v>0</v>
      </c>
    </row>
    <row r="1184" spans="1:10" x14ac:dyDescent="0.3">
      <c r="A1184" s="7">
        <v>44900.666666665711</v>
      </c>
      <c r="B1184" s="8" t="s">
        <v>12</v>
      </c>
      <c r="C1184" s="8">
        <v>0</v>
      </c>
      <c r="D1184" t="str">
        <f t="shared" si="74"/>
        <v>Monday</v>
      </c>
      <c r="E1184">
        <v>50</v>
      </c>
      <c r="F1184" s="11">
        <f>VLOOKUP(B1184,'ITEMS LIST'!$B$2:$F$19,4,FALSE)</f>
        <v>310</v>
      </c>
      <c r="G1184" s="11">
        <f>VLOOKUP(B1184,'ITEMS LIST'!$B$2:$F$19,5,FALSE)</f>
        <v>206</v>
      </c>
      <c r="H1184" s="11">
        <f t="shared" si="72"/>
        <v>0</v>
      </c>
      <c r="I1184" s="11">
        <f t="shared" si="73"/>
        <v>0</v>
      </c>
      <c r="J1184" s="11">
        <f t="shared" si="75"/>
        <v>0</v>
      </c>
    </row>
    <row r="1185" spans="1:10" x14ac:dyDescent="0.3">
      <c r="A1185" s="7">
        <v>44900.722222221266</v>
      </c>
      <c r="B1185" s="8" t="s">
        <v>13</v>
      </c>
      <c r="C1185" s="8">
        <v>0</v>
      </c>
      <c r="D1185" t="str">
        <f t="shared" si="74"/>
        <v>Monday</v>
      </c>
      <c r="E1185">
        <v>50</v>
      </c>
      <c r="F1185" s="11">
        <f>VLOOKUP(B1185,'ITEMS LIST'!$B$2:$F$19,4,FALSE)</f>
        <v>540</v>
      </c>
      <c r="G1185" s="11">
        <f>VLOOKUP(B1185,'ITEMS LIST'!$B$2:$F$19,5,FALSE)</f>
        <v>397</v>
      </c>
      <c r="H1185" s="11">
        <f t="shared" si="72"/>
        <v>0</v>
      </c>
      <c r="I1185" s="11">
        <f t="shared" si="73"/>
        <v>0</v>
      </c>
      <c r="J1185" s="11">
        <f t="shared" si="75"/>
        <v>0</v>
      </c>
    </row>
    <row r="1186" spans="1:10" x14ac:dyDescent="0.3">
      <c r="A1186" s="7">
        <v>44900.777777776821</v>
      </c>
      <c r="B1186" s="8" t="s">
        <v>14</v>
      </c>
      <c r="C1186" s="8">
        <v>0</v>
      </c>
      <c r="D1186" t="str">
        <f t="shared" si="74"/>
        <v>Monday</v>
      </c>
      <c r="E1186">
        <v>50</v>
      </c>
      <c r="F1186" s="11">
        <f>VLOOKUP(B1186,'ITEMS LIST'!$B$2:$F$19,4,FALSE)</f>
        <v>360</v>
      </c>
      <c r="G1186" s="11">
        <f>VLOOKUP(B1186,'ITEMS LIST'!$B$2:$F$19,5,FALSE)</f>
        <v>248</v>
      </c>
      <c r="H1186" s="11">
        <f t="shared" si="72"/>
        <v>0</v>
      </c>
      <c r="I1186" s="11">
        <f t="shared" si="73"/>
        <v>0</v>
      </c>
      <c r="J1186" s="11">
        <f t="shared" si="75"/>
        <v>0</v>
      </c>
    </row>
    <row r="1187" spans="1:10" x14ac:dyDescent="0.3">
      <c r="A1187" s="7">
        <v>44900.833333332375</v>
      </c>
      <c r="B1187" s="8" t="s">
        <v>15</v>
      </c>
      <c r="C1187" s="8">
        <v>0</v>
      </c>
      <c r="D1187" t="str">
        <f t="shared" si="74"/>
        <v>Monday</v>
      </c>
      <c r="E1187">
        <v>50</v>
      </c>
      <c r="F1187" s="11">
        <f>VLOOKUP(B1187,'ITEMS LIST'!$B$2:$F$19,4,FALSE)</f>
        <v>250</v>
      </c>
      <c r="G1187" s="11">
        <f>VLOOKUP(B1187,'ITEMS LIST'!$B$2:$F$19,5,FALSE)</f>
        <v>190</v>
      </c>
      <c r="H1187" s="11">
        <f t="shared" si="72"/>
        <v>0</v>
      </c>
      <c r="I1187" s="11">
        <f t="shared" si="73"/>
        <v>0</v>
      </c>
      <c r="J1187" s="11">
        <f t="shared" si="75"/>
        <v>0</v>
      </c>
    </row>
    <row r="1188" spans="1:10" x14ac:dyDescent="0.3">
      <c r="A1188" s="7">
        <v>44900.88888888793</v>
      </c>
      <c r="B1188" s="8" t="s">
        <v>16</v>
      </c>
      <c r="C1188" s="8">
        <v>0</v>
      </c>
      <c r="D1188" t="str">
        <f t="shared" si="74"/>
        <v>Monday</v>
      </c>
      <c r="E1188">
        <v>50</v>
      </c>
      <c r="F1188" s="11">
        <f>VLOOKUP(B1188,'ITEMS LIST'!$B$2:$F$19,4,FALSE)</f>
        <v>120</v>
      </c>
      <c r="G1188" s="11">
        <f>VLOOKUP(B1188,'ITEMS LIST'!$B$2:$F$19,5,FALSE)</f>
        <v>85</v>
      </c>
      <c r="H1188" s="11">
        <f t="shared" si="72"/>
        <v>0</v>
      </c>
      <c r="I1188" s="11">
        <f t="shared" si="73"/>
        <v>0</v>
      </c>
      <c r="J1188" s="11">
        <f t="shared" si="75"/>
        <v>0</v>
      </c>
    </row>
    <row r="1189" spans="1:10" x14ac:dyDescent="0.3">
      <c r="A1189" s="7">
        <v>44900.944444443485</v>
      </c>
      <c r="B1189" s="8" t="s">
        <v>17</v>
      </c>
      <c r="C1189" s="8">
        <v>0</v>
      </c>
      <c r="D1189" t="str">
        <f t="shared" si="74"/>
        <v>Monday</v>
      </c>
      <c r="E1189">
        <v>50</v>
      </c>
      <c r="F1189" s="11">
        <f>VLOOKUP(B1189,'ITEMS LIST'!$B$2:$F$19,4,FALSE)</f>
        <v>80</v>
      </c>
      <c r="G1189" s="11">
        <f>VLOOKUP(B1189,'ITEMS LIST'!$B$2:$F$19,5,FALSE)</f>
        <v>55</v>
      </c>
      <c r="H1189" s="11">
        <f t="shared" si="72"/>
        <v>0</v>
      </c>
      <c r="I1189" s="11">
        <f t="shared" si="73"/>
        <v>0</v>
      </c>
      <c r="J1189" s="11">
        <f t="shared" si="75"/>
        <v>0</v>
      </c>
    </row>
    <row r="1190" spans="1:10" x14ac:dyDescent="0.3">
      <c r="A1190" s="7">
        <v>44900.99999999904</v>
      </c>
      <c r="B1190" s="8" t="s">
        <v>0</v>
      </c>
      <c r="C1190" s="8">
        <v>0</v>
      </c>
      <c r="D1190" t="str">
        <f t="shared" si="74"/>
        <v>Tuesday</v>
      </c>
      <c r="E1190">
        <v>50</v>
      </c>
      <c r="F1190" s="11">
        <f>VLOOKUP(B1190,'ITEMS LIST'!$B$2:$F$19,4,FALSE)</f>
        <v>549</v>
      </c>
      <c r="G1190" s="11">
        <f>VLOOKUP(B1190,'ITEMS LIST'!$B$2:$F$19,5,FALSE)</f>
        <v>365</v>
      </c>
      <c r="H1190" s="11">
        <f t="shared" si="72"/>
        <v>0</v>
      </c>
      <c r="I1190" s="11">
        <f t="shared" si="73"/>
        <v>0</v>
      </c>
      <c r="J1190" s="11">
        <f t="shared" si="75"/>
        <v>0</v>
      </c>
    </row>
    <row r="1191" spans="1:10" x14ac:dyDescent="0.3">
      <c r="A1191" s="7">
        <v>44901.055555554594</v>
      </c>
      <c r="B1191" s="8" t="s">
        <v>1</v>
      </c>
      <c r="C1191" s="8">
        <v>0</v>
      </c>
      <c r="D1191" t="str">
        <f t="shared" si="74"/>
        <v>Tuesday</v>
      </c>
      <c r="E1191">
        <v>50</v>
      </c>
      <c r="F1191" s="11">
        <f>VLOOKUP(B1191,'ITEMS LIST'!$B$2:$F$19,4,FALSE)</f>
        <v>699</v>
      </c>
      <c r="G1191" s="11">
        <f>VLOOKUP(B1191,'ITEMS LIST'!$B$2:$F$19,5,FALSE)</f>
        <v>550</v>
      </c>
      <c r="H1191" s="11">
        <f t="shared" si="72"/>
        <v>0</v>
      </c>
      <c r="I1191" s="11">
        <f t="shared" si="73"/>
        <v>0</v>
      </c>
      <c r="J1191" s="11">
        <f t="shared" si="75"/>
        <v>0</v>
      </c>
    </row>
    <row r="1192" spans="1:10" x14ac:dyDescent="0.3">
      <c r="A1192" s="7">
        <v>44901.111111110149</v>
      </c>
      <c r="B1192" s="8" t="s">
        <v>2</v>
      </c>
      <c r="C1192" s="8">
        <v>0</v>
      </c>
      <c r="D1192" t="str">
        <f t="shared" si="74"/>
        <v>Tuesday</v>
      </c>
      <c r="E1192">
        <v>50</v>
      </c>
      <c r="F1192" s="11">
        <f>VLOOKUP(B1192,'ITEMS LIST'!$B$2:$F$19,4,FALSE)</f>
        <v>739</v>
      </c>
      <c r="G1192" s="11">
        <f>VLOOKUP(B1192,'ITEMS LIST'!$B$2:$F$19,5,FALSE)</f>
        <v>620</v>
      </c>
      <c r="H1192" s="11">
        <f t="shared" si="72"/>
        <v>0</v>
      </c>
      <c r="I1192" s="11">
        <f t="shared" si="73"/>
        <v>0</v>
      </c>
      <c r="J1192" s="11">
        <f t="shared" si="75"/>
        <v>0</v>
      </c>
    </row>
    <row r="1193" spans="1:10" x14ac:dyDescent="0.3">
      <c r="A1193" s="7">
        <v>44901.166666665704</v>
      </c>
      <c r="B1193" s="8" t="s">
        <v>3</v>
      </c>
      <c r="C1193" s="8">
        <v>0</v>
      </c>
      <c r="D1193" t="str">
        <f t="shared" si="74"/>
        <v>Tuesday</v>
      </c>
      <c r="E1193">
        <v>50</v>
      </c>
      <c r="F1193" s="11">
        <f>VLOOKUP(B1193,'ITEMS LIST'!$B$2:$F$19,4,FALSE)</f>
        <v>899</v>
      </c>
      <c r="G1193" s="11">
        <f>VLOOKUP(B1193,'ITEMS LIST'!$B$2:$F$19,5,FALSE)</f>
        <v>714</v>
      </c>
      <c r="H1193" s="11">
        <f t="shared" si="72"/>
        <v>0</v>
      </c>
      <c r="I1193" s="11">
        <f t="shared" si="73"/>
        <v>0</v>
      </c>
      <c r="J1193" s="11">
        <f t="shared" si="75"/>
        <v>0</v>
      </c>
    </row>
    <row r="1194" spans="1:10" x14ac:dyDescent="0.3">
      <c r="A1194" s="7">
        <v>44901.222222221259</v>
      </c>
      <c r="B1194" s="8" t="s">
        <v>4</v>
      </c>
      <c r="C1194" s="8">
        <v>0</v>
      </c>
      <c r="D1194" t="str">
        <f t="shared" si="74"/>
        <v>Tuesday</v>
      </c>
      <c r="E1194">
        <v>50</v>
      </c>
      <c r="F1194" s="11">
        <f>VLOOKUP(B1194,'ITEMS LIST'!$B$2:$F$19,4,FALSE)</f>
        <v>1379</v>
      </c>
      <c r="G1194" s="11">
        <f>VLOOKUP(B1194,'ITEMS LIST'!$B$2:$F$19,5,FALSE)</f>
        <v>890</v>
      </c>
      <c r="H1194" s="11">
        <f t="shared" si="72"/>
        <v>0</v>
      </c>
      <c r="I1194" s="11">
        <f t="shared" si="73"/>
        <v>0</v>
      </c>
      <c r="J1194" s="11">
        <f t="shared" si="75"/>
        <v>0</v>
      </c>
    </row>
    <row r="1195" spans="1:10" x14ac:dyDescent="0.3">
      <c r="A1195" s="7">
        <v>44901.277777776813</v>
      </c>
      <c r="B1195" s="8" t="s">
        <v>5</v>
      </c>
      <c r="C1195" s="8">
        <v>0</v>
      </c>
      <c r="D1195" t="str">
        <f t="shared" si="74"/>
        <v>Tuesday</v>
      </c>
      <c r="E1195">
        <v>50</v>
      </c>
      <c r="F1195" s="11">
        <f>VLOOKUP(B1195,'ITEMS LIST'!$B$2:$F$19,4,FALSE)</f>
        <v>849</v>
      </c>
      <c r="G1195" s="11">
        <f>VLOOKUP(B1195,'ITEMS LIST'!$B$2:$F$19,5,FALSE)</f>
        <v>530</v>
      </c>
      <c r="H1195" s="11">
        <f t="shared" si="72"/>
        <v>0</v>
      </c>
      <c r="I1195" s="11">
        <f t="shared" si="73"/>
        <v>0</v>
      </c>
      <c r="J1195" s="11">
        <f t="shared" si="75"/>
        <v>0</v>
      </c>
    </row>
    <row r="1196" spans="1:10" x14ac:dyDescent="0.3">
      <c r="A1196" s="7">
        <v>44901.333333332368</v>
      </c>
      <c r="B1196" s="8" t="s">
        <v>6</v>
      </c>
      <c r="C1196" s="8">
        <v>0</v>
      </c>
      <c r="D1196" t="str">
        <f t="shared" si="74"/>
        <v>Tuesday</v>
      </c>
      <c r="E1196">
        <v>50</v>
      </c>
      <c r="F1196" s="11">
        <f>VLOOKUP(B1196,'ITEMS LIST'!$B$2:$F$19,4,FALSE)</f>
        <v>1000</v>
      </c>
      <c r="G1196" s="11">
        <f>VLOOKUP(B1196,'ITEMS LIST'!$B$2:$F$19,5,FALSE)</f>
        <v>768</v>
      </c>
      <c r="H1196" s="11">
        <f t="shared" si="72"/>
        <v>0</v>
      </c>
      <c r="I1196" s="11">
        <f t="shared" si="73"/>
        <v>0</v>
      </c>
      <c r="J1196" s="11">
        <f t="shared" si="75"/>
        <v>0</v>
      </c>
    </row>
    <row r="1197" spans="1:10" x14ac:dyDescent="0.3">
      <c r="A1197" s="7">
        <v>44901.388888887923</v>
      </c>
      <c r="B1197" s="8" t="s">
        <v>7</v>
      </c>
      <c r="C1197" s="8">
        <v>0</v>
      </c>
      <c r="D1197" t="str">
        <f t="shared" si="74"/>
        <v>Tuesday</v>
      </c>
      <c r="E1197">
        <v>50</v>
      </c>
      <c r="F1197" s="11">
        <f>VLOOKUP(B1197,'ITEMS LIST'!$B$2:$F$19,4,FALSE)</f>
        <v>680</v>
      </c>
      <c r="G1197" s="11">
        <f>VLOOKUP(B1197,'ITEMS LIST'!$B$2:$F$19,5,FALSE)</f>
        <v>570</v>
      </c>
      <c r="H1197" s="11">
        <f t="shared" si="72"/>
        <v>0</v>
      </c>
      <c r="I1197" s="11">
        <f t="shared" si="73"/>
        <v>0</v>
      </c>
      <c r="J1197" s="11">
        <f t="shared" si="75"/>
        <v>0</v>
      </c>
    </row>
    <row r="1198" spans="1:10" x14ac:dyDescent="0.3">
      <c r="A1198" s="7">
        <v>44901.444444443478</v>
      </c>
      <c r="B1198" s="8" t="s">
        <v>8</v>
      </c>
      <c r="C1198" s="8">
        <v>0</v>
      </c>
      <c r="D1198" t="str">
        <f t="shared" si="74"/>
        <v>Tuesday</v>
      </c>
      <c r="E1198">
        <v>50</v>
      </c>
      <c r="F1198" s="11">
        <f>VLOOKUP(B1198,'ITEMS LIST'!$B$2:$F$19,4,FALSE)</f>
        <v>199</v>
      </c>
      <c r="G1198" s="11">
        <f>VLOOKUP(B1198,'ITEMS LIST'!$B$2:$F$19,5,FALSE)</f>
        <v>140</v>
      </c>
      <c r="H1198" s="11">
        <f t="shared" si="72"/>
        <v>0</v>
      </c>
      <c r="I1198" s="11">
        <f t="shared" si="73"/>
        <v>0</v>
      </c>
      <c r="J1198" s="11">
        <f t="shared" si="75"/>
        <v>0</v>
      </c>
    </row>
    <row r="1199" spans="1:10" x14ac:dyDescent="0.3">
      <c r="A1199" s="7">
        <v>44901.499999999032</v>
      </c>
      <c r="B1199" s="8" t="s">
        <v>9</v>
      </c>
      <c r="C1199" s="8">
        <v>0</v>
      </c>
      <c r="D1199" t="str">
        <f t="shared" si="74"/>
        <v>Tuesday</v>
      </c>
      <c r="E1199">
        <v>50</v>
      </c>
      <c r="F1199" s="11">
        <f>VLOOKUP(B1199,'ITEMS LIST'!$B$2:$F$19,4,FALSE)</f>
        <v>219</v>
      </c>
      <c r="G1199" s="11">
        <f>VLOOKUP(B1199,'ITEMS LIST'!$B$2:$F$19,5,FALSE)</f>
        <v>132</v>
      </c>
      <c r="H1199" s="11">
        <f t="shared" si="72"/>
        <v>0</v>
      </c>
      <c r="I1199" s="11">
        <f t="shared" si="73"/>
        <v>0</v>
      </c>
      <c r="J1199" s="11">
        <f t="shared" si="75"/>
        <v>0</v>
      </c>
    </row>
    <row r="1200" spans="1:10" x14ac:dyDescent="0.3">
      <c r="A1200" s="7">
        <v>44901.555555554587</v>
      </c>
      <c r="B1200" s="8" t="s">
        <v>10</v>
      </c>
      <c r="C1200" s="8">
        <v>3</v>
      </c>
      <c r="D1200" t="str">
        <f t="shared" si="74"/>
        <v>Tuesday</v>
      </c>
      <c r="E1200">
        <v>50</v>
      </c>
      <c r="F1200" s="11">
        <f>VLOOKUP(B1200,'ITEMS LIST'!$B$2:$F$19,4,FALSE)</f>
        <v>1469</v>
      </c>
      <c r="G1200" s="11">
        <f>VLOOKUP(B1200,'ITEMS LIST'!$B$2:$F$19,5,FALSE)</f>
        <v>1184</v>
      </c>
      <c r="H1200" s="11">
        <f t="shared" si="72"/>
        <v>4407</v>
      </c>
      <c r="I1200" s="11">
        <f t="shared" si="73"/>
        <v>3552</v>
      </c>
      <c r="J1200" s="11">
        <f t="shared" si="75"/>
        <v>855</v>
      </c>
    </row>
    <row r="1201" spans="1:10" x14ac:dyDescent="0.3">
      <c r="A1201" s="7">
        <v>44901.611111110142</v>
      </c>
      <c r="B1201" s="8" t="s">
        <v>11</v>
      </c>
      <c r="C1201" s="8">
        <v>0</v>
      </c>
      <c r="D1201" t="str">
        <f t="shared" si="74"/>
        <v>Tuesday</v>
      </c>
      <c r="E1201">
        <v>50</v>
      </c>
      <c r="F1201" s="11">
        <f>VLOOKUP(B1201,'ITEMS LIST'!$B$2:$F$19,4,FALSE)</f>
        <v>89</v>
      </c>
      <c r="G1201" s="11">
        <f>VLOOKUP(B1201,'ITEMS LIST'!$B$2:$F$19,5,FALSE)</f>
        <v>59</v>
      </c>
      <c r="H1201" s="11">
        <f t="shared" si="72"/>
        <v>0</v>
      </c>
      <c r="I1201" s="11">
        <f t="shared" si="73"/>
        <v>0</v>
      </c>
      <c r="J1201" s="11">
        <f t="shared" si="75"/>
        <v>0</v>
      </c>
    </row>
    <row r="1202" spans="1:10" x14ac:dyDescent="0.3">
      <c r="A1202" s="7">
        <v>44901.666666665697</v>
      </c>
      <c r="B1202" s="8" t="s">
        <v>12</v>
      </c>
      <c r="C1202" s="8">
        <v>0</v>
      </c>
      <c r="D1202" t="str">
        <f t="shared" si="74"/>
        <v>Tuesday</v>
      </c>
      <c r="E1202">
        <v>50</v>
      </c>
      <c r="F1202" s="11">
        <f>VLOOKUP(B1202,'ITEMS LIST'!$B$2:$F$19,4,FALSE)</f>
        <v>310</v>
      </c>
      <c r="G1202" s="11">
        <f>VLOOKUP(B1202,'ITEMS LIST'!$B$2:$F$19,5,FALSE)</f>
        <v>206</v>
      </c>
      <c r="H1202" s="11">
        <f t="shared" si="72"/>
        <v>0</v>
      </c>
      <c r="I1202" s="11">
        <f t="shared" si="73"/>
        <v>0</v>
      </c>
      <c r="J1202" s="11">
        <f t="shared" si="75"/>
        <v>0</v>
      </c>
    </row>
    <row r="1203" spans="1:10" x14ac:dyDescent="0.3">
      <c r="A1203" s="7">
        <v>44901.722222221251</v>
      </c>
      <c r="B1203" s="8" t="s">
        <v>13</v>
      </c>
      <c r="C1203" s="8">
        <v>0</v>
      </c>
      <c r="D1203" t="str">
        <f t="shared" si="74"/>
        <v>Tuesday</v>
      </c>
      <c r="E1203">
        <v>50</v>
      </c>
      <c r="F1203" s="11">
        <f>VLOOKUP(B1203,'ITEMS LIST'!$B$2:$F$19,4,FALSE)</f>
        <v>540</v>
      </c>
      <c r="G1203" s="11">
        <f>VLOOKUP(B1203,'ITEMS LIST'!$B$2:$F$19,5,FALSE)</f>
        <v>397</v>
      </c>
      <c r="H1203" s="11">
        <f t="shared" si="72"/>
        <v>0</v>
      </c>
      <c r="I1203" s="11">
        <f t="shared" si="73"/>
        <v>0</v>
      </c>
      <c r="J1203" s="11">
        <f t="shared" si="75"/>
        <v>0</v>
      </c>
    </row>
    <row r="1204" spans="1:10" x14ac:dyDescent="0.3">
      <c r="A1204" s="7">
        <v>44901.777777776806</v>
      </c>
      <c r="B1204" s="8" t="s">
        <v>14</v>
      </c>
      <c r="C1204" s="8">
        <v>0</v>
      </c>
      <c r="D1204" t="str">
        <f t="shared" si="74"/>
        <v>Tuesday</v>
      </c>
      <c r="E1204">
        <v>50</v>
      </c>
      <c r="F1204" s="11">
        <f>VLOOKUP(B1204,'ITEMS LIST'!$B$2:$F$19,4,FALSE)</f>
        <v>360</v>
      </c>
      <c r="G1204" s="11">
        <f>VLOOKUP(B1204,'ITEMS LIST'!$B$2:$F$19,5,FALSE)</f>
        <v>248</v>
      </c>
      <c r="H1204" s="11">
        <f t="shared" si="72"/>
        <v>0</v>
      </c>
      <c r="I1204" s="11">
        <f t="shared" si="73"/>
        <v>0</v>
      </c>
      <c r="J1204" s="11">
        <f t="shared" si="75"/>
        <v>0</v>
      </c>
    </row>
    <row r="1205" spans="1:10" x14ac:dyDescent="0.3">
      <c r="A1205" s="7">
        <v>44901.833333332361</v>
      </c>
      <c r="B1205" s="8" t="s">
        <v>15</v>
      </c>
      <c r="C1205" s="8">
        <v>0</v>
      </c>
      <c r="D1205" t="str">
        <f t="shared" si="74"/>
        <v>Tuesday</v>
      </c>
      <c r="E1205">
        <v>50</v>
      </c>
      <c r="F1205" s="11">
        <f>VLOOKUP(B1205,'ITEMS LIST'!$B$2:$F$19,4,FALSE)</f>
        <v>250</v>
      </c>
      <c r="G1205" s="11">
        <f>VLOOKUP(B1205,'ITEMS LIST'!$B$2:$F$19,5,FALSE)</f>
        <v>190</v>
      </c>
      <c r="H1205" s="11">
        <f t="shared" si="72"/>
        <v>0</v>
      </c>
      <c r="I1205" s="11">
        <f t="shared" si="73"/>
        <v>0</v>
      </c>
      <c r="J1205" s="11">
        <f t="shared" si="75"/>
        <v>0</v>
      </c>
    </row>
    <row r="1206" spans="1:10" x14ac:dyDescent="0.3">
      <c r="A1206" s="7">
        <v>44901.888888887916</v>
      </c>
      <c r="B1206" s="8" t="s">
        <v>16</v>
      </c>
      <c r="C1206" s="8">
        <v>0</v>
      </c>
      <c r="D1206" t="str">
        <f t="shared" si="74"/>
        <v>Tuesday</v>
      </c>
      <c r="E1206">
        <v>50</v>
      </c>
      <c r="F1206" s="11">
        <f>VLOOKUP(B1206,'ITEMS LIST'!$B$2:$F$19,4,FALSE)</f>
        <v>120</v>
      </c>
      <c r="G1206" s="11">
        <f>VLOOKUP(B1206,'ITEMS LIST'!$B$2:$F$19,5,FALSE)</f>
        <v>85</v>
      </c>
      <c r="H1206" s="11">
        <f t="shared" si="72"/>
        <v>0</v>
      </c>
      <c r="I1206" s="11">
        <f t="shared" si="73"/>
        <v>0</v>
      </c>
      <c r="J1206" s="11">
        <f t="shared" si="75"/>
        <v>0</v>
      </c>
    </row>
    <row r="1207" spans="1:10" x14ac:dyDescent="0.3">
      <c r="A1207" s="7">
        <v>44901.94444444347</v>
      </c>
      <c r="B1207" s="8" t="s">
        <v>17</v>
      </c>
      <c r="C1207" s="8">
        <v>0</v>
      </c>
      <c r="D1207" t="str">
        <f t="shared" si="74"/>
        <v>Tuesday</v>
      </c>
      <c r="E1207">
        <v>50</v>
      </c>
      <c r="F1207" s="11">
        <f>VLOOKUP(B1207,'ITEMS LIST'!$B$2:$F$19,4,FALSE)</f>
        <v>80</v>
      </c>
      <c r="G1207" s="11">
        <f>VLOOKUP(B1207,'ITEMS LIST'!$B$2:$F$19,5,FALSE)</f>
        <v>55</v>
      </c>
      <c r="H1207" s="11">
        <f t="shared" si="72"/>
        <v>0</v>
      </c>
      <c r="I1207" s="11">
        <f t="shared" si="73"/>
        <v>0</v>
      </c>
      <c r="J1207" s="11">
        <f t="shared" si="75"/>
        <v>0</v>
      </c>
    </row>
    <row r="1208" spans="1:10" x14ac:dyDescent="0.3">
      <c r="A1208" s="7">
        <v>44901.999999999025</v>
      </c>
      <c r="B1208" s="8" t="s">
        <v>0</v>
      </c>
      <c r="C1208" s="8">
        <v>0</v>
      </c>
      <c r="D1208" t="str">
        <f t="shared" si="74"/>
        <v>Wednesday</v>
      </c>
      <c r="E1208">
        <v>50</v>
      </c>
      <c r="F1208" s="11">
        <f>VLOOKUP(B1208,'ITEMS LIST'!$B$2:$F$19,4,FALSE)</f>
        <v>549</v>
      </c>
      <c r="G1208" s="11">
        <f>VLOOKUP(B1208,'ITEMS LIST'!$B$2:$F$19,5,FALSE)</f>
        <v>365</v>
      </c>
      <c r="H1208" s="11">
        <f t="shared" si="72"/>
        <v>0</v>
      </c>
      <c r="I1208" s="11">
        <f t="shared" si="73"/>
        <v>0</v>
      </c>
      <c r="J1208" s="11">
        <f t="shared" si="75"/>
        <v>0</v>
      </c>
    </row>
    <row r="1209" spans="1:10" x14ac:dyDescent="0.3">
      <c r="A1209" s="7">
        <v>44902.05555555458</v>
      </c>
      <c r="B1209" s="8" t="s">
        <v>1</v>
      </c>
      <c r="C1209" s="8">
        <v>0</v>
      </c>
      <c r="D1209" t="str">
        <f t="shared" si="74"/>
        <v>Wednesday</v>
      </c>
      <c r="E1209">
        <v>50</v>
      </c>
      <c r="F1209" s="11">
        <f>VLOOKUP(B1209,'ITEMS LIST'!$B$2:$F$19,4,FALSE)</f>
        <v>699</v>
      </c>
      <c r="G1209" s="11">
        <f>VLOOKUP(B1209,'ITEMS LIST'!$B$2:$F$19,5,FALSE)</f>
        <v>550</v>
      </c>
      <c r="H1209" s="11">
        <f t="shared" si="72"/>
        <v>0</v>
      </c>
      <c r="I1209" s="11">
        <f t="shared" si="73"/>
        <v>0</v>
      </c>
      <c r="J1209" s="11">
        <f t="shared" si="75"/>
        <v>0</v>
      </c>
    </row>
    <row r="1210" spans="1:10" x14ac:dyDescent="0.3">
      <c r="A1210" s="7">
        <v>44902.111111110135</v>
      </c>
      <c r="B1210" s="8" t="s">
        <v>2</v>
      </c>
      <c r="C1210" s="8">
        <v>0</v>
      </c>
      <c r="D1210" t="str">
        <f t="shared" si="74"/>
        <v>Wednesday</v>
      </c>
      <c r="E1210">
        <v>50</v>
      </c>
      <c r="F1210" s="11">
        <f>VLOOKUP(B1210,'ITEMS LIST'!$B$2:$F$19,4,FALSE)</f>
        <v>739</v>
      </c>
      <c r="G1210" s="11">
        <f>VLOOKUP(B1210,'ITEMS LIST'!$B$2:$F$19,5,FALSE)</f>
        <v>620</v>
      </c>
      <c r="H1210" s="11">
        <f t="shared" si="72"/>
        <v>0</v>
      </c>
      <c r="I1210" s="11">
        <f t="shared" si="73"/>
        <v>0</v>
      </c>
      <c r="J1210" s="11">
        <f t="shared" si="75"/>
        <v>0</v>
      </c>
    </row>
    <row r="1211" spans="1:10" x14ac:dyDescent="0.3">
      <c r="A1211" s="7">
        <v>44902.166666665689</v>
      </c>
      <c r="B1211" s="8" t="s">
        <v>3</v>
      </c>
      <c r="C1211" s="8">
        <v>0</v>
      </c>
      <c r="D1211" t="str">
        <f t="shared" si="74"/>
        <v>Wednesday</v>
      </c>
      <c r="E1211">
        <v>50</v>
      </c>
      <c r="F1211" s="11">
        <f>VLOOKUP(B1211,'ITEMS LIST'!$B$2:$F$19,4,FALSE)</f>
        <v>899</v>
      </c>
      <c r="G1211" s="11">
        <f>VLOOKUP(B1211,'ITEMS LIST'!$B$2:$F$19,5,FALSE)</f>
        <v>714</v>
      </c>
      <c r="H1211" s="11">
        <f t="shared" si="72"/>
        <v>0</v>
      </c>
      <c r="I1211" s="11">
        <f t="shared" si="73"/>
        <v>0</v>
      </c>
      <c r="J1211" s="11">
        <f t="shared" si="75"/>
        <v>0</v>
      </c>
    </row>
    <row r="1212" spans="1:10" x14ac:dyDescent="0.3">
      <c r="A1212" s="7">
        <v>44902.222222221244</v>
      </c>
      <c r="B1212" s="8" t="s">
        <v>4</v>
      </c>
      <c r="C1212" s="8">
        <v>0</v>
      </c>
      <c r="D1212" t="str">
        <f t="shared" si="74"/>
        <v>Wednesday</v>
      </c>
      <c r="E1212">
        <v>50</v>
      </c>
      <c r="F1212" s="11">
        <f>VLOOKUP(B1212,'ITEMS LIST'!$B$2:$F$19,4,FALSE)</f>
        <v>1379</v>
      </c>
      <c r="G1212" s="11">
        <f>VLOOKUP(B1212,'ITEMS LIST'!$B$2:$F$19,5,FALSE)</f>
        <v>890</v>
      </c>
      <c r="H1212" s="11">
        <f t="shared" si="72"/>
        <v>0</v>
      </c>
      <c r="I1212" s="11">
        <f t="shared" si="73"/>
        <v>0</v>
      </c>
      <c r="J1212" s="11">
        <f t="shared" si="75"/>
        <v>0</v>
      </c>
    </row>
    <row r="1213" spans="1:10" x14ac:dyDescent="0.3">
      <c r="A1213" s="7">
        <v>44902.277777776799</v>
      </c>
      <c r="B1213" s="8" t="s">
        <v>5</v>
      </c>
      <c r="C1213" s="8">
        <v>0</v>
      </c>
      <c r="D1213" t="str">
        <f t="shared" si="74"/>
        <v>Wednesday</v>
      </c>
      <c r="E1213">
        <v>50</v>
      </c>
      <c r="F1213" s="11">
        <f>VLOOKUP(B1213,'ITEMS LIST'!$B$2:$F$19,4,FALSE)</f>
        <v>849</v>
      </c>
      <c r="G1213" s="11">
        <f>VLOOKUP(B1213,'ITEMS LIST'!$B$2:$F$19,5,FALSE)</f>
        <v>530</v>
      </c>
      <c r="H1213" s="11">
        <f t="shared" si="72"/>
        <v>0</v>
      </c>
      <c r="I1213" s="11">
        <f t="shared" si="73"/>
        <v>0</v>
      </c>
      <c r="J1213" s="11">
        <f t="shared" si="75"/>
        <v>0</v>
      </c>
    </row>
    <row r="1214" spans="1:10" x14ac:dyDescent="0.3">
      <c r="A1214" s="7">
        <v>44902.333333332354</v>
      </c>
      <c r="B1214" s="8" t="s">
        <v>6</v>
      </c>
      <c r="C1214" s="8">
        <v>0</v>
      </c>
      <c r="D1214" t="str">
        <f t="shared" si="74"/>
        <v>Wednesday</v>
      </c>
      <c r="E1214">
        <v>50</v>
      </c>
      <c r="F1214" s="11">
        <f>VLOOKUP(B1214,'ITEMS LIST'!$B$2:$F$19,4,FALSE)</f>
        <v>1000</v>
      </c>
      <c r="G1214" s="11">
        <f>VLOOKUP(B1214,'ITEMS LIST'!$B$2:$F$19,5,FALSE)</f>
        <v>768</v>
      </c>
      <c r="H1214" s="11">
        <f t="shared" si="72"/>
        <v>0</v>
      </c>
      <c r="I1214" s="11">
        <f t="shared" si="73"/>
        <v>0</v>
      </c>
      <c r="J1214" s="11">
        <f t="shared" si="75"/>
        <v>0</v>
      </c>
    </row>
    <row r="1215" spans="1:10" x14ac:dyDescent="0.3">
      <c r="A1215" s="7">
        <v>44902.388888887908</v>
      </c>
      <c r="B1215" s="8" t="s">
        <v>7</v>
      </c>
      <c r="C1215" s="8">
        <v>0</v>
      </c>
      <c r="D1215" t="str">
        <f t="shared" si="74"/>
        <v>Wednesday</v>
      </c>
      <c r="E1215">
        <v>50</v>
      </c>
      <c r="F1215" s="11">
        <f>VLOOKUP(B1215,'ITEMS LIST'!$B$2:$F$19,4,FALSE)</f>
        <v>680</v>
      </c>
      <c r="G1215" s="11">
        <f>VLOOKUP(B1215,'ITEMS LIST'!$B$2:$F$19,5,FALSE)</f>
        <v>570</v>
      </c>
      <c r="H1215" s="11">
        <f t="shared" si="72"/>
        <v>0</v>
      </c>
      <c r="I1215" s="11">
        <f t="shared" si="73"/>
        <v>0</v>
      </c>
      <c r="J1215" s="11">
        <f t="shared" si="75"/>
        <v>0</v>
      </c>
    </row>
    <row r="1216" spans="1:10" x14ac:dyDescent="0.3">
      <c r="A1216" s="7">
        <v>44902.444444443463</v>
      </c>
      <c r="B1216" s="8" t="s">
        <v>8</v>
      </c>
      <c r="C1216" s="8">
        <v>0</v>
      </c>
      <c r="D1216" t="str">
        <f t="shared" si="74"/>
        <v>Wednesday</v>
      </c>
      <c r="E1216">
        <v>50</v>
      </c>
      <c r="F1216" s="11">
        <f>VLOOKUP(B1216,'ITEMS LIST'!$B$2:$F$19,4,FALSE)</f>
        <v>199</v>
      </c>
      <c r="G1216" s="11">
        <f>VLOOKUP(B1216,'ITEMS LIST'!$B$2:$F$19,5,FALSE)</f>
        <v>140</v>
      </c>
      <c r="H1216" s="11">
        <f t="shared" si="72"/>
        <v>0</v>
      </c>
      <c r="I1216" s="11">
        <f t="shared" si="73"/>
        <v>0</v>
      </c>
      <c r="J1216" s="11">
        <f t="shared" si="75"/>
        <v>0</v>
      </c>
    </row>
    <row r="1217" spans="1:10" x14ac:dyDescent="0.3">
      <c r="A1217" s="7">
        <v>44902.499999999018</v>
      </c>
      <c r="B1217" s="8" t="s">
        <v>9</v>
      </c>
      <c r="C1217" s="8">
        <v>0</v>
      </c>
      <c r="D1217" t="str">
        <f t="shared" si="74"/>
        <v>Wednesday</v>
      </c>
      <c r="E1217">
        <v>50</v>
      </c>
      <c r="F1217" s="11">
        <f>VLOOKUP(B1217,'ITEMS LIST'!$B$2:$F$19,4,FALSE)</f>
        <v>219</v>
      </c>
      <c r="G1217" s="11">
        <f>VLOOKUP(B1217,'ITEMS LIST'!$B$2:$F$19,5,FALSE)</f>
        <v>132</v>
      </c>
      <c r="H1217" s="11">
        <f t="shared" si="72"/>
        <v>0</v>
      </c>
      <c r="I1217" s="11">
        <f t="shared" si="73"/>
        <v>0</v>
      </c>
      <c r="J1217" s="11">
        <f t="shared" si="75"/>
        <v>0</v>
      </c>
    </row>
    <row r="1218" spans="1:10" x14ac:dyDescent="0.3">
      <c r="A1218" s="7">
        <v>44902.555555554572</v>
      </c>
      <c r="B1218" s="8" t="s">
        <v>10</v>
      </c>
      <c r="C1218" s="8">
        <v>2</v>
      </c>
      <c r="D1218" t="str">
        <f t="shared" si="74"/>
        <v>Wednesday</v>
      </c>
      <c r="E1218">
        <v>50</v>
      </c>
      <c r="F1218" s="11">
        <f>VLOOKUP(B1218,'ITEMS LIST'!$B$2:$F$19,4,FALSE)</f>
        <v>1469</v>
      </c>
      <c r="G1218" s="11">
        <f>VLOOKUP(B1218,'ITEMS LIST'!$B$2:$F$19,5,FALSE)</f>
        <v>1184</v>
      </c>
      <c r="H1218" s="11">
        <f t="shared" ref="H1218:H1281" si="76">C1218*F1218</f>
        <v>2938</v>
      </c>
      <c r="I1218" s="11">
        <f t="shared" ref="I1218:I1281" si="77">C1218*G1218</f>
        <v>2368</v>
      </c>
      <c r="J1218" s="11">
        <f t="shared" si="75"/>
        <v>570</v>
      </c>
    </row>
    <row r="1219" spans="1:10" x14ac:dyDescent="0.3">
      <c r="A1219" s="7">
        <v>44902.611111110127</v>
      </c>
      <c r="B1219" s="8" t="s">
        <v>11</v>
      </c>
      <c r="C1219" s="8">
        <v>0</v>
      </c>
      <c r="D1219" t="str">
        <f t="shared" ref="D1219:D1282" si="78">TEXT(A1219,"dddd")</f>
        <v>Wednesday</v>
      </c>
      <c r="E1219">
        <v>50</v>
      </c>
      <c r="F1219" s="11">
        <f>VLOOKUP(B1219,'ITEMS LIST'!$B$2:$F$19,4,FALSE)</f>
        <v>89</v>
      </c>
      <c r="G1219" s="11">
        <f>VLOOKUP(B1219,'ITEMS LIST'!$B$2:$F$19,5,FALSE)</f>
        <v>59</v>
      </c>
      <c r="H1219" s="11">
        <f t="shared" si="76"/>
        <v>0</v>
      </c>
      <c r="I1219" s="11">
        <f t="shared" si="77"/>
        <v>0</v>
      </c>
      <c r="J1219" s="11">
        <f t="shared" ref="J1219:J1282" si="79">H1219-I1219</f>
        <v>0</v>
      </c>
    </row>
    <row r="1220" spans="1:10" x14ac:dyDescent="0.3">
      <c r="A1220" s="7">
        <v>44902.666666665682</v>
      </c>
      <c r="B1220" s="8" t="s">
        <v>12</v>
      </c>
      <c r="C1220" s="8">
        <v>0</v>
      </c>
      <c r="D1220" t="str">
        <f t="shared" si="78"/>
        <v>Wednesday</v>
      </c>
      <c r="E1220">
        <v>50</v>
      </c>
      <c r="F1220" s="11">
        <f>VLOOKUP(B1220,'ITEMS LIST'!$B$2:$F$19,4,FALSE)</f>
        <v>310</v>
      </c>
      <c r="G1220" s="11">
        <f>VLOOKUP(B1220,'ITEMS LIST'!$B$2:$F$19,5,FALSE)</f>
        <v>206</v>
      </c>
      <c r="H1220" s="11">
        <f t="shared" si="76"/>
        <v>0</v>
      </c>
      <c r="I1220" s="11">
        <f t="shared" si="77"/>
        <v>0</v>
      </c>
      <c r="J1220" s="11">
        <f t="shared" si="79"/>
        <v>0</v>
      </c>
    </row>
    <row r="1221" spans="1:10" x14ac:dyDescent="0.3">
      <c r="A1221" s="7">
        <v>44902.722222221237</v>
      </c>
      <c r="B1221" s="8" t="s">
        <v>13</v>
      </c>
      <c r="C1221" s="8">
        <v>0</v>
      </c>
      <c r="D1221" t="str">
        <f t="shared" si="78"/>
        <v>Wednesday</v>
      </c>
      <c r="E1221">
        <v>50</v>
      </c>
      <c r="F1221" s="11">
        <f>VLOOKUP(B1221,'ITEMS LIST'!$B$2:$F$19,4,FALSE)</f>
        <v>540</v>
      </c>
      <c r="G1221" s="11">
        <f>VLOOKUP(B1221,'ITEMS LIST'!$B$2:$F$19,5,FALSE)</f>
        <v>397</v>
      </c>
      <c r="H1221" s="11">
        <f t="shared" si="76"/>
        <v>0</v>
      </c>
      <c r="I1221" s="11">
        <f t="shared" si="77"/>
        <v>0</v>
      </c>
      <c r="J1221" s="11">
        <f t="shared" si="79"/>
        <v>0</v>
      </c>
    </row>
    <row r="1222" spans="1:10" x14ac:dyDescent="0.3">
      <c r="A1222" s="7">
        <v>44902.777777776791</v>
      </c>
      <c r="B1222" s="8" t="s">
        <v>14</v>
      </c>
      <c r="C1222" s="8">
        <v>0</v>
      </c>
      <c r="D1222" t="str">
        <f t="shared" si="78"/>
        <v>Wednesday</v>
      </c>
      <c r="E1222">
        <v>50</v>
      </c>
      <c r="F1222" s="11">
        <f>VLOOKUP(B1222,'ITEMS LIST'!$B$2:$F$19,4,FALSE)</f>
        <v>360</v>
      </c>
      <c r="G1222" s="11">
        <f>VLOOKUP(B1222,'ITEMS LIST'!$B$2:$F$19,5,FALSE)</f>
        <v>248</v>
      </c>
      <c r="H1222" s="11">
        <f t="shared" si="76"/>
        <v>0</v>
      </c>
      <c r="I1222" s="11">
        <f t="shared" si="77"/>
        <v>0</v>
      </c>
      <c r="J1222" s="11">
        <f t="shared" si="79"/>
        <v>0</v>
      </c>
    </row>
    <row r="1223" spans="1:10" x14ac:dyDescent="0.3">
      <c r="A1223" s="7">
        <v>44902.833333332346</v>
      </c>
      <c r="B1223" s="8" t="s">
        <v>15</v>
      </c>
      <c r="C1223" s="8">
        <v>0</v>
      </c>
      <c r="D1223" t="str">
        <f t="shared" si="78"/>
        <v>Wednesday</v>
      </c>
      <c r="E1223">
        <v>50</v>
      </c>
      <c r="F1223" s="11">
        <f>VLOOKUP(B1223,'ITEMS LIST'!$B$2:$F$19,4,FALSE)</f>
        <v>250</v>
      </c>
      <c r="G1223" s="11">
        <f>VLOOKUP(B1223,'ITEMS LIST'!$B$2:$F$19,5,FALSE)</f>
        <v>190</v>
      </c>
      <c r="H1223" s="11">
        <f t="shared" si="76"/>
        <v>0</v>
      </c>
      <c r="I1223" s="11">
        <f t="shared" si="77"/>
        <v>0</v>
      </c>
      <c r="J1223" s="11">
        <f t="shared" si="79"/>
        <v>0</v>
      </c>
    </row>
    <row r="1224" spans="1:10" x14ac:dyDescent="0.3">
      <c r="A1224" s="7">
        <v>44902.888888887901</v>
      </c>
      <c r="B1224" s="8" t="s">
        <v>16</v>
      </c>
      <c r="C1224" s="8">
        <v>0</v>
      </c>
      <c r="D1224" t="str">
        <f t="shared" si="78"/>
        <v>Wednesday</v>
      </c>
      <c r="E1224">
        <v>50</v>
      </c>
      <c r="F1224" s="11">
        <f>VLOOKUP(B1224,'ITEMS LIST'!$B$2:$F$19,4,FALSE)</f>
        <v>120</v>
      </c>
      <c r="G1224" s="11">
        <f>VLOOKUP(B1224,'ITEMS LIST'!$B$2:$F$19,5,FALSE)</f>
        <v>85</v>
      </c>
      <c r="H1224" s="11">
        <f t="shared" si="76"/>
        <v>0</v>
      </c>
      <c r="I1224" s="11">
        <f t="shared" si="77"/>
        <v>0</v>
      </c>
      <c r="J1224" s="11">
        <f t="shared" si="79"/>
        <v>0</v>
      </c>
    </row>
    <row r="1225" spans="1:10" x14ac:dyDescent="0.3">
      <c r="A1225" s="7">
        <v>44902.944444443456</v>
      </c>
      <c r="B1225" s="8" t="s">
        <v>17</v>
      </c>
      <c r="C1225" s="8">
        <v>0</v>
      </c>
      <c r="D1225" t="str">
        <f t="shared" si="78"/>
        <v>Wednesday</v>
      </c>
      <c r="E1225">
        <v>50</v>
      </c>
      <c r="F1225" s="11">
        <f>VLOOKUP(B1225,'ITEMS LIST'!$B$2:$F$19,4,FALSE)</f>
        <v>80</v>
      </c>
      <c r="G1225" s="11">
        <f>VLOOKUP(B1225,'ITEMS LIST'!$B$2:$F$19,5,FALSE)</f>
        <v>55</v>
      </c>
      <c r="H1225" s="11">
        <f t="shared" si="76"/>
        <v>0</v>
      </c>
      <c r="I1225" s="11">
        <f t="shared" si="77"/>
        <v>0</v>
      </c>
      <c r="J1225" s="11">
        <f t="shared" si="79"/>
        <v>0</v>
      </c>
    </row>
    <row r="1226" spans="1:10" x14ac:dyDescent="0.3">
      <c r="A1226" s="7">
        <v>44902.99999999901</v>
      </c>
      <c r="B1226" s="8" t="s">
        <v>0</v>
      </c>
      <c r="C1226" s="8">
        <v>0</v>
      </c>
      <c r="D1226" t="str">
        <f t="shared" si="78"/>
        <v>Thursday</v>
      </c>
      <c r="E1226">
        <v>50</v>
      </c>
      <c r="F1226" s="11">
        <f>VLOOKUP(B1226,'ITEMS LIST'!$B$2:$F$19,4,FALSE)</f>
        <v>549</v>
      </c>
      <c r="G1226" s="11">
        <f>VLOOKUP(B1226,'ITEMS LIST'!$B$2:$F$19,5,FALSE)</f>
        <v>365</v>
      </c>
      <c r="H1226" s="11">
        <f t="shared" si="76"/>
        <v>0</v>
      </c>
      <c r="I1226" s="11">
        <f t="shared" si="77"/>
        <v>0</v>
      </c>
      <c r="J1226" s="11">
        <f t="shared" si="79"/>
        <v>0</v>
      </c>
    </row>
    <row r="1227" spans="1:10" x14ac:dyDescent="0.3">
      <c r="A1227" s="7">
        <v>44903.055555554565</v>
      </c>
      <c r="B1227" s="8" t="s">
        <v>1</v>
      </c>
      <c r="C1227" s="8">
        <v>0</v>
      </c>
      <c r="D1227" t="str">
        <f t="shared" si="78"/>
        <v>Thursday</v>
      </c>
      <c r="E1227">
        <v>50</v>
      </c>
      <c r="F1227" s="11">
        <f>VLOOKUP(B1227,'ITEMS LIST'!$B$2:$F$19,4,FALSE)</f>
        <v>699</v>
      </c>
      <c r="G1227" s="11">
        <f>VLOOKUP(B1227,'ITEMS LIST'!$B$2:$F$19,5,FALSE)</f>
        <v>550</v>
      </c>
      <c r="H1227" s="11">
        <f t="shared" si="76"/>
        <v>0</v>
      </c>
      <c r="I1227" s="11">
        <f t="shared" si="77"/>
        <v>0</v>
      </c>
      <c r="J1227" s="11">
        <f t="shared" si="79"/>
        <v>0</v>
      </c>
    </row>
    <row r="1228" spans="1:10" x14ac:dyDescent="0.3">
      <c r="A1228" s="7">
        <v>44903.11111111012</v>
      </c>
      <c r="B1228" s="8" t="s">
        <v>2</v>
      </c>
      <c r="C1228" s="8">
        <v>0</v>
      </c>
      <c r="D1228" t="str">
        <f t="shared" si="78"/>
        <v>Thursday</v>
      </c>
      <c r="E1228">
        <v>50</v>
      </c>
      <c r="F1228" s="11">
        <f>VLOOKUP(B1228,'ITEMS LIST'!$B$2:$F$19,4,FALSE)</f>
        <v>739</v>
      </c>
      <c r="G1228" s="11">
        <f>VLOOKUP(B1228,'ITEMS LIST'!$B$2:$F$19,5,FALSE)</f>
        <v>620</v>
      </c>
      <c r="H1228" s="11">
        <f t="shared" si="76"/>
        <v>0</v>
      </c>
      <c r="I1228" s="11">
        <f t="shared" si="77"/>
        <v>0</v>
      </c>
      <c r="J1228" s="11">
        <f t="shared" si="79"/>
        <v>0</v>
      </c>
    </row>
    <row r="1229" spans="1:10" x14ac:dyDescent="0.3">
      <c r="A1229" s="7">
        <v>44903.166666665675</v>
      </c>
      <c r="B1229" s="8" t="s">
        <v>3</v>
      </c>
      <c r="C1229" s="8">
        <v>0</v>
      </c>
      <c r="D1229" t="str">
        <f t="shared" si="78"/>
        <v>Thursday</v>
      </c>
      <c r="E1229">
        <v>50</v>
      </c>
      <c r="F1229" s="11">
        <f>VLOOKUP(B1229,'ITEMS LIST'!$B$2:$F$19,4,FALSE)</f>
        <v>899</v>
      </c>
      <c r="G1229" s="11">
        <f>VLOOKUP(B1229,'ITEMS LIST'!$B$2:$F$19,5,FALSE)</f>
        <v>714</v>
      </c>
      <c r="H1229" s="11">
        <f t="shared" si="76"/>
        <v>0</v>
      </c>
      <c r="I1229" s="11">
        <f t="shared" si="77"/>
        <v>0</v>
      </c>
      <c r="J1229" s="11">
        <f t="shared" si="79"/>
        <v>0</v>
      </c>
    </row>
    <row r="1230" spans="1:10" x14ac:dyDescent="0.3">
      <c r="A1230" s="7">
        <v>44903.222222221229</v>
      </c>
      <c r="B1230" s="8" t="s">
        <v>4</v>
      </c>
      <c r="C1230" s="8">
        <v>0</v>
      </c>
      <c r="D1230" t="str">
        <f t="shared" si="78"/>
        <v>Thursday</v>
      </c>
      <c r="E1230">
        <v>50</v>
      </c>
      <c r="F1230" s="11">
        <f>VLOOKUP(B1230,'ITEMS LIST'!$B$2:$F$19,4,FALSE)</f>
        <v>1379</v>
      </c>
      <c r="G1230" s="11">
        <f>VLOOKUP(B1230,'ITEMS LIST'!$B$2:$F$19,5,FALSE)</f>
        <v>890</v>
      </c>
      <c r="H1230" s="11">
        <f t="shared" si="76"/>
        <v>0</v>
      </c>
      <c r="I1230" s="11">
        <f t="shared" si="77"/>
        <v>0</v>
      </c>
      <c r="J1230" s="11">
        <f t="shared" si="79"/>
        <v>0</v>
      </c>
    </row>
    <row r="1231" spans="1:10" x14ac:dyDescent="0.3">
      <c r="A1231" s="7">
        <v>44903.277777776784</v>
      </c>
      <c r="B1231" s="8" t="s">
        <v>5</v>
      </c>
      <c r="C1231" s="8">
        <v>0</v>
      </c>
      <c r="D1231" t="str">
        <f t="shared" si="78"/>
        <v>Thursday</v>
      </c>
      <c r="E1231">
        <v>50</v>
      </c>
      <c r="F1231" s="11">
        <f>VLOOKUP(B1231,'ITEMS LIST'!$B$2:$F$19,4,FALSE)</f>
        <v>849</v>
      </c>
      <c r="G1231" s="11">
        <f>VLOOKUP(B1231,'ITEMS LIST'!$B$2:$F$19,5,FALSE)</f>
        <v>530</v>
      </c>
      <c r="H1231" s="11">
        <f t="shared" si="76"/>
        <v>0</v>
      </c>
      <c r="I1231" s="11">
        <f t="shared" si="77"/>
        <v>0</v>
      </c>
      <c r="J1231" s="11">
        <f t="shared" si="79"/>
        <v>0</v>
      </c>
    </row>
    <row r="1232" spans="1:10" x14ac:dyDescent="0.3">
      <c r="A1232" s="7">
        <v>44903.333333332339</v>
      </c>
      <c r="B1232" s="8" t="s">
        <v>6</v>
      </c>
      <c r="C1232" s="8">
        <v>0</v>
      </c>
      <c r="D1232" t="str">
        <f t="shared" si="78"/>
        <v>Thursday</v>
      </c>
      <c r="E1232">
        <v>50</v>
      </c>
      <c r="F1232" s="11">
        <f>VLOOKUP(B1232,'ITEMS LIST'!$B$2:$F$19,4,FALSE)</f>
        <v>1000</v>
      </c>
      <c r="G1232" s="11">
        <f>VLOOKUP(B1232,'ITEMS LIST'!$B$2:$F$19,5,FALSE)</f>
        <v>768</v>
      </c>
      <c r="H1232" s="11">
        <f t="shared" si="76"/>
        <v>0</v>
      </c>
      <c r="I1232" s="11">
        <f t="shared" si="77"/>
        <v>0</v>
      </c>
      <c r="J1232" s="11">
        <f t="shared" si="79"/>
        <v>0</v>
      </c>
    </row>
    <row r="1233" spans="1:10" x14ac:dyDescent="0.3">
      <c r="A1233" s="7">
        <v>44903.388888887894</v>
      </c>
      <c r="B1233" s="8" t="s">
        <v>7</v>
      </c>
      <c r="C1233" s="8">
        <v>0</v>
      </c>
      <c r="D1233" t="str">
        <f t="shared" si="78"/>
        <v>Thursday</v>
      </c>
      <c r="E1233">
        <v>50</v>
      </c>
      <c r="F1233" s="11">
        <f>VLOOKUP(B1233,'ITEMS LIST'!$B$2:$F$19,4,FALSE)</f>
        <v>680</v>
      </c>
      <c r="G1233" s="11">
        <f>VLOOKUP(B1233,'ITEMS LIST'!$B$2:$F$19,5,FALSE)</f>
        <v>570</v>
      </c>
      <c r="H1233" s="11">
        <f t="shared" si="76"/>
        <v>0</v>
      </c>
      <c r="I1233" s="11">
        <f t="shared" si="77"/>
        <v>0</v>
      </c>
      <c r="J1233" s="11">
        <f t="shared" si="79"/>
        <v>0</v>
      </c>
    </row>
    <row r="1234" spans="1:10" x14ac:dyDescent="0.3">
      <c r="A1234" s="7">
        <v>44903.444444443448</v>
      </c>
      <c r="B1234" s="8" t="s">
        <v>8</v>
      </c>
      <c r="C1234" s="8">
        <v>0</v>
      </c>
      <c r="D1234" t="str">
        <f t="shared" si="78"/>
        <v>Thursday</v>
      </c>
      <c r="E1234">
        <v>50</v>
      </c>
      <c r="F1234" s="11">
        <f>VLOOKUP(B1234,'ITEMS LIST'!$B$2:$F$19,4,FALSE)</f>
        <v>199</v>
      </c>
      <c r="G1234" s="11">
        <f>VLOOKUP(B1234,'ITEMS LIST'!$B$2:$F$19,5,FALSE)</f>
        <v>140</v>
      </c>
      <c r="H1234" s="11">
        <f t="shared" si="76"/>
        <v>0</v>
      </c>
      <c r="I1234" s="11">
        <f t="shared" si="77"/>
        <v>0</v>
      </c>
      <c r="J1234" s="11">
        <f t="shared" si="79"/>
        <v>0</v>
      </c>
    </row>
    <row r="1235" spans="1:10" x14ac:dyDescent="0.3">
      <c r="A1235" s="7">
        <v>44903.499999999003</v>
      </c>
      <c r="B1235" s="8" t="s">
        <v>9</v>
      </c>
      <c r="C1235" s="8">
        <v>0</v>
      </c>
      <c r="D1235" t="str">
        <f t="shared" si="78"/>
        <v>Thursday</v>
      </c>
      <c r="E1235">
        <v>50</v>
      </c>
      <c r="F1235" s="11">
        <f>VLOOKUP(B1235,'ITEMS LIST'!$B$2:$F$19,4,FALSE)</f>
        <v>219</v>
      </c>
      <c r="G1235" s="11">
        <f>VLOOKUP(B1235,'ITEMS LIST'!$B$2:$F$19,5,FALSE)</f>
        <v>132</v>
      </c>
      <c r="H1235" s="11">
        <f t="shared" si="76"/>
        <v>0</v>
      </c>
      <c r="I1235" s="11">
        <f t="shared" si="77"/>
        <v>0</v>
      </c>
      <c r="J1235" s="11">
        <f t="shared" si="79"/>
        <v>0</v>
      </c>
    </row>
    <row r="1236" spans="1:10" x14ac:dyDescent="0.3">
      <c r="A1236" s="7">
        <v>44903.555555554558</v>
      </c>
      <c r="B1236" s="8" t="s">
        <v>10</v>
      </c>
      <c r="C1236" s="8">
        <v>0</v>
      </c>
      <c r="D1236" t="str">
        <f t="shared" si="78"/>
        <v>Thursday</v>
      </c>
      <c r="E1236">
        <v>50</v>
      </c>
      <c r="F1236" s="11">
        <f>VLOOKUP(B1236,'ITEMS LIST'!$B$2:$F$19,4,FALSE)</f>
        <v>1469</v>
      </c>
      <c r="G1236" s="11">
        <f>VLOOKUP(B1236,'ITEMS LIST'!$B$2:$F$19,5,FALSE)</f>
        <v>1184</v>
      </c>
      <c r="H1236" s="11">
        <f t="shared" si="76"/>
        <v>0</v>
      </c>
      <c r="I1236" s="11">
        <f t="shared" si="77"/>
        <v>0</v>
      </c>
      <c r="J1236" s="11">
        <f t="shared" si="79"/>
        <v>0</v>
      </c>
    </row>
    <row r="1237" spans="1:10" x14ac:dyDescent="0.3">
      <c r="A1237" s="7">
        <v>44903.611111110113</v>
      </c>
      <c r="B1237" s="8" t="s">
        <v>11</v>
      </c>
      <c r="C1237" s="8">
        <v>0</v>
      </c>
      <c r="D1237" t="str">
        <f t="shared" si="78"/>
        <v>Thursday</v>
      </c>
      <c r="E1237">
        <v>50</v>
      </c>
      <c r="F1237" s="11">
        <f>VLOOKUP(B1237,'ITEMS LIST'!$B$2:$F$19,4,FALSE)</f>
        <v>89</v>
      </c>
      <c r="G1237" s="11">
        <f>VLOOKUP(B1237,'ITEMS LIST'!$B$2:$F$19,5,FALSE)</f>
        <v>59</v>
      </c>
      <c r="H1237" s="11">
        <f t="shared" si="76"/>
        <v>0</v>
      </c>
      <c r="I1237" s="11">
        <f t="shared" si="77"/>
        <v>0</v>
      </c>
      <c r="J1237" s="11">
        <f t="shared" si="79"/>
        <v>0</v>
      </c>
    </row>
    <row r="1238" spans="1:10" x14ac:dyDescent="0.3">
      <c r="A1238" s="7">
        <v>44903.666666665667</v>
      </c>
      <c r="B1238" s="8" t="s">
        <v>12</v>
      </c>
      <c r="C1238" s="8">
        <v>0</v>
      </c>
      <c r="D1238" t="str">
        <f t="shared" si="78"/>
        <v>Thursday</v>
      </c>
      <c r="E1238">
        <v>50</v>
      </c>
      <c r="F1238" s="11">
        <f>VLOOKUP(B1238,'ITEMS LIST'!$B$2:$F$19,4,FALSE)</f>
        <v>310</v>
      </c>
      <c r="G1238" s="11">
        <f>VLOOKUP(B1238,'ITEMS LIST'!$B$2:$F$19,5,FALSE)</f>
        <v>206</v>
      </c>
      <c r="H1238" s="11">
        <f t="shared" si="76"/>
        <v>0</v>
      </c>
      <c r="I1238" s="11">
        <f t="shared" si="77"/>
        <v>0</v>
      </c>
      <c r="J1238" s="11">
        <f t="shared" si="79"/>
        <v>0</v>
      </c>
    </row>
    <row r="1239" spans="1:10" x14ac:dyDescent="0.3">
      <c r="A1239" s="7">
        <v>44903.722222221222</v>
      </c>
      <c r="B1239" s="8" t="s">
        <v>13</v>
      </c>
      <c r="C1239" s="8">
        <v>0</v>
      </c>
      <c r="D1239" t="str">
        <f t="shared" si="78"/>
        <v>Thursday</v>
      </c>
      <c r="E1239">
        <v>50</v>
      </c>
      <c r="F1239" s="11">
        <f>VLOOKUP(B1239,'ITEMS LIST'!$B$2:$F$19,4,FALSE)</f>
        <v>540</v>
      </c>
      <c r="G1239" s="11">
        <f>VLOOKUP(B1239,'ITEMS LIST'!$B$2:$F$19,5,FALSE)</f>
        <v>397</v>
      </c>
      <c r="H1239" s="11">
        <f t="shared" si="76"/>
        <v>0</v>
      </c>
      <c r="I1239" s="11">
        <f t="shared" si="77"/>
        <v>0</v>
      </c>
      <c r="J1239" s="11">
        <f t="shared" si="79"/>
        <v>0</v>
      </c>
    </row>
    <row r="1240" spans="1:10" x14ac:dyDescent="0.3">
      <c r="A1240" s="7">
        <v>44903.777777776777</v>
      </c>
      <c r="B1240" s="8" t="s">
        <v>14</v>
      </c>
      <c r="C1240" s="8">
        <v>0</v>
      </c>
      <c r="D1240" t="str">
        <f t="shared" si="78"/>
        <v>Thursday</v>
      </c>
      <c r="E1240">
        <v>50</v>
      </c>
      <c r="F1240" s="11">
        <f>VLOOKUP(B1240,'ITEMS LIST'!$B$2:$F$19,4,FALSE)</f>
        <v>360</v>
      </c>
      <c r="G1240" s="11">
        <f>VLOOKUP(B1240,'ITEMS LIST'!$B$2:$F$19,5,FALSE)</f>
        <v>248</v>
      </c>
      <c r="H1240" s="11">
        <f t="shared" si="76"/>
        <v>0</v>
      </c>
      <c r="I1240" s="11">
        <f t="shared" si="77"/>
        <v>0</v>
      </c>
      <c r="J1240" s="11">
        <f t="shared" si="79"/>
        <v>0</v>
      </c>
    </row>
    <row r="1241" spans="1:10" x14ac:dyDescent="0.3">
      <c r="A1241" s="7">
        <v>44903.833333332332</v>
      </c>
      <c r="B1241" s="8" t="s">
        <v>15</v>
      </c>
      <c r="C1241" s="8">
        <v>0</v>
      </c>
      <c r="D1241" t="str">
        <f t="shared" si="78"/>
        <v>Thursday</v>
      </c>
      <c r="E1241">
        <v>50</v>
      </c>
      <c r="F1241" s="11">
        <f>VLOOKUP(B1241,'ITEMS LIST'!$B$2:$F$19,4,FALSE)</f>
        <v>250</v>
      </c>
      <c r="G1241" s="11">
        <f>VLOOKUP(B1241,'ITEMS LIST'!$B$2:$F$19,5,FALSE)</f>
        <v>190</v>
      </c>
      <c r="H1241" s="11">
        <f t="shared" si="76"/>
        <v>0</v>
      </c>
      <c r="I1241" s="11">
        <f t="shared" si="77"/>
        <v>0</v>
      </c>
      <c r="J1241" s="11">
        <f t="shared" si="79"/>
        <v>0</v>
      </c>
    </row>
    <row r="1242" spans="1:10" x14ac:dyDescent="0.3">
      <c r="A1242" s="7">
        <v>44903.888888887886</v>
      </c>
      <c r="B1242" s="8" t="s">
        <v>16</v>
      </c>
      <c r="C1242" s="8">
        <v>0</v>
      </c>
      <c r="D1242" t="str">
        <f t="shared" si="78"/>
        <v>Thursday</v>
      </c>
      <c r="E1242">
        <v>50</v>
      </c>
      <c r="F1242" s="11">
        <f>VLOOKUP(B1242,'ITEMS LIST'!$B$2:$F$19,4,FALSE)</f>
        <v>120</v>
      </c>
      <c r="G1242" s="11">
        <f>VLOOKUP(B1242,'ITEMS LIST'!$B$2:$F$19,5,FALSE)</f>
        <v>85</v>
      </c>
      <c r="H1242" s="11">
        <f t="shared" si="76"/>
        <v>0</v>
      </c>
      <c r="I1242" s="11">
        <f t="shared" si="77"/>
        <v>0</v>
      </c>
      <c r="J1242" s="11">
        <f t="shared" si="79"/>
        <v>0</v>
      </c>
    </row>
    <row r="1243" spans="1:10" x14ac:dyDescent="0.3">
      <c r="A1243" s="7">
        <v>44903.944444443441</v>
      </c>
      <c r="B1243" s="8" t="s">
        <v>17</v>
      </c>
      <c r="C1243" s="8">
        <v>0</v>
      </c>
      <c r="D1243" t="str">
        <f t="shared" si="78"/>
        <v>Thursday</v>
      </c>
      <c r="E1243">
        <v>50</v>
      </c>
      <c r="F1243" s="11">
        <f>VLOOKUP(B1243,'ITEMS LIST'!$B$2:$F$19,4,FALSE)</f>
        <v>80</v>
      </c>
      <c r="G1243" s="11">
        <f>VLOOKUP(B1243,'ITEMS LIST'!$B$2:$F$19,5,FALSE)</f>
        <v>55</v>
      </c>
      <c r="H1243" s="11">
        <f t="shared" si="76"/>
        <v>0</v>
      </c>
      <c r="I1243" s="11">
        <f t="shared" si="77"/>
        <v>0</v>
      </c>
      <c r="J1243" s="11">
        <f t="shared" si="79"/>
        <v>0</v>
      </c>
    </row>
    <row r="1244" spans="1:10" x14ac:dyDescent="0.3">
      <c r="A1244" s="7">
        <v>44903.999999998996</v>
      </c>
      <c r="B1244" s="8" t="s">
        <v>0</v>
      </c>
      <c r="C1244" s="8">
        <v>0</v>
      </c>
      <c r="D1244" t="str">
        <f t="shared" si="78"/>
        <v>Friday</v>
      </c>
      <c r="E1244">
        <v>50</v>
      </c>
      <c r="F1244" s="11">
        <f>VLOOKUP(B1244,'ITEMS LIST'!$B$2:$F$19,4,FALSE)</f>
        <v>549</v>
      </c>
      <c r="G1244" s="11">
        <f>VLOOKUP(B1244,'ITEMS LIST'!$B$2:$F$19,5,FALSE)</f>
        <v>365</v>
      </c>
      <c r="H1244" s="11">
        <f t="shared" si="76"/>
        <v>0</v>
      </c>
      <c r="I1244" s="11">
        <f t="shared" si="77"/>
        <v>0</v>
      </c>
      <c r="J1244" s="11">
        <f t="shared" si="79"/>
        <v>0</v>
      </c>
    </row>
    <row r="1245" spans="1:10" x14ac:dyDescent="0.3">
      <c r="A1245" s="7">
        <v>44904.055555554551</v>
      </c>
      <c r="B1245" s="8" t="s">
        <v>1</v>
      </c>
      <c r="C1245" s="8">
        <v>0</v>
      </c>
      <c r="D1245" t="str">
        <f t="shared" si="78"/>
        <v>Friday</v>
      </c>
      <c r="E1245">
        <v>50</v>
      </c>
      <c r="F1245" s="11">
        <f>VLOOKUP(B1245,'ITEMS LIST'!$B$2:$F$19,4,FALSE)</f>
        <v>699</v>
      </c>
      <c r="G1245" s="11">
        <f>VLOOKUP(B1245,'ITEMS LIST'!$B$2:$F$19,5,FALSE)</f>
        <v>550</v>
      </c>
      <c r="H1245" s="11">
        <f t="shared" si="76"/>
        <v>0</v>
      </c>
      <c r="I1245" s="11">
        <f t="shared" si="77"/>
        <v>0</v>
      </c>
      <c r="J1245" s="11">
        <f t="shared" si="79"/>
        <v>0</v>
      </c>
    </row>
    <row r="1246" spans="1:10" x14ac:dyDescent="0.3">
      <c r="A1246" s="7">
        <v>44904.111111110105</v>
      </c>
      <c r="B1246" s="8" t="s">
        <v>2</v>
      </c>
      <c r="C1246" s="8">
        <v>1</v>
      </c>
      <c r="D1246" t="str">
        <f t="shared" si="78"/>
        <v>Friday</v>
      </c>
      <c r="E1246">
        <v>50</v>
      </c>
      <c r="F1246" s="11">
        <f>VLOOKUP(B1246,'ITEMS LIST'!$B$2:$F$19,4,FALSE)</f>
        <v>739</v>
      </c>
      <c r="G1246" s="11">
        <f>VLOOKUP(B1246,'ITEMS LIST'!$B$2:$F$19,5,FALSE)</f>
        <v>620</v>
      </c>
      <c r="H1246" s="11">
        <f t="shared" si="76"/>
        <v>739</v>
      </c>
      <c r="I1246" s="11">
        <f t="shared" si="77"/>
        <v>620</v>
      </c>
      <c r="J1246" s="11">
        <f t="shared" si="79"/>
        <v>119</v>
      </c>
    </row>
    <row r="1247" spans="1:10" x14ac:dyDescent="0.3">
      <c r="A1247" s="7">
        <v>44904.16666666566</v>
      </c>
      <c r="B1247" s="8" t="s">
        <v>3</v>
      </c>
      <c r="C1247" s="8">
        <v>0</v>
      </c>
      <c r="D1247" t="str">
        <f t="shared" si="78"/>
        <v>Friday</v>
      </c>
      <c r="E1247">
        <v>50</v>
      </c>
      <c r="F1247" s="11">
        <f>VLOOKUP(B1247,'ITEMS LIST'!$B$2:$F$19,4,FALSE)</f>
        <v>899</v>
      </c>
      <c r="G1247" s="11">
        <f>VLOOKUP(B1247,'ITEMS LIST'!$B$2:$F$19,5,FALSE)</f>
        <v>714</v>
      </c>
      <c r="H1247" s="11">
        <f t="shared" si="76"/>
        <v>0</v>
      </c>
      <c r="I1247" s="11">
        <f t="shared" si="77"/>
        <v>0</v>
      </c>
      <c r="J1247" s="11">
        <f t="shared" si="79"/>
        <v>0</v>
      </c>
    </row>
    <row r="1248" spans="1:10" x14ac:dyDescent="0.3">
      <c r="A1248" s="7">
        <v>44904.222222221215</v>
      </c>
      <c r="B1248" s="8" t="s">
        <v>4</v>
      </c>
      <c r="C1248" s="8">
        <v>0</v>
      </c>
      <c r="D1248" t="str">
        <f t="shared" si="78"/>
        <v>Friday</v>
      </c>
      <c r="E1248">
        <v>50</v>
      </c>
      <c r="F1248" s="11">
        <f>VLOOKUP(B1248,'ITEMS LIST'!$B$2:$F$19,4,FALSE)</f>
        <v>1379</v>
      </c>
      <c r="G1248" s="11">
        <f>VLOOKUP(B1248,'ITEMS LIST'!$B$2:$F$19,5,FALSE)</f>
        <v>890</v>
      </c>
      <c r="H1248" s="11">
        <f t="shared" si="76"/>
        <v>0</v>
      </c>
      <c r="I1248" s="11">
        <f t="shared" si="77"/>
        <v>0</v>
      </c>
      <c r="J1248" s="11">
        <f t="shared" si="79"/>
        <v>0</v>
      </c>
    </row>
    <row r="1249" spans="1:10" x14ac:dyDescent="0.3">
      <c r="A1249" s="7">
        <v>44904.27777777677</v>
      </c>
      <c r="B1249" s="8" t="s">
        <v>5</v>
      </c>
      <c r="C1249" s="8">
        <v>0</v>
      </c>
      <c r="D1249" t="str">
        <f t="shared" si="78"/>
        <v>Friday</v>
      </c>
      <c r="E1249">
        <v>50</v>
      </c>
      <c r="F1249" s="11">
        <f>VLOOKUP(B1249,'ITEMS LIST'!$B$2:$F$19,4,FALSE)</f>
        <v>849</v>
      </c>
      <c r="G1249" s="11">
        <f>VLOOKUP(B1249,'ITEMS LIST'!$B$2:$F$19,5,FALSE)</f>
        <v>530</v>
      </c>
      <c r="H1249" s="11">
        <f t="shared" si="76"/>
        <v>0</v>
      </c>
      <c r="I1249" s="11">
        <f t="shared" si="77"/>
        <v>0</v>
      </c>
      <c r="J1249" s="11">
        <f t="shared" si="79"/>
        <v>0</v>
      </c>
    </row>
    <row r="1250" spans="1:10" x14ac:dyDescent="0.3">
      <c r="A1250" s="7">
        <v>44904.333333332324</v>
      </c>
      <c r="B1250" s="8" t="s">
        <v>6</v>
      </c>
      <c r="C1250" s="8">
        <v>0</v>
      </c>
      <c r="D1250" t="str">
        <f t="shared" si="78"/>
        <v>Friday</v>
      </c>
      <c r="E1250">
        <v>50</v>
      </c>
      <c r="F1250" s="11">
        <f>VLOOKUP(B1250,'ITEMS LIST'!$B$2:$F$19,4,FALSE)</f>
        <v>1000</v>
      </c>
      <c r="G1250" s="11">
        <f>VLOOKUP(B1250,'ITEMS LIST'!$B$2:$F$19,5,FALSE)</f>
        <v>768</v>
      </c>
      <c r="H1250" s="11">
        <f t="shared" si="76"/>
        <v>0</v>
      </c>
      <c r="I1250" s="11">
        <f t="shared" si="77"/>
        <v>0</v>
      </c>
      <c r="J1250" s="11">
        <f t="shared" si="79"/>
        <v>0</v>
      </c>
    </row>
    <row r="1251" spans="1:10" x14ac:dyDescent="0.3">
      <c r="A1251" s="7">
        <v>44904.388888887879</v>
      </c>
      <c r="B1251" s="8" t="s">
        <v>7</v>
      </c>
      <c r="C1251" s="8">
        <v>0</v>
      </c>
      <c r="D1251" t="str">
        <f t="shared" si="78"/>
        <v>Friday</v>
      </c>
      <c r="E1251">
        <v>50</v>
      </c>
      <c r="F1251" s="11">
        <f>VLOOKUP(B1251,'ITEMS LIST'!$B$2:$F$19,4,FALSE)</f>
        <v>680</v>
      </c>
      <c r="G1251" s="11">
        <f>VLOOKUP(B1251,'ITEMS LIST'!$B$2:$F$19,5,FALSE)</f>
        <v>570</v>
      </c>
      <c r="H1251" s="11">
        <f t="shared" si="76"/>
        <v>0</v>
      </c>
      <c r="I1251" s="11">
        <f t="shared" si="77"/>
        <v>0</v>
      </c>
      <c r="J1251" s="11">
        <f t="shared" si="79"/>
        <v>0</v>
      </c>
    </row>
    <row r="1252" spans="1:10" x14ac:dyDescent="0.3">
      <c r="A1252" s="7">
        <v>44904.444444443434</v>
      </c>
      <c r="B1252" s="8" t="s">
        <v>8</v>
      </c>
      <c r="C1252" s="8">
        <v>0</v>
      </c>
      <c r="D1252" t="str">
        <f t="shared" si="78"/>
        <v>Friday</v>
      </c>
      <c r="E1252">
        <v>50</v>
      </c>
      <c r="F1252" s="11">
        <f>VLOOKUP(B1252,'ITEMS LIST'!$B$2:$F$19,4,FALSE)</f>
        <v>199</v>
      </c>
      <c r="G1252" s="11">
        <f>VLOOKUP(B1252,'ITEMS LIST'!$B$2:$F$19,5,FALSE)</f>
        <v>140</v>
      </c>
      <c r="H1252" s="11">
        <f t="shared" si="76"/>
        <v>0</v>
      </c>
      <c r="I1252" s="11">
        <f t="shared" si="77"/>
        <v>0</v>
      </c>
      <c r="J1252" s="11">
        <f t="shared" si="79"/>
        <v>0</v>
      </c>
    </row>
    <row r="1253" spans="1:10" x14ac:dyDescent="0.3">
      <c r="A1253" s="7">
        <v>44904.499999998989</v>
      </c>
      <c r="B1253" s="8" t="s">
        <v>9</v>
      </c>
      <c r="C1253" s="8">
        <v>0</v>
      </c>
      <c r="D1253" t="str">
        <f t="shared" si="78"/>
        <v>Friday</v>
      </c>
      <c r="E1253">
        <v>50</v>
      </c>
      <c r="F1253" s="11">
        <f>VLOOKUP(B1253,'ITEMS LIST'!$B$2:$F$19,4,FALSE)</f>
        <v>219</v>
      </c>
      <c r="G1253" s="11">
        <f>VLOOKUP(B1253,'ITEMS LIST'!$B$2:$F$19,5,FALSE)</f>
        <v>132</v>
      </c>
      <c r="H1253" s="11">
        <f t="shared" si="76"/>
        <v>0</v>
      </c>
      <c r="I1253" s="11">
        <f t="shared" si="77"/>
        <v>0</v>
      </c>
      <c r="J1253" s="11">
        <f t="shared" si="79"/>
        <v>0</v>
      </c>
    </row>
    <row r="1254" spans="1:10" x14ac:dyDescent="0.3">
      <c r="A1254" s="7">
        <v>44904.555555554543</v>
      </c>
      <c r="B1254" s="8" t="s">
        <v>10</v>
      </c>
      <c r="C1254" s="8">
        <v>1</v>
      </c>
      <c r="D1254" t="str">
        <f t="shared" si="78"/>
        <v>Friday</v>
      </c>
      <c r="E1254">
        <v>50</v>
      </c>
      <c r="F1254" s="11">
        <f>VLOOKUP(B1254,'ITEMS LIST'!$B$2:$F$19,4,FALSE)</f>
        <v>1469</v>
      </c>
      <c r="G1254" s="11">
        <f>VLOOKUP(B1254,'ITEMS LIST'!$B$2:$F$19,5,FALSE)</f>
        <v>1184</v>
      </c>
      <c r="H1254" s="11">
        <f t="shared" si="76"/>
        <v>1469</v>
      </c>
      <c r="I1254" s="11">
        <f t="shared" si="77"/>
        <v>1184</v>
      </c>
      <c r="J1254" s="11">
        <f t="shared" si="79"/>
        <v>285</v>
      </c>
    </row>
    <row r="1255" spans="1:10" x14ac:dyDescent="0.3">
      <c r="A1255" s="7">
        <v>44904.611111110098</v>
      </c>
      <c r="B1255" s="8" t="s">
        <v>11</v>
      </c>
      <c r="C1255" s="8">
        <v>0</v>
      </c>
      <c r="D1255" t="str">
        <f t="shared" si="78"/>
        <v>Friday</v>
      </c>
      <c r="E1255">
        <v>50</v>
      </c>
      <c r="F1255" s="11">
        <f>VLOOKUP(B1255,'ITEMS LIST'!$B$2:$F$19,4,FALSE)</f>
        <v>89</v>
      </c>
      <c r="G1255" s="11">
        <f>VLOOKUP(B1255,'ITEMS LIST'!$B$2:$F$19,5,FALSE)</f>
        <v>59</v>
      </c>
      <c r="H1255" s="11">
        <f t="shared" si="76"/>
        <v>0</v>
      </c>
      <c r="I1255" s="11">
        <f t="shared" si="77"/>
        <v>0</v>
      </c>
      <c r="J1255" s="11">
        <f t="shared" si="79"/>
        <v>0</v>
      </c>
    </row>
    <row r="1256" spans="1:10" x14ac:dyDescent="0.3">
      <c r="A1256" s="7">
        <v>44904.666666665653</v>
      </c>
      <c r="B1256" s="8" t="s">
        <v>12</v>
      </c>
      <c r="C1256" s="8">
        <v>0</v>
      </c>
      <c r="D1256" t="str">
        <f t="shared" si="78"/>
        <v>Friday</v>
      </c>
      <c r="E1256">
        <v>50</v>
      </c>
      <c r="F1256" s="11">
        <f>VLOOKUP(B1256,'ITEMS LIST'!$B$2:$F$19,4,FALSE)</f>
        <v>310</v>
      </c>
      <c r="G1256" s="11">
        <f>VLOOKUP(B1256,'ITEMS LIST'!$B$2:$F$19,5,FALSE)</f>
        <v>206</v>
      </c>
      <c r="H1256" s="11">
        <f t="shared" si="76"/>
        <v>0</v>
      </c>
      <c r="I1256" s="11">
        <f t="shared" si="77"/>
        <v>0</v>
      </c>
      <c r="J1256" s="11">
        <f t="shared" si="79"/>
        <v>0</v>
      </c>
    </row>
    <row r="1257" spans="1:10" x14ac:dyDescent="0.3">
      <c r="A1257" s="7">
        <v>44904.722222221208</v>
      </c>
      <c r="B1257" s="8" t="s">
        <v>13</v>
      </c>
      <c r="C1257" s="8">
        <v>0</v>
      </c>
      <c r="D1257" t="str">
        <f t="shared" si="78"/>
        <v>Friday</v>
      </c>
      <c r="E1257">
        <v>50</v>
      </c>
      <c r="F1257" s="11">
        <f>VLOOKUP(B1257,'ITEMS LIST'!$B$2:$F$19,4,FALSE)</f>
        <v>540</v>
      </c>
      <c r="G1257" s="11">
        <f>VLOOKUP(B1257,'ITEMS LIST'!$B$2:$F$19,5,FALSE)</f>
        <v>397</v>
      </c>
      <c r="H1257" s="11">
        <f t="shared" si="76"/>
        <v>0</v>
      </c>
      <c r="I1257" s="11">
        <f t="shared" si="77"/>
        <v>0</v>
      </c>
      <c r="J1257" s="11">
        <f t="shared" si="79"/>
        <v>0</v>
      </c>
    </row>
    <row r="1258" spans="1:10" x14ac:dyDescent="0.3">
      <c r="A1258" s="7">
        <v>44904.777777776762</v>
      </c>
      <c r="B1258" s="8" t="s">
        <v>14</v>
      </c>
      <c r="C1258" s="8">
        <v>0</v>
      </c>
      <c r="D1258" t="str">
        <f t="shared" si="78"/>
        <v>Friday</v>
      </c>
      <c r="E1258">
        <v>50</v>
      </c>
      <c r="F1258" s="11">
        <f>VLOOKUP(B1258,'ITEMS LIST'!$B$2:$F$19,4,FALSE)</f>
        <v>360</v>
      </c>
      <c r="G1258" s="11">
        <f>VLOOKUP(B1258,'ITEMS LIST'!$B$2:$F$19,5,FALSE)</f>
        <v>248</v>
      </c>
      <c r="H1258" s="11">
        <f t="shared" si="76"/>
        <v>0</v>
      </c>
      <c r="I1258" s="11">
        <f t="shared" si="77"/>
        <v>0</v>
      </c>
      <c r="J1258" s="11">
        <f t="shared" si="79"/>
        <v>0</v>
      </c>
    </row>
    <row r="1259" spans="1:10" x14ac:dyDescent="0.3">
      <c r="A1259" s="7">
        <v>44904.833333332317</v>
      </c>
      <c r="B1259" s="8" t="s">
        <v>15</v>
      </c>
      <c r="C1259" s="8">
        <v>0</v>
      </c>
      <c r="D1259" t="str">
        <f t="shared" si="78"/>
        <v>Friday</v>
      </c>
      <c r="E1259">
        <v>50</v>
      </c>
      <c r="F1259" s="11">
        <f>VLOOKUP(B1259,'ITEMS LIST'!$B$2:$F$19,4,FALSE)</f>
        <v>250</v>
      </c>
      <c r="G1259" s="11">
        <f>VLOOKUP(B1259,'ITEMS LIST'!$B$2:$F$19,5,FALSE)</f>
        <v>190</v>
      </c>
      <c r="H1259" s="11">
        <f t="shared" si="76"/>
        <v>0</v>
      </c>
      <c r="I1259" s="11">
        <f t="shared" si="77"/>
        <v>0</v>
      </c>
      <c r="J1259" s="11">
        <f t="shared" si="79"/>
        <v>0</v>
      </c>
    </row>
    <row r="1260" spans="1:10" x14ac:dyDescent="0.3">
      <c r="A1260" s="7">
        <v>44904.888888887872</v>
      </c>
      <c r="B1260" s="8" t="s">
        <v>16</v>
      </c>
      <c r="C1260" s="8">
        <v>0</v>
      </c>
      <c r="D1260" t="str">
        <f t="shared" si="78"/>
        <v>Friday</v>
      </c>
      <c r="E1260">
        <v>50</v>
      </c>
      <c r="F1260" s="11">
        <f>VLOOKUP(B1260,'ITEMS LIST'!$B$2:$F$19,4,FALSE)</f>
        <v>120</v>
      </c>
      <c r="G1260" s="11">
        <f>VLOOKUP(B1260,'ITEMS LIST'!$B$2:$F$19,5,FALSE)</f>
        <v>85</v>
      </c>
      <c r="H1260" s="11">
        <f t="shared" si="76"/>
        <v>0</v>
      </c>
      <c r="I1260" s="11">
        <f t="shared" si="77"/>
        <v>0</v>
      </c>
      <c r="J1260" s="11">
        <f t="shared" si="79"/>
        <v>0</v>
      </c>
    </row>
    <row r="1261" spans="1:10" x14ac:dyDescent="0.3">
      <c r="A1261" s="7">
        <v>44904.944444443427</v>
      </c>
      <c r="B1261" s="8" t="s">
        <v>17</v>
      </c>
      <c r="C1261" s="8">
        <v>0</v>
      </c>
      <c r="D1261" t="str">
        <f t="shared" si="78"/>
        <v>Friday</v>
      </c>
      <c r="E1261">
        <v>50</v>
      </c>
      <c r="F1261" s="11">
        <f>VLOOKUP(B1261,'ITEMS LIST'!$B$2:$F$19,4,FALSE)</f>
        <v>80</v>
      </c>
      <c r="G1261" s="11">
        <f>VLOOKUP(B1261,'ITEMS LIST'!$B$2:$F$19,5,FALSE)</f>
        <v>55</v>
      </c>
      <c r="H1261" s="11">
        <f t="shared" si="76"/>
        <v>0</v>
      </c>
      <c r="I1261" s="11">
        <f t="shared" si="77"/>
        <v>0</v>
      </c>
      <c r="J1261" s="11">
        <f t="shared" si="79"/>
        <v>0</v>
      </c>
    </row>
    <row r="1262" spans="1:10" x14ac:dyDescent="0.3">
      <c r="A1262" s="7">
        <v>44904.999999998981</v>
      </c>
      <c r="B1262" s="8" t="s">
        <v>0</v>
      </c>
      <c r="C1262" s="8">
        <v>0</v>
      </c>
      <c r="D1262" t="str">
        <f t="shared" si="78"/>
        <v>Saturday</v>
      </c>
      <c r="E1262">
        <v>50</v>
      </c>
      <c r="F1262" s="11">
        <f>VLOOKUP(B1262,'ITEMS LIST'!$B$2:$F$19,4,FALSE)</f>
        <v>549</v>
      </c>
      <c r="G1262" s="11">
        <f>VLOOKUP(B1262,'ITEMS LIST'!$B$2:$F$19,5,FALSE)</f>
        <v>365</v>
      </c>
      <c r="H1262" s="11">
        <f t="shared" si="76"/>
        <v>0</v>
      </c>
      <c r="I1262" s="11">
        <f t="shared" si="77"/>
        <v>0</v>
      </c>
      <c r="J1262" s="11">
        <f t="shared" si="79"/>
        <v>0</v>
      </c>
    </row>
    <row r="1263" spans="1:10" x14ac:dyDescent="0.3">
      <c r="A1263" s="7">
        <v>44905.055555554536</v>
      </c>
      <c r="B1263" s="8" t="s">
        <v>1</v>
      </c>
      <c r="C1263" s="8">
        <v>0</v>
      </c>
      <c r="D1263" t="str">
        <f t="shared" si="78"/>
        <v>Saturday</v>
      </c>
      <c r="E1263">
        <v>50</v>
      </c>
      <c r="F1263" s="11">
        <f>VLOOKUP(B1263,'ITEMS LIST'!$B$2:$F$19,4,FALSE)</f>
        <v>699</v>
      </c>
      <c r="G1263" s="11">
        <f>VLOOKUP(B1263,'ITEMS LIST'!$B$2:$F$19,5,FALSE)</f>
        <v>550</v>
      </c>
      <c r="H1263" s="11">
        <f t="shared" si="76"/>
        <v>0</v>
      </c>
      <c r="I1263" s="11">
        <f t="shared" si="77"/>
        <v>0</v>
      </c>
      <c r="J1263" s="11">
        <f t="shared" si="79"/>
        <v>0</v>
      </c>
    </row>
    <row r="1264" spans="1:10" x14ac:dyDescent="0.3">
      <c r="A1264" s="7">
        <v>44905.111111110091</v>
      </c>
      <c r="B1264" s="8" t="s">
        <v>2</v>
      </c>
      <c r="C1264" s="8">
        <v>0</v>
      </c>
      <c r="D1264" t="str">
        <f t="shared" si="78"/>
        <v>Saturday</v>
      </c>
      <c r="E1264">
        <v>50</v>
      </c>
      <c r="F1264" s="11">
        <f>VLOOKUP(B1264,'ITEMS LIST'!$B$2:$F$19,4,FALSE)</f>
        <v>739</v>
      </c>
      <c r="G1264" s="11">
        <f>VLOOKUP(B1264,'ITEMS LIST'!$B$2:$F$19,5,FALSE)</f>
        <v>620</v>
      </c>
      <c r="H1264" s="11">
        <f t="shared" si="76"/>
        <v>0</v>
      </c>
      <c r="I1264" s="11">
        <f t="shared" si="77"/>
        <v>0</v>
      </c>
      <c r="J1264" s="11">
        <f t="shared" si="79"/>
        <v>0</v>
      </c>
    </row>
    <row r="1265" spans="1:10" x14ac:dyDescent="0.3">
      <c r="A1265" s="7">
        <v>44905.166666665646</v>
      </c>
      <c r="B1265" s="8" t="s">
        <v>3</v>
      </c>
      <c r="C1265" s="8">
        <v>0</v>
      </c>
      <c r="D1265" t="str">
        <f t="shared" si="78"/>
        <v>Saturday</v>
      </c>
      <c r="E1265">
        <v>50</v>
      </c>
      <c r="F1265" s="11">
        <f>VLOOKUP(B1265,'ITEMS LIST'!$B$2:$F$19,4,FALSE)</f>
        <v>899</v>
      </c>
      <c r="G1265" s="11">
        <f>VLOOKUP(B1265,'ITEMS LIST'!$B$2:$F$19,5,FALSE)</f>
        <v>714</v>
      </c>
      <c r="H1265" s="11">
        <f t="shared" si="76"/>
        <v>0</v>
      </c>
      <c r="I1265" s="11">
        <f t="shared" si="77"/>
        <v>0</v>
      </c>
      <c r="J1265" s="11">
        <f t="shared" si="79"/>
        <v>0</v>
      </c>
    </row>
    <row r="1266" spans="1:10" x14ac:dyDescent="0.3">
      <c r="A1266" s="7">
        <v>44905.2222222212</v>
      </c>
      <c r="B1266" s="8" t="s">
        <v>4</v>
      </c>
      <c r="C1266" s="8">
        <v>0</v>
      </c>
      <c r="D1266" t="str">
        <f t="shared" si="78"/>
        <v>Saturday</v>
      </c>
      <c r="E1266">
        <v>50</v>
      </c>
      <c r="F1266" s="11">
        <f>VLOOKUP(B1266,'ITEMS LIST'!$B$2:$F$19,4,FALSE)</f>
        <v>1379</v>
      </c>
      <c r="G1266" s="11">
        <f>VLOOKUP(B1266,'ITEMS LIST'!$B$2:$F$19,5,FALSE)</f>
        <v>890</v>
      </c>
      <c r="H1266" s="11">
        <f t="shared" si="76"/>
        <v>0</v>
      </c>
      <c r="I1266" s="11">
        <f t="shared" si="77"/>
        <v>0</v>
      </c>
      <c r="J1266" s="11">
        <f t="shared" si="79"/>
        <v>0</v>
      </c>
    </row>
    <row r="1267" spans="1:10" x14ac:dyDescent="0.3">
      <c r="A1267" s="7">
        <v>44905.277777776755</v>
      </c>
      <c r="B1267" s="8" t="s">
        <v>5</v>
      </c>
      <c r="C1267" s="8">
        <v>0</v>
      </c>
      <c r="D1267" t="str">
        <f t="shared" si="78"/>
        <v>Saturday</v>
      </c>
      <c r="E1267">
        <v>50</v>
      </c>
      <c r="F1267" s="11">
        <f>VLOOKUP(B1267,'ITEMS LIST'!$B$2:$F$19,4,FALSE)</f>
        <v>849</v>
      </c>
      <c r="G1267" s="11">
        <f>VLOOKUP(B1267,'ITEMS LIST'!$B$2:$F$19,5,FALSE)</f>
        <v>530</v>
      </c>
      <c r="H1267" s="11">
        <f t="shared" si="76"/>
        <v>0</v>
      </c>
      <c r="I1267" s="11">
        <f t="shared" si="77"/>
        <v>0</v>
      </c>
      <c r="J1267" s="11">
        <f t="shared" si="79"/>
        <v>0</v>
      </c>
    </row>
    <row r="1268" spans="1:10" x14ac:dyDescent="0.3">
      <c r="A1268" s="7">
        <v>44905.33333333231</v>
      </c>
      <c r="B1268" s="8" t="s">
        <v>6</v>
      </c>
      <c r="C1268" s="8">
        <v>0</v>
      </c>
      <c r="D1268" t="str">
        <f t="shared" si="78"/>
        <v>Saturday</v>
      </c>
      <c r="E1268">
        <v>50</v>
      </c>
      <c r="F1268" s="11">
        <f>VLOOKUP(B1268,'ITEMS LIST'!$B$2:$F$19,4,FALSE)</f>
        <v>1000</v>
      </c>
      <c r="G1268" s="11">
        <f>VLOOKUP(B1268,'ITEMS LIST'!$B$2:$F$19,5,FALSE)</f>
        <v>768</v>
      </c>
      <c r="H1268" s="11">
        <f t="shared" si="76"/>
        <v>0</v>
      </c>
      <c r="I1268" s="11">
        <f t="shared" si="77"/>
        <v>0</v>
      </c>
      <c r="J1268" s="11">
        <f t="shared" si="79"/>
        <v>0</v>
      </c>
    </row>
    <row r="1269" spans="1:10" x14ac:dyDescent="0.3">
      <c r="A1269" s="7">
        <v>44905.388888887865</v>
      </c>
      <c r="B1269" s="8" t="s">
        <v>7</v>
      </c>
      <c r="C1269" s="8">
        <v>0</v>
      </c>
      <c r="D1269" t="str">
        <f t="shared" si="78"/>
        <v>Saturday</v>
      </c>
      <c r="E1269">
        <v>50</v>
      </c>
      <c r="F1269" s="11">
        <f>VLOOKUP(B1269,'ITEMS LIST'!$B$2:$F$19,4,FALSE)</f>
        <v>680</v>
      </c>
      <c r="G1269" s="11">
        <f>VLOOKUP(B1269,'ITEMS LIST'!$B$2:$F$19,5,FALSE)</f>
        <v>570</v>
      </c>
      <c r="H1269" s="11">
        <f t="shared" si="76"/>
        <v>0</v>
      </c>
      <c r="I1269" s="11">
        <f t="shared" si="77"/>
        <v>0</v>
      </c>
      <c r="J1269" s="11">
        <f t="shared" si="79"/>
        <v>0</v>
      </c>
    </row>
    <row r="1270" spans="1:10" x14ac:dyDescent="0.3">
      <c r="A1270" s="7">
        <v>44905.444444443419</v>
      </c>
      <c r="B1270" s="8" t="s">
        <v>8</v>
      </c>
      <c r="C1270" s="8">
        <v>0</v>
      </c>
      <c r="D1270" t="str">
        <f t="shared" si="78"/>
        <v>Saturday</v>
      </c>
      <c r="E1270">
        <v>50</v>
      </c>
      <c r="F1270" s="11">
        <f>VLOOKUP(B1270,'ITEMS LIST'!$B$2:$F$19,4,FALSE)</f>
        <v>199</v>
      </c>
      <c r="G1270" s="11">
        <f>VLOOKUP(B1270,'ITEMS LIST'!$B$2:$F$19,5,FALSE)</f>
        <v>140</v>
      </c>
      <c r="H1270" s="11">
        <f t="shared" si="76"/>
        <v>0</v>
      </c>
      <c r="I1270" s="11">
        <f t="shared" si="77"/>
        <v>0</v>
      </c>
      <c r="J1270" s="11">
        <f t="shared" si="79"/>
        <v>0</v>
      </c>
    </row>
    <row r="1271" spans="1:10" x14ac:dyDescent="0.3">
      <c r="A1271" s="7">
        <v>44905.499999998974</v>
      </c>
      <c r="B1271" s="8" t="s">
        <v>9</v>
      </c>
      <c r="C1271" s="8">
        <v>0</v>
      </c>
      <c r="D1271" t="str">
        <f t="shared" si="78"/>
        <v>Saturday</v>
      </c>
      <c r="E1271">
        <v>50</v>
      </c>
      <c r="F1271" s="11">
        <f>VLOOKUP(B1271,'ITEMS LIST'!$B$2:$F$19,4,FALSE)</f>
        <v>219</v>
      </c>
      <c r="G1271" s="11">
        <f>VLOOKUP(B1271,'ITEMS LIST'!$B$2:$F$19,5,FALSE)</f>
        <v>132</v>
      </c>
      <c r="H1271" s="11">
        <f t="shared" si="76"/>
        <v>0</v>
      </c>
      <c r="I1271" s="11">
        <f t="shared" si="77"/>
        <v>0</v>
      </c>
      <c r="J1271" s="11">
        <f t="shared" si="79"/>
        <v>0</v>
      </c>
    </row>
    <row r="1272" spans="1:10" x14ac:dyDescent="0.3">
      <c r="A1272" s="7">
        <v>44905.555555554529</v>
      </c>
      <c r="B1272" s="8" t="s">
        <v>10</v>
      </c>
      <c r="C1272" s="8">
        <v>0</v>
      </c>
      <c r="D1272" t="str">
        <f t="shared" si="78"/>
        <v>Saturday</v>
      </c>
      <c r="E1272">
        <v>50</v>
      </c>
      <c r="F1272" s="11">
        <f>VLOOKUP(B1272,'ITEMS LIST'!$B$2:$F$19,4,FALSE)</f>
        <v>1469</v>
      </c>
      <c r="G1272" s="11">
        <f>VLOOKUP(B1272,'ITEMS LIST'!$B$2:$F$19,5,FALSE)</f>
        <v>1184</v>
      </c>
      <c r="H1272" s="11">
        <f t="shared" si="76"/>
        <v>0</v>
      </c>
      <c r="I1272" s="11">
        <f t="shared" si="77"/>
        <v>0</v>
      </c>
      <c r="J1272" s="11">
        <f t="shared" si="79"/>
        <v>0</v>
      </c>
    </row>
    <row r="1273" spans="1:10" x14ac:dyDescent="0.3">
      <c r="A1273" s="7">
        <v>44905.611111110084</v>
      </c>
      <c r="B1273" s="8" t="s">
        <v>11</v>
      </c>
      <c r="C1273" s="8">
        <v>0</v>
      </c>
      <c r="D1273" t="str">
        <f t="shared" si="78"/>
        <v>Saturday</v>
      </c>
      <c r="E1273">
        <v>50</v>
      </c>
      <c r="F1273" s="11">
        <f>VLOOKUP(B1273,'ITEMS LIST'!$B$2:$F$19,4,FALSE)</f>
        <v>89</v>
      </c>
      <c r="G1273" s="11">
        <f>VLOOKUP(B1273,'ITEMS LIST'!$B$2:$F$19,5,FALSE)</f>
        <v>59</v>
      </c>
      <c r="H1273" s="11">
        <f t="shared" si="76"/>
        <v>0</v>
      </c>
      <c r="I1273" s="11">
        <f t="shared" si="77"/>
        <v>0</v>
      </c>
      <c r="J1273" s="11">
        <f t="shared" si="79"/>
        <v>0</v>
      </c>
    </row>
    <row r="1274" spans="1:10" x14ac:dyDescent="0.3">
      <c r="A1274" s="7">
        <v>44905.666666665638</v>
      </c>
      <c r="B1274" s="8" t="s">
        <v>12</v>
      </c>
      <c r="C1274" s="8">
        <v>0</v>
      </c>
      <c r="D1274" t="str">
        <f t="shared" si="78"/>
        <v>Saturday</v>
      </c>
      <c r="E1274">
        <v>50</v>
      </c>
      <c r="F1274" s="11">
        <f>VLOOKUP(B1274,'ITEMS LIST'!$B$2:$F$19,4,FALSE)</f>
        <v>310</v>
      </c>
      <c r="G1274" s="11">
        <f>VLOOKUP(B1274,'ITEMS LIST'!$B$2:$F$19,5,FALSE)</f>
        <v>206</v>
      </c>
      <c r="H1274" s="11">
        <f t="shared" si="76"/>
        <v>0</v>
      </c>
      <c r="I1274" s="11">
        <f t="shared" si="77"/>
        <v>0</v>
      </c>
      <c r="J1274" s="11">
        <f t="shared" si="79"/>
        <v>0</v>
      </c>
    </row>
    <row r="1275" spans="1:10" x14ac:dyDescent="0.3">
      <c r="A1275" s="7">
        <v>44905.722222221193</v>
      </c>
      <c r="B1275" s="8" t="s">
        <v>13</v>
      </c>
      <c r="C1275" s="8">
        <v>0</v>
      </c>
      <c r="D1275" t="str">
        <f t="shared" si="78"/>
        <v>Saturday</v>
      </c>
      <c r="E1275">
        <v>50</v>
      </c>
      <c r="F1275" s="11">
        <f>VLOOKUP(B1275,'ITEMS LIST'!$B$2:$F$19,4,FALSE)</f>
        <v>540</v>
      </c>
      <c r="G1275" s="11">
        <f>VLOOKUP(B1275,'ITEMS LIST'!$B$2:$F$19,5,FALSE)</f>
        <v>397</v>
      </c>
      <c r="H1275" s="11">
        <f t="shared" si="76"/>
        <v>0</v>
      </c>
      <c r="I1275" s="11">
        <f t="shared" si="77"/>
        <v>0</v>
      </c>
      <c r="J1275" s="11">
        <f t="shared" si="79"/>
        <v>0</v>
      </c>
    </row>
    <row r="1276" spans="1:10" x14ac:dyDescent="0.3">
      <c r="A1276" s="7">
        <v>44905.777777776748</v>
      </c>
      <c r="B1276" s="8" t="s">
        <v>14</v>
      </c>
      <c r="C1276" s="8">
        <v>0</v>
      </c>
      <c r="D1276" t="str">
        <f t="shared" si="78"/>
        <v>Saturday</v>
      </c>
      <c r="E1276">
        <v>50</v>
      </c>
      <c r="F1276" s="11">
        <f>VLOOKUP(B1276,'ITEMS LIST'!$B$2:$F$19,4,FALSE)</f>
        <v>360</v>
      </c>
      <c r="G1276" s="11">
        <f>VLOOKUP(B1276,'ITEMS LIST'!$B$2:$F$19,5,FALSE)</f>
        <v>248</v>
      </c>
      <c r="H1276" s="11">
        <f t="shared" si="76"/>
        <v>0</v>
      </c>
      <c r="I1276" s="11">
        <f t="shared" si="77"/>
        <v>0</v>
      </c>
      <c r="J1276" s="11">
        <f t="shared" si="79"/>
        <v>0</v>
      </c>
    </row>
    <row r="1277" spans="1:10" x14ac:dyDescent="0.3">
      <c r="A1277" s="7">
        <v>44905.833333332303</v>
      </c>
      <c r="B1277" s="8" t="s">
        <v>15</v>
      </c>
      <c r="C1277" s="8">
        <v>0</v>
      </c>
      <c r="D1277" t="str">
        <f t="shared" si="78"/>
        <v>Saturday</v>
      </c>
      <c r="E1277">
        <v>50</v>
      </c>
      <c r="F1277" s="11">
        <f>VLOOKUP(B1277,'ITEMS LIST'!$B$2:$F$19,4,FALSE)</f>
        <v>250</v>
      </c>
      <c r="G1277" s="11">
        <f>VLOOKUP(B1277,'ITEMS LIST'!$B$2:$F$19,5,FALSE)</f>
        <v>190</v>
      </c>
      <c r="H1277" s="11">
        <f t="shared" si="76"/>
        <v>0</v>
      </c>
      <c r="I1277" s="11">
        <f t="shared" si="77"/>
        <v>0</v>
      </c>
      <c r="J1277" s="11">
        <f t="shared" si="79"/>
        <v>0</v>
      </c>
    </row>
    <row r="1278" spans="1:10" x14ac:dyDescent="0.3">
      <c r="A1278" s="7">
        <v>44905.888888887857</v>
      </c>
      <c r="B1278" s="8" t="s">
        <v>16</v>
      </c>
      <c r="C1278" s="8">
        <v>0</v>
      </c>
      <c r="D1278" t="str">
        <f t="shared" si="78"/>
        <v>Saturday</v>
      </c>
      <c r="E1278">
        <v>50</v>
      </c>
      <c r="F1278" s="11">
        <f>VLOOKUP(B1278,'ITEMS LIST'!$B$2:$F$19,4,FALSE)</f>
        <v>120</v>
      </c>
      <c r="G1278" s="11">
        <f>VLOOKUP(B1278,'ITEMS LIST'!$B$2:$F$19,5,FALSE)</f>
        <v>85</v>
      </c>
      <c r="H1278" s="11">
        <f t="shared" si="76"/>
        <v>0</v>
      </c>
      <c r="I1278" s="11">
        <f t="shared" si="77"/>
        <v>0</v>
      </c>
      <c r="J1278" s="11">
        <f t="shared" si="79"/>
        <v>0</v>
      </c>
    </row>
    <row r="1279" spans="1:10" x14ac:dyDescent="0.3">
      <c r="A1279" s="7">
        <v>44905.944444443412</v>
      </c>
      <c r="B1279" s="8" t="s">
        <v>17</v>
      </c>
      <c r="C1279" s="8">
        <v>0</v>
      </c>
      <c r="D1279" t="str">
        <f t="shared" si="78"/>
        <v>Saturday</v>
      </c>
      <c r="E1279">
        <v>50</v>
      </c>
      <c r="F1279" s="11">
        <f>VLOOKUP(B1279,'ITEMS LIST'!$B$2:$F$19,4,FALSE)</f>
        <v>80</v>
      </c>
      <c r="G1279" s="11">
        <f>VLOOKUP(B1279,'ITEMS LIST'!$B$2:$F$19,5,FALSE)</f>
        <v>55</v>
      </c>
      <c r="H1279" s="11">
        <f t="shared" si="76"/>
        <v>0</v>
      </c>
      <c r="I1279" s="11">
        <f t="shared" si="77"/>
        <v>0</v>
      </c>
      <c r="J1279" s="11">
        <f t="shared" si="79"/>
        <v>0</v>
      </c>
    </row>
    <row r="1280" spans="1:10" x14ac:dyDescent="0.3">
      <c r="A1280" s="7">
        <v>44905.999999998967</v>
      </c>
      <c r="B1280" s="8" t="s">
        <v>0</v>
      </c>
      <c r="C1280" s="8">
        <v>0</v>
      </c>
      <c r="D1280" t="str">
        <f t="shared" si="78"/>
        <v>Sunday</v>
      </c>
      <c r="E1280">
        <v>51</v>
      </c>
      <c r="F1280" s="11">
        <f>VLOOKUP(B1280,'ITEMS LIST'!$B$2:$F$19,4,FALSE)</f>
        <v>549</v>
      </c>
      <c r="G1280" s="11">
        <f>VLOOKUP(B1280,'ITEMS LIST'!$B$2:$F$19,5,FALSE)</f>
        <v>365</v>
      </c>
      <c r="H1280" s="11">
        <f t="shared" si="76"/>
        <v>0</v>
      </c>
      <c r="I1280" s="11">
        <f t="shared" si="77"/>
        <v>0</v>
      </c>
      <c r="J1280" s="11">
        <f t="shared" si="79"/>
        <v>0</v>
      </c>
    </row>
    <row r="1281" spans="1:10" x14ac:dyDescent="0.3">
      <c r="A1281" s="7">
        <v>44906.055555554522</v>
      </c>
      <c r="B1281" s="8" t="s">
        <v>1</v>
      </c>
      <c r="C1281" s="8">
        <v>0</v>
      </c>
      <c r="D1281" t="str">
        <f t="shared" si="78"/>
        <v>Sunday</v>
      </c>
      <c r="E1281">
        <v>51</v>
      </c>
      <c r="F1281" s="11">
        <f>VLOOKUP(B1281,'ITEMS LIST'!$B$2:$F$19,4,FALSE)</f>
        <v>699</v>
      </c>
      <c r="G1281" s="11">
        <f>VLOOKUP(B1281,'ITEMS LIST'!$B$2:$F$19,5,FALSE)</f>
        <v>550</v>
      </c>
      <c r="H1281" s="11">
        <f t="shared" si="76"/>
        <v>0</v>
      </c>
      <c r="I1281" s="11">
        <f t="shared" si="77"/>
        <v>0</v>
      </c>
      <c r="J1281" s="11">
        <f t="shared" si="79"/>
        <v>0</v>
      </c>
    </row>
    <row r="1282" spans="1:10" x14ac:dyDescent="0.3">
      <c r="A1282" s="7">
        <v>44906.111111110076</v>
      </c>
      <c r="B1282" s="8" t="s">
        <v>2</v>
      </c>
      <c r="C1282" s="8">
        <v>0</v>
      </c>
      <c r="D1282" t="str">
        <f t="shared" si="78"/>
        <v>Sunday</v>
      </c>
      <c r="E1282">
        <v>51</v>
      </c>
      <c r="F1282" s="11">
        <f>VLOOKUP(B1282,'ITEMS LIST'!$B$2:$F$19,4,FALSE)</f>
        <v>739</v>
      </c>
      <c r="G1282" s="11">
        <f>VLOOKUP(B1282,'ITEMS LIST'!$B$2:$F$19,5,FALSE)</f>
        <v>620</v>
      </c>
      <c r="H1282" s="11">
        <f t="shared" ref="H1282:H1345" si="80">C1282*F1282</f>
        <v>0</v>
      </c>
      <c r="I1282" s="11">
        <f t="shared" ref="I1282:I1345" si="81">C1282*G1282</f>
        <v>0</v>
      </c>
      <c r="J1282" s="11">
        <f t="shared" si="79"/>
        <v>0</v>
      </c>
    </row>
    <row r="1283" spans="1:10" x14ac:dyDescent="0.3">
      <c r="A1283" s="7">
        <v>44906.166666665631</v>
      </c>
      <c r="B1283" s="8" t="s">
        <v>3</v>
      </c>
      <c r="C1283" s="8">
        <v>1</v>
      </c>
      <c r="D1283" t="str">
        <f t="shared" ref="D1283:D1346" si="82">TEXT(A1283,"dddd")</f>
        <v>Sunday</v>
      </c>
      <c r="E1283">
        <v>51</v>
      </c>
      <c r="F1283" s="11">
        <f>VLOOKUP(B1283,'ITEMS LIST'!$B$2:$F$19,4,FALSE)</f>
        <v>899</v>
      </c>
      <c r="G1283" s="11">
        <f>VLOOKUP(B1283,'ITEMS LIST'!$B$2:$F$19,5,FALSE)</f>
        <v>714</v>
      </c>
      <c r="H1283" s="11">
        <f t="shared" si="80"/>
        <v>899</v>
      </c>
      <c r="I1283" s="11">
        <f t="shared" si="81"/>
        <v>714</v>
      </c>
      <c r="J1283" s="11">
        <f t="shared" ref="J1283:J1346" si="83">H1283-I1283</f>
        <v>185</v>
      </c>
    </row>
    <row r="1284" spans="1:10" x14ac:dyDescent="0.3">
      <c r="A1284" s="7">
        <v>44906.222222221186</v>
      </c>
      <c r="B1284" s="8" t="s">
        <v>4</v>
      </c>
      <c r="C1284" s="8">
        <v>0</v>
      </c>
      <c r="D1284" t="str">
        <f t="shared" si="82"/>
        <v>Sunday</v>
      </c>
      <c r="E1284">
        <v>51</v>
      </c>
      <c r="F1284" s="11">
        <f>VLOOKUP(B1284,'ITEMS LIST'!$B$2:$F$19,4,FALSE)</f>
        <v>1379</v>
      </c>
      <c r="G1284" s="11">
        <f>VLOOKUP(B1284,'ITEMS LIST'!$B$2:$F$19,5,FALSE)</f>
        <v>890</v>
      </c>
      <c r="H1284" s="11">
        <f t="shared" si="80"/>
        <v>0</v>
      </c>
      <c r="I1284" s="11">
        <f t="shared" si="81"/>
        <v>0</v>
      </c>
      <c r="J1284" s="11">
        <f t="shared" si="83"/>
        <v>0</v>
      </c>
    </row>
    <row r="1285" spans="1:10" x14ac:dyDescent="0.3">
      <c r="A1285" s="7">
        <v>44906.277777776741</v>
      </c>
      <c r="B1285" s="8" t="s">
        <v>5</v>
      </c>
      <c r="C1285" s="8">
        <v>0</v>
      </c>
      <c r="D1285" t="str">
        <f t="shared" si="82"/>
        <v>Sunday</v>
      </c>
      <c r="E1285">
        <v>51</v>
      </c>
      <c r="F1285" s="11">
        <f>VLOOKUP(B1285,'ITEMS LIST'!$B$2:$F$19,4,FALSE)</f>
        <v>849</v>
      </c>
      <c r="G1285" s="11">
        <f>VLOOKUP(B1285,'ITEMS LIST'!$B$2:$F$19,5,FALSE)</f>
        <v>530</v>
      </c>
      <c r="H1285" s="11">
        <f t="shared" si="80"/>
        <v>0</v>
      </c>
      <c r="I1285" s="11">
        <f t="shared" si="81"/>
        <v>0</v>
      </c>
      <c r="J1285" s="11">
        <f t="shared" si="83"/>
        <v>0</v>
      </c>
    </row>
    <row r="1286" spans="1:10" x14ac:dyDescent="0.3">
      <c r="A1286" s="7">
        <v>44906.333333332295</v>
      </c>
      <c r="B1286" s="8" t="s">
        <v>6</v>
      </c>
      <c r="C1286" s="8">
        <v>0</v>
      </c>
      <c r="D1286" t="str">
        <f t="shared" si="82"/>
        <v>Sunday</v>
      </c>
      <c r="E1286">
        <v>51</v>
      </c>
      <c r="F1286" s="11">
        <f>VLOOKUP(B1286,'ITEMS LIST'!$B$2:$F$19,4,FALSE)</f>
        <v>1000</v>
      </c>
      <c r="G1286" s="11">
        <f>VLOOKUP(B1286,'ITEMS LIST'!$B$2:$F$19,5,FALSE)</f>
        <v>768</v>
      </c>
      <c r="H1286" s="11">
        <f t="shared" si="80"/>
        <v>0</v>
      </c>
      <c r="I1286" s="11">
        <f t="shared" si="81"/>
        <v>0</v>
      </c>
      <c r="J1286" s="11">
        <f t="shared" si="83"/>
        <v>0</v>
      </c>
    </row>
    <row r="1287" spans="1:10" x14ac:dyDescent="0.3">
      <c r="A1287" s="7">
        <v>44906.38888888785</v>
      </c>
      <c r="B1287" s="8" t="s">
        <v>7</v>
      </c>
      <c r="C1287" s="8">
        <v>0</v>
      </c>
      <c r="D1287" t="str">
        <f t="shared" si="82"/>
        <v>Sunday</v>
      </c>
      <c r="E1287">
        <v>51</v>
      </c>
      <c r="F1287" s="11">
        <f>VLOOKUP(B1287,'ITEMS LIST'!$B$2:$F$19,4,FALSE)</f>
        <v>680</v>
      </c>
      <c r="G1287" s="11">
        <f>VLOOKUP(B1287,'ITEMS LIST'!$B$2:$F$19,5,FALSE)</f>
        <v>570</v>
      </c>
      <c r="H1287" s="11">
        <f t="shared" si="80"/>
        <v>0</v>
      </c>
      <c r="I1287" s="11">
        <f t="shared" si="81"/>
        <v>0</v>
      </c>
      <c r="J1287" s="11">
        <f t="shared" si="83"/>
        <v>0</v>
      </c>
    </row>
    <row r="1288" spans="1:10" x14ac:dyDescent="0.3">
      <c r="A1288" s="7">
        <v>44906.444444443405</v>
      </c>
      <c r="B1288" s="8" t="s">
        <v>8</v>
      </c>
      <c r="C1288" s="8">
        <v>0</v>
      </c>
      <c r="D1288" t="str">
        <f t="shared" si="82"/>
        <v>Sunday</v>
      </c>
      <c r="E1288">
        <v>51</v>
      </c>
      <c r="F1288" s="11">
        <f>VLOOKUP(B1288,'ITEMS LIST'!$B$2:$F$19,4,FALSE)</f>
        <v>199</v>
      </c>
      <c r="G1288" s="11">
        <f>VLOOKUP(B1288,'ITEMS LIST'!$B$2:$F$19,5,FALSE)</f>
        <v>140</v>
      </c>
      <c r="H1288" s="11">
        <f t="shared" si="80"/>
        <v>0</v>
      </c>
      <c r="I1288" s="11">
        <f t="shared" si="81"/>
        <v>0</v>
      </c>
      <c r="J1288" s="11">
        <f t="shared" si="83"/>
        <v>0</v>
      </c>
    </row>
    <row r="1289" spans="1:10" x14ac:dyDescent="0.3">
      <c r="A1289" s="7">
        <v>44906.49999999896</v>
      </c>
      <c r="B1289" s="8" t="s">
        <v>9</v>
      </c>
      <c r="C1289" s="8">
        <v>0</v>
      </c>
      <c r="D1289" t="str">
        <f t="shared" si="82"/>
        <v>Sunday</v>
      </c>
      <c r="E1289">
        <v>51</v>
      </c>
      <c r="F1289" s="11">
        <f>VLOOKUP(B1289,'ITEMS LIST'!$B$2:$F$19,4,FALSE)</f>
        <v>219</v>
      </c>
      <c r="G1289" s="11">
        <f>VLOOKUP(B1289,'ITEMS LIST'!$B$2:$F$19,5,FALSE)</f>
        <v>132</v>
      </c>
      <c r="H1289" s="11">
        <f t="shared" si="80"/>
        <v>0</v>
      </c>
      <c r="I1289" s="11">
        <f t="shared" si="81"/>
        <v>0</v>
      </c>
      <c r="J1289" s="11">
        <f t="shared" si="83"/>
        <v>0</v>
      </c>
    </row>
    <row r="1290" spans="1:10" x14ac:dyDescent="0.3">
      <c r="A1290" s="7">
        <v>44906.555555554514</v>
      </c>
      <c r="B1290" s="8" t="s">
        <v>10</v>
      </c>
      <c r="C1290" s="8">
        <v>0</v>
      </c>
      <c r="D1290" t="str">
        <f t="shared" si="82"/>
        <v>Sunday</v>
      </c>
      <c r="E1290">
        <v>51</v>
      </c>
      <c r="F1290" s="11">
        <f>VLOOKUP(B1290,'ITEMS LIST'!$B$2:$F$19,4,FALSE)</f>
        <v>1469</v>
      </c>
      <c r="G1290" s="11">
        <f>VLOOKUP(B1290,'ITEMS LIST'!$B$2:$F$19,5,FALSE)</f>
        <v>1184</v>
      </c>
      <c r="H1290" s="11">
        <f t="shared" si="80"/>
        <v>0</v>
      </c>
      <c r="I1290" s="11">
        <f t="shared" si="81"/>
        <v>0</v>
      </c>
      <c r="J1290" s="11">
        <f t="shared" si="83"/>
        <v>0</v>
      </c>
    </row>
    <row r="1291" spans="1:10" x14ac:dyDescent="0.3">
      <c r="A1291" s="7">
        <v>44906.611111110069</v>
      </c>
      <c r="B1291" s="8" t="s">
        <v>11</v>
      </c>
      <c r="C1291" s="8">
        <v>0</v>
      </c>
      <c r="D1291" t="str">
        <f t="shared" si="82"/>
        <v>Sunday</v>
      </c>
      <c r="E1291">
        <v>51</v>
      </c>
      <c r="F1291" s="11">
        <f>VLOOKUP(B1291,'ITEMS LIST'!$B$2:$F$19,4,FALSE)</f>
        <v>89</v>
      </c>
      <c r="G1291" s="11">
        <f>VLOOKUP(B1291,'ITEMS LIST'!$B$2:$F$19,5,FALSE)</f>
        <v>59</v>
      </c>
      <c r="H1291" s="11">
        <f t="shared" si="80"/>
        <v>0</v>
      </c>
      <c r="I1291" s="11">
        <f t="shared" si="81"/>
        <v>0</v>
      </c>
      <c r="J1291" s="11">
        <f t="shared" si="83"/>
        <v>0</v>
      </c>
    </row>
    <row r="1292" spans="1:10" x14ac:dyDescent="0.3">
      <c r="A1292" s="7">
        <v>44906.666666665624</v>
      </c>
      <c r="B1292" s="8" t="s">
        <v>12</v>
      </c>
      <c r="C1292" s="8">
        <v>0</v>
      </c>
      <c r="D1292" t="str">
        <f t="shared" si="82"/>
        <v>Sunday</v>
      </c>
      <c r="E1292">
        <v>51</v>
      </c>
      <c r="F1292" s="11">
        <f>VLOOKUP(B1292,'ITEMS LIST'!$B$2:$F$19,4,FALSE)</f>
        <v>310</v>
      </c>
      <c r="G1292" s="11">
        <f>VLOOKUP(B1292,'ITEMS LIST'!$B$2:$F$19,5,FALSE)</f>
        <v>206</v>
      </c>
      <c r="H1292" s="11">
        <f t="shared" si="80"/>
        <v>0</v>
      </c>
      <c r="I1292" s="11">
        <f t="shared" si="81"/>
        <v>0</v>
      </c>
      <c r="J1292" s="11">
        <f t="shared" si="83"/>
        <v>0</v>
      </c>
    </row>
    <row r="1293" spans="1:10" x14ac:dyDescent="0.3">
      <c r="A1293" s="7">
        <v>44906.722222221179</v>
      </c>
      <c r="B1293" s="8" t="s">
        <v>13</v>
      </c>
      <c r="C1293" s="8">
        <v>0</v>
      </c>
      <c r="D1293" t="str">
        <f t="shared" si="82"/>
        <v>Sunday</v>
      </c>
      <c r="E1293">
        <v>51</v>
      </c>
      <c r="F1293" s="11">
        <f>VLOOKUP(B1293,'ITEMS LIST'!$B$2:$F$19,4,FALSE)</f>
        <v>540</v>
      </c>
      <c r="G1293" s="11">
        <f>VLOOKUP(B1293,'ITEMS LIST'!$B$2:$F$19,5,FALSE)</f>
        <v>397</v>
      </c>
      <c r="H1293" s="11">
        <f t="shared" si="80"/>
        <v>0</v>
      </c>
      <c r="I1293" s="11">
        <f t="shared" si="81"/>
        <v>0</v>
      </c>
      <c r="J1293" s="11">
        <f t="shared" si="83"/>
        <v>0</v>
      </c>
    </row>
    <row r="1294" spans="1:10" x14ac:dyDescent="0.3">
      <c r="A1294" s="7">
        <v>44906.777777776733</v>
      </c>
      <c r="B1294" s="8" t="s">
        <v>14</v>
      </c>
      <c r="C1294" s="8">
        <v>0</v>
      </c>
      <c r="D1294" t="str">
        <f t="shared" si="82"/>
        <v>Sunday</v>
      </c>
      <c r="E1294">
        <v>51</v>
      </c>
      <c r="F1294" s="11">
        <f>VLOOKUP(B1294,'ITEMS LIST'!$B$2:$F$19,4,FALSE)</f>
        <v>360</v>
      </c>
      <c r="G1294" s="11">
        <f>VLOOKUP(B1294,'ITEMS LIST'!$B$2:$F$19,5,FALSE)</f>
        <v>248</v>
      </c>
      <c r="H1294" s="11">
        <f t="shared" si="80"/>
        <v>0</v>
      </c>
      <c r="I1294" s="11">
        <f t="shared" si="81"/>
        <v>0</v>
      </c>
      <c r="J1294" s="11">
        <f t="shared" si="83"/>
        <v>0</v>
      </c>
    </row>
    <row r="1295" spans="1:10" x14ac:dyDescent="0.3">
      <c r="A1295" s="7">
        <v>44906.833333332288</v>
      </c>
      <c r="B1295" s="8" t="s">
        <v>15</v>
      </c>
      <c r="C1295" s="8">
        <v>0</v>
      </c>
      <c r="D1295" t="str">
        <f t="shared" si="82"/>
        <v>Sunday</v>
      </c>
      <c r="E1295">
        <v>51</v>
      </c>
      <c r="F1295" s="11">
        <f>VLOOKUP(B1295,'ITEMS LIST'!$B$2:$F$19,4,FALSE)</f>
        <v>250</v>
      </c>
      <c r="G1295" s="11">
        <f>VLOOKUP(B1295,'ITEMS LIST'!$B$2:$F$19,5,FALSE)</f>
        <v>190</v>
      </c>
      <c r="H1295" s="11">
        <f t="shared" si="80"/>
        <v>0</v>
      </c>
      <c r="I1295" s="11">
        <f t="shared" si="81"/>
        <v>0</v>
      </c>
      <c r="J1295" s="11">
        <f t="shared" si="83"/>
        <v>0</v>
      </c>
    </row>
    <row r="1296" spans="1:10" x14ac:dyDescent="0.3">
      <c r="A1296" s="7">
        <v>44906.888888887843</v>
      </c>
      <c r="B1296" s="8" t="s">
        <v>16</v>
      </c>
      <c r="C1296" s="8">
        <v>0</v>
      </c>
      <c r="D1296" t="str">
        <f t="shared" si="82"/>
        <v>Sunday</v>
      </c>
      <c r="E1296">
        <v>51</v>
      </c>
      <c r="F1296" s="11">
        <f>VLOOKUP(B1296,'ITEMS LIST'!$B$2:$F$19,4,FALSE)</f>
        <v>120</v>
      </c>
      <c r="G1296" s="11">
        <f>VLOOKUP(B1296,'ITEMS LIST'!$B$2:$F$19,5,FALSE)</f>
        <v>85</v>
      </c>
      <c r="H1296" s="11">
        <f t="shared" si="80"/>
        <v>0</v>
      </c>
      <c r="I1296" s="11">
        <f t="shared" si="81"/>
        <v>0</v>
      </c>
      <c r="J1296" s="11">
        <f t="shared" si="83"/>
        <v>0</v>
      </c>
    </row>
    <row r="1297" spans="1:10" x14ac:dyDescent="0.3">
      <c r="A1297" s="7">
        <v>44906.944444443398</v>
      </c>
      <c r="B1297" s="8" t="s">
        <v>17</v>
      </c>
      <c r="C1297" s="8">
        <v>0</v>
      </c>
      <c r="D1297" t="str">
        <f t="shared" si="82"/>
        <v>Sunday</v>
      </c>
      <c r="E1297">
        <v>51</v>
      </c>
      <c r="F1297" s="11">
        <f>VLOOKUP(B1297,'ITEMS LIST'!$B$2:$F$19,4,FALSE)</f>
        <v>80</v>
      </c>
      <c r="G1297" s="11">
        <f>VLOOKUP(B1297,'ITEMS LIST'!$B$2:$F$19,5,FALSE)</f>
        <v>55</v>
      </c>
      <c r="H1297" s="11">
        <f t="shared" si="80"/>
        <v>0</v>
      </c>
      <c r="I1297" s="11">
        <f t="shared" si="81"/>
        <v>0</v>
      </c>
      <c r="J1297" s="11">
        <f t="shared" si="83"/>
        <v>0</v>
      </c>
    </row>
    <row r="1298" spans="1:10" x14ac:dyDescent="0.3">
      <c r="A1298" s="7">
        <v>44906.999999998952</v>
      </c>
      <c r="B1298" s="8" t="s">
        <v>0</v>
      </c>
      <c r="C1298" s="8">
        <v>0</v>
      </c>
      <c r="D1298" t="str">
        <f t="shared" si="82"/>
        <v>Monday</v>
      </c>
      <c r="E1298">
        <v>51</v>
      </c>
      <c r="F1298" s="11">
        <f>VLOOKUP(B1298,'ITEMS LIST'!$B$2:$F$19,4,FALSE)</f>
        <v>549</v>
      </c>
      <c r="G1298" s="11">
        <f>VLOOKUP(B1298,'ITEMS LIST'!$B$2:$F$19,5,FALSE)</f>
        <v>365</v>
      </c>
      <c r="H1298" s="11">
        <f t="shared" si="80"/>
        <v>0</v>
      </c>
      <c r="I1298" s="11">
        <f t="shared" si="81"/>
        <v>0</v>
      </c>
      <c r="J1298" s="11">
        <f t="shared" si="83"/>
        <v>0</v>
      </c>
    </row>
    <row r="1299" spans="1:10" x14ac:dyDescent="0.3">
      <c r="A1299" s="7">
        <v>44907.055555554507</v>
      </c>
      <c r="B1299" s="8" t="s">
        <v>1</v>
      </c>
      <c r="C1299" s="8">
        <v>0</v>
      </c>
      <c r="D1299" t="str">
        <f t="shared" si="82"/>
        <v>Monday</v>
      </c>
      <c r="E1299">
        <v>51</v>
      </c>
      <c r="F1299" s="11">
        <f>VLOOKUP(B1299,'ITEMS LIST'!$B$2:$F$19,4,FALSE)</f>
        <v>699</v>
      </c>
      <c r="G1299" s="11">
        <f>VLOOKUP(B1299,'ITEMS LIST'!$B$2:$F$19,5,FALSE)</f>
        <v>550</v>
      </c>
      <c r="H1299" s="11">
        <f t="shared" si="80"/>
        <v>0</v>
      </c>
      <c r="I1299" s="11">
        <f t="shared" si="81"/>
        <v>0</v>
      </c>
      <c r="J1299" s="11">
        <f t="shared" si="83"/>
        <v>0</v>
      </c>
    </row>
    <row r="1300" spans="1:10" x14ac:dyDescent="0.3">
      <c r="A1300" s="7">
        <v>44907.111111110062</v>
      </c>
      <c r="B1300" s="8" t="s">
        <v>2</v>
      </c>
      <c r="C1300" s="8">
        <v>0</v>
      </c>
      <c r="D1300" t="str">
        <f t="shared" si="82"/>
        <v>Monday</v>
      </c>
      <c r="E1300">
        <v>51</v>
      </c>
      <c r="F1300" s="11">
        <f>VLOOKUP(B1300,'ITEMS LIST'!$B$2:$F$19,4,FALSE)</f>
        <v>739</v>
      </c>
      <c r="G1300" s="11">
        <f>VLOOKUP(B1300,'ITEMS LIST'!$B$2:$F$19,5,FALSE)</f>
        <v>620</v>
      </c>
      <c r="H1300" s="11">
        <f t="shared" si="80"/>
        <v>0</v>
      </c>
      <c r="I1300" s="11">
        <f t="shared" si="81"/>
        <v>0</v>
      </c>
      <c r="J1300" s="11">
        <f t="shared" si="83"/>
        <v>0</v>
      </c>
    </row>
    <row r="1301" spans="1:10" x14ac:dyDescent="0.3">
      <c r="A1301" s="7">
        <v>44907.166666665617</v>
      </c>
      <c r="B1301" s="8" t="s">
        <v>3</v>
      </c>
      <c r="C1301" s="8">
        <v>0</v>
      </c>
      <c r="D1301" t="str">
        <f t="shared" si="82"/>
        <v>Monday</v>
      </c>
      <c r="E1301">
        <v>51</v>
      </c>
      <c r="F1301" s="11">
        <f>VLOOKUP(B1301,'ITEMS LIST'!$B$2:$F$19,4,FALSE)</f>
        <v>899</v>
      </c>
      <c r="G1301" s="11">
        <f>VLOOKUP(B1301,'ITEMS LIST'!$B$2:$F$19,5,FALSE)</f>
        <v>714</v>
      </c>
      <c r="H1301" s="11">
        <f t="shared" si="80"/>
        <v>0</v>
      </c>
      <c r="I1301" s="11">
        <f t="shared" si="81"/>
        <v>0</v>
      </c>
      <c r="J1301" s="11">
        <f t="shared" si="83"/>
        <v>0</v>
      </c>
    </row>
    <row r="1302" spans="1:10" x14ac:dyDescent="0.3">
      <c r="A1302" s="7">
        <v>44907.222222221171</v>
      </c>
      <c r="B1302" s="8" t="s">
        <v>4</v>
      </c>
      <c r="C1302" s="8">
        <v>0</v>
      </c>
      <c r="D1302" t="str">
        <f t="shared" si="82"/>
        <v>Monday</v>
      </c>
      <c r="E1302">
        <v>51</v>
      </c>
      <c r="F1302" s="11">
        <f>VLOOKUP(B1302,'ITEMS LIST'!$B$2:$F$19,4,FALSE)</f>
        <v>1379</v>
      </c>
      <c r="G1302" s="11">
        <f>VLOOKUP(B1302,'ITEMS LIST'!$B$2:$F$19,5,FALSE)</f>
        <v>890</v>
      </c>
      <c r="H1302" s="11">
        <f t="shared" si="80"/>
        <v>0</v>
      </c>
      <c r="I1302" s="11">
        <f t="shared" si="81"/>
        <v>0</v>
      </c>
      <c r="J1302" s="11">
        <f t="shared" si="83"/>
        <v>0</v>
      </c>
    </row>
    <row r="1303" spans="1:10" x14ac:dyDescent="0.3">
      <c r="A1303" s="7">
        <v>44907.277777776726</v>
      </c>
      <c r="B1303" s="8" t="s">
        <v>5</v>
      </c>
      <c r="C1303" s="8">
        <v>1</v>
      </c>
      <c r="D1303" t="str">
        <f t="shared" si="82"/>
        <v>Monday</v>
      </c>
      <c r="E1303">
        <v>51</v>
      </c>
      <c r="F1303" s="11">
        <f>VLOOKUP(B1303,'ITEMS LIST'!$B$2:$F$19,4,FALSE)</f>
        <v>849</v>
      </c>
      <c r="G1303" s="11">
        <f>VLOOKUP(B1303,'ITEMS LIST'!$B$2:$F$19,5,FALSE)</f>
        <v>530</v>
      </c>
      <c r="H1303" s="11">
        <f t="shared" si="80"/>
        <v>849</v>
      </c>
      <c r="I1303" s="11">
        <f t="shared" si="81"/>
        <v>530</v>
      </c>
      <c r="J1303" s="11">
        <f t="shared" si="83"/>
        <v>319</v>
      </c>
    </row>
    <row r="1304" spans="1:10" x14ac:dyDescent="0.3">
      <c r="A1304" s="7">
        <v>44907.333333332281</v>
      </c>
      <c r="B1304" s="8" t="s">
        <v>6</v>
      </c>
      <c r="C1304" s="8">
        <v>0</v>
      </c>
      <c r="D1304" t="str">
        <f t="shared" si="82"/>
        <v>Monday</v>
      </c>
      <c r="E1304">
        <v>51</v>
      </c>
      <c r="F1304" s="11">
        <f>VLOOKUP(B1304,'ITEMS LIST'!$B$2:$F$19,4,FALSE)</f>
        <v>1000</v>
      </c>
      <c r="G1304" s="11">
        <f>VLOOKUP(B1304,'ITEMS LIST'!$B$2:$F$19,5,FALSE)</f>
        <v>768</v>
      </c>
      <c r="H1304" s="11">
        <f t="shared" si="80"/>
        <v>0</v>
      </c>
      <c r="I1304" s="11">
        <f t="shared" si="81"/>
        <v>0</v>
      </c>
      <c r="J1304" s="11">
        <f t="shared" si="83"/>
        <v>0</v>
      </c>
    </row>
    <row r="1305" spans="1:10" x14ac:dyDescent="0.3">
      <c r="A1305" s="7">
        <v>44907.388888887835</v>
      </c>
      <c r="B1305" s="8" t="s">
        <v>7</v>
      </c>
      <c r="C1305" s="8">
        <v>0</v>
      </c>
      <c r="D1305" t="str">
        <f t="shared" si="82"/>
        <v>Monday</v>
      </c>
      <c r="E1305">
        <v>51</v>
      </c>
      <c r="F1305" s="11">
        <f>VLOOKUP(B1305,'ITEMS LIST'!$B$2:$F$19,4,FALSE)</f>
        <v>680</v>
      </c>
      <c r="G1305" s="11">
        <f>VLOOKUP(B1305,'ITEMS LIST'!$B$2:$F$19,5,FALSE)</f>
        <v>570</v>
      </c>
      <c r="H1305" s="11">
        <f t="shared" si="80"/>
        <v>0</v>
      </c>
      <c r="I1305" s="11">
        <f t="shared" si="81"/>
        <v>0</v>
      </c>
      <c r="J1305" s="11">
        <f t="shared" si="83"/>
        <v>0</v>
      </c>
    </row>
    <row r="1306" spans="1:10" x14ac:dyDescent="0.3">
      <c r="A1306" s="7">
        <v>44907.44444444339</v>
      </c>
      <c r="B1306" s="8" t="s">
        <v>8</v>
      </c>
      <c r="C1306" s="8">
        <v>0</v>
      </c>
      <c r="D1306" t="str">
        <f t="shared" si="82"/>
        <v>Monday</v>
      </c>
      <c r="E1306">
        <v>51</v>
      </c>
      <c r="F1306" s="11">
        <f>VLOOKUP(B1306,'ITEMS LIST'!$B$2:$F$19,4,FALSE)</f>
        <v>199</v>
      </c>
      <c r="G1306" s="11">
        <f>VLOOKUP(B1306,'ITEMS LIST'!$B$2:$F$19,5,FALSE)</f>
        <v>140</v>
      </c>
      <c r="H1306" s="11">
        <f t="shared" si="80"/>
        <v>0</v>
      </c>
      <c r="I1306" s="11">
        <f t="shared" si="81"/>
        <v>0</v>
      </c>
      <c r="J1306" s="11">
        <f t="shared" si="83"/>
        <v>0</v>
      </c>
    </row>
    <row r="1307" spans="1:10" x14ac:dyDescent="0.3">
      <c r="A1307" s="7">
        <v>44907.499999998945</v>
      </c>
      <c r="B1307" s="8" t="s">
        <v>9</v>
      </c>
      <c r="C1307" s="8">
        <v>0</v>
      </c>
      <c r="D1307" t="str">
        <f t="shared" si="82"/>
        <v>Monday</v>
      </c>
      <c r="E1307">
        <v>51</v>
      </c>
      <c r="F1307" s="11">
        <f>VLOOKUP(B1307,'ITEMS LIST'!$B$2:$F$19,4,FALSE)</f>
        <v>219</v>
      </c>
      <c r="G1307" s="11">
        <f>VLOOKUP(B1307,'ITEMS LIST'!$B$2:$F$19,5,FALSE)</f>
        <v>132</v>
      </c>
      <c r="H1307" s="11">
        <f t="shared" si="80"/>
        <v>0</v>
      </c>
      <c r="I1307" s="11">
        <f t="shared" si="81"/>
        <v>0</v>
      </c>
      <c r="J1307" s="11">
        <f t="shared" si="83"/>
        <v>0</v>
      </c>
    </row>
    <row r="1308" spans="1:10" x14ac:dyDescent="0.3">
      <c r="A1308" s="7">
        <v>44907.5555555545</v>
      </c>
      <c r="B1308" s="8" t="s">
        <v>10</v>
      </c>
      <c r="C1308" s="8">
        <v>4</v>
      </c>
      <c r="D1308" t="str">
        <f t="shared" si="82"/>
        <v>Monday</v>
      </c>
      <c r="E1308">
        <v>51</v>
      </c>
      <c r="F1308" s="11">
        <f>VLOOKUP(B1308,'ITEMS LIST'!$B$2:$F$19,4,FALSE)</f>
        <v>1469</v>
      </c>
      <c r="G1308" s="11">
        <f>VLOOKUP(B1308,'ITEMS LIST'!$B$2:$F$19,5,FALSE)</f>
        <v>1184</v>
      </c>
      <c r="H1308" s="11">
        <f t="shared" si="80"/>
        <v>5876</v>
      </c>
      <c r="I1308" s="11">
        <f t="shared" si="81"/>
        <v>4736</v>
      </c>
      <c r="J1308" s="11">
        <f t="shared" si="83"/>
        <v>1140</v>
      </c>
    </row>
    <row r="1309" spans="1:10" x14ac:dyDescent="0.3">
      <c r="A1309" s="7">
        <v>44907.611111110054</v>
      </c>
      <c r="B1309" s="8" t="s">
        <v>11</v>
      </c>
      <c r="C1309" s="8">
        <v>0</v>
      </c>
      <c r="D1309" t="str">
        <f t="shared" si="82"/>
        <v>Monday</v>
      </c>
      <c r="E1309">
        <v>51</v>
      </c>
      <c r="F1309" s="11">
        <f>VLOOKUP(B1309,'ITEMS LIST'!$B$2:$F$19,4,FALSE)</f>
        <v>89</v>
      </c>
      <c r="G1309" s="11">
        <f>VLOOKUP(B1309,'ITEMS LIST'!$B$2:$F$19,5,FALSE)</f>
        <v>59</v>
      </c>
      <c r="H1309" s="11">
        <f t="shared" si="80"/>
        <v>0</v>
      </c>
      <c r="I1309" s="11">
        <f t="shared" si="81"/>
        <v>0</v>
      </c>
      <c r="J1309" s="11">
        <f t="shared" si="83"/>
        <v>0</v>
      </c>
    </row>
    <row r="1310" spans="1:10" x14ac:dyDescent="0.3">
      <c r="A1310" s="7">
        <v>44907.666666665609</v>
      </c>
      <c r="B1310" s="8" t="s">
        <v>12</v>
      </c>
      <c r="C1310" s="8">
        <v>0</v>
      </c>
      <c r="D1310" t="str">
        <f t="shared" si="82"/>
        <v>Monday</v>
      </c>
      <c r="E1310">
        <v>51</v>
      </c>
      <c r="F1310" s="11">
        <f>VLOOKUP(B1310,'ITEMS LIST'!$B$2:$F$19,4,FALSE)</f>
        <v>310</v>
      </c>
      <c r="G1310" s="11">
        <f>VLOOKUP(B1310,'ITEMS LIST'!$B$2:$F$19,5,FALSE)</f>
        <v>206</v>
      </c>
      <c r="H1310" s="11">
        <f t="shared" si="80"/>
        <v>0</v>
      </c>
      <c r="I1310" s="11">
        <f t="shared" si="81"/>
        <v>0</v>
      </c>
      <c r="J1310" s="11">
        <f t="shared" si="83"/>
        <v>0</v>
      </c>
    </row>
    <row r="1311" spans="1:10" x14ac:dyDescent="0.3">
      <c r="A1311" s="7">
        <v>44907.722222221164</v>
      </c>
      <c r="B1311" s="8" t="s">
        <v>13</v>
      </c>
      <c r="C1311" s="8">
        <v>0</v>
      </c>
      <c r="D1311" t="str">
        <f t="shared" si="82"/>
        <v>Monday</v>
      </c>
      <c r="E1311">
        <v>51</v>
      </c>
      <c r="F1311" s="11">
        <f>VLOOKUP(B1311,'ITEMS LIST'!$B$2:$F$19,4,FALSE)</f>
        <v>540</v>
      </c>
      <c r="G1311" s="11">
        <f>VLOOKUP(B1311,'ITEMS LIST'!$B$2:$F$19,5,FALSE)</f>
        <v>397</v>
      </c>
      <c r="H1311" s="11">
        <f t="shared" si="80"/>
        <v>0</v>
      </c>
      <c r="I1311" s="11">
        <f t="shared" si="81"/>
        <v>0</v>
      </c>
      <c r="J1311" s="11">
        <f t="shared" si="83"/>
        <v>0</v>
      </c>
    </row>
    <row r="1312" spans="1:10" x14ac:dyDescent="0.3">
      <c r="A1312" s="7">
        <v>44907.777777776719</v>
      </c>
      <c r="B1312" s="8" t="s">
        <v>14</v>
      </c>
      <c r="C1312" s="8">
        <v>0</v>
      </c>
      <c r="D1312" t="str">
        <f t="shared" si="82"/>
        <v>Monday</v>
      </c>
      <c r="E1312">
        <v>51</v>
      </c>
      <c r="F1312" s="11">
        <f>VLOOKUP(B1312,'ITEMS LIST'!$B$2:$F$19,4,FALSE)</f>
        <v>360</v>
      </c>
      <c r="G1312" s="11">
        <f>VLOOKUP(B1312,'ITEMS LIST'!$B$2:$F$19,5,FALSE)</f>
        <v>248</v>
      </c>
      <c r="H1312" s="11">
        <f t="shared" si="80"/>
        <v>0</v>
      </c>
      <c r="I1312" s="11">
        <f t="shared" si="81"/>
        <v>0</v>
      </c>
      <c r="J1312" s="11">
        <f t="shared" si="83"/>
        <v>0</v>
      </c>
    </row>
    <row r="1313" spans="1:10" x14ac:dyDescent="0.3">
      <c r="A1313" s="7">
        <v>44907.833333332273</v>
      </c>
      <c r="B1313" s="8" t="s">
        <v>15</v>
      </c>
      <c r="C1313" s="8">
        <v>0</v>
      </c>
      <c r="D1313" t="str">
        <f t="shared" si="82"/>
        <v>Monday</v>
      </c>
      <c r="E1313">
        <v>51</v>
      </c>
      <c r="F1313" s="11">
        <f>VLOOKUP(B1313,'ITEMS LIST'!$B$2:$F$19,4,FALSE)</f>
        <v>250</v>
      </c>
      <c r="G1313" s="11">
        <f>VLOOKUP(B1313,'ITEMS LIST'!$B$2:$F$19,5,FALSE)</f>
        <v>190</v>
      </c>
      <c r="H1313" s="11">
        <f t="shared" si="80"/>
        <v>0</v>
      </c>
      <c r="I1313" s="11">
        <f t="shared" si="81"/>
        <v>0</v>
      </c>
      <c r="J1313" s="11">
        <f t="shared" si="83"/>
        <v>0</v>
      </c>
    </row>
    <row r="1314" spans="1:10" x14ac:dyDescent="0.3">
      <c r="A1314" s="7">
        <v>44907.888888887828</v>
      </c>
      <c r="B1314" s="8" t="s">
        <v>16</v>
      </c>
      <c r="C1314" s="8">
        <v>0</v>
      </c>
      <c r="D1314" t="str">
        <f t="shared" si="82"/>
        <v>Monday</v>
      </c>
      <c r="E1314">
        <v>51</v>
      </c>
      <c r="F1314" s="11">
        <f>VLOOKUP(B1314,'ITEMS LIST'!$B$2:$F$19,4,FALSE)</f>
        <v>120</v>
      </c>
      <c r="G1314" s="11">
        <f>VLOOKUP(B1314,'ITEMS LIST'!$B$2:$F$19,5,FALSE)</f>
        <v>85</v>
      </c>
      <c r="H1314" s="11">
        <f t="shared" si="80"/>
        <v>0</v>
      </c>
      <c r="I1314" s="11">
        <f t="shared" si="81"/>
        <v>0</v>
      </c>
      <c r="J1314" s="11">
        <f t="shared" si="83"/>
        <v>0</v>
      </c>
    </row>
    <row r="1315" spans="1:10" x14ac:dyDescent="0.3">
      <c r="A1315" s="7">
        <v>44907.944444443383</v>
      </c>
      <c r="B1315" s="8" t="s">
        <v>17</v>
      </c>
      <c r="C1315" s="8">
        <v>0</v>
      </c>
      <c r="D1315" t="str">
        <f t="shared" si="82"/>
        <v>Monday</v>
      </c>
      <c r="E1315">
        <v>51</v>
      </c>
      <c r="F1315" s="11">
        <f>VLOOKUP(B1315,'ITEMS LIST'!$B$2:$F$19,4,FALSE)</f>
        <v>80</v>
      </c>
      <c r="G1315" s="11">
        <f>VLOOKUP(B1315,'ITEMS LIST'!$B$2:$F$19,5,FALSE)</f>
        <v>55</v>
      </c>
      <c r="H1315" s="11">
        <f t="shared" si="80"/>
        <v>0</v>
      </c>
      <c r="I1315" s="11">
        <f t="shared" si="81"/>
        <v>0</v>
      </c>
      <c r="J1315" s="11">
        <f t="shared" si="83"/>
        <v>0</v>
      </c>
    </row>
    <row r="1316" spans="1:10" x14ac:dyDescent="0.3">
      <c r="A1316" s="7">
        <v>44907.999999998938</v>
      </c>
      <c r="B1316" s="8" t="s">
        <v>0</v>
      </c>
      <c r="C1316" s="8">
        <v>0</v>
      </c>
      <c r="D1316" t="str">
        <f t="shared" si="82"/>
        <v>Tuesday</v>
      </c>
      <c r="E1316">
        <v>51</v>
      </c>
      <c r="F1316" s="11">
        <f>VLOOKUP(B1316,'ITEMS LIST'!$B$2:$F$19,4,FALSE)</f>
        <v>549</v>
      </c>
      <c r="G1316" s="11">
        <f>VLOOKUP(B1316,'ITEMS LIST'!$B$2:$F$19,5,FALSE)</f>
        <v>365</v>
      </c>
      <c r="H1316" s="11">
        <f t="shared" si="80"/>
        <v>0</v>
      </c>
      <c r="I1316" s="11">
        <f t="shared" si="81"/>
        <v>0</v>
      </c>
      <c r="J1316" s="11">
        <f t="shared" si="83"/>
        <v>0</v>
      </c>
    </row>
    <row r="1317" spans="1:10" x14ac:dyDescent="0.3">
      <c r="A1317" s="7">
        <v>44908.055555554492</v>
      </c>
      <c r="B1317" s="8" t="s">
        <v>1</v>
      </c>
      <c r="C1317" s="8">
        <v>0</v>
      </c>
      <c r="D1317" t="str">
        <f t="shared" si="82"/>
        <v>Tuesday</v>
      </c>
      <c r="E1317">
        <v>51</v>
      </c>
      <c r="F1317" s="11">
        <f>VLOOKUP(B1317,'ITEMS LIST'!$B$2:$F$19,4,FALSE)</f>
        <v>699</v>
      </c>
      <c r="G1317" s="11">
        <f>VLOOKUP(B1317,'ITEMS LIST'!$B$2:$F$19,5,FALSE)</f>
        <v>550</v>
      </c>
      <c r="H1317" s="11">
        <f t="shared" si="80"/>
        <v>0</v>
      </c>
      <c r="I1317" s="11">
        <f t="shared" si="81"/>
        <v>0</v>
      </c>
      <c r="J1317" s="11">
        <f t="shared" si="83"/>
        <v>0</v>
      </c>
    </row>
    <row r="1318" spans="1:10" x14ac:dyDescent="0.3">
      <c r="A1318" s="7">
        <v>44908.111111110047</v>
      </c>
      <c r="B1318" s="8" t="s">
        <v>2</v>
      </c>
      <c r="C1318" s="8">
        <v>0</v>
      </c>
      <c r="D1318" t="str">
        <f t="shared" si="82"/>
        <v>Tuesday</v>
      </c>
      <c r="E1318">
        <v>51</v>
      </c>
      <c r="F1318" s="11">
        <f>VLOOKUP(B1318,'ITEMS LIST'!$B$2:$F$19,4,FALSE)</f>
        <v>739</v>
      </c>
      <c r="G1318" s="11">
        <f>VLOOKUP(B1318,'ITEMS LIST'!$B$2:$F$19,5,FALSE)</f>
        <v>620</v>
      </c>
      <c r="H1318" s="11">
        <f t="shared" si="80"/>
        <v>0</v>
      </c>
      <c r="I1318" s="11">
        <f t="shared" si="81"/>
        <v>0</v>
      </c>
      <c r="J1318" s="11">
        <f t="shared" si="83"/>
        <v>0</v>
      </c>
    </row>
    <row r="1319" spans="1:10" x14ac:dyDescent="0.3">
      <c r="A1319" s="7">
        <v>44908.166666665602</v>
      </c>
      <c r="B1319" s="8" t="s">
        <v>3</v>
      </c>
      <c r="C1319" s="8">
        <v>0</v>
      </c>
      <c r="D1319" t="str">
        <f t="shared" si="82"/>
        <v>Tuesday</v>
      </c>
      <c r="E1319">
        <v>51</v>
      </c>
      <c r="F1319" s="11">
        <f>VLOOKUP(B1319,'ITEMS LIST'!$B$2:$F$19,4,FALSE)</f>
        <v>899</v>
      </c>
      <c r="G1319" s="11">
        <f>VLOOKUP(B1319,'ITEMS LIST'!$B$2:$F$19,5,FALSE)</f>
        <v>714</v>
      </c>
      <c r="H1319" s="11">
        <f t="shared" si="80"/>
        <v>0</v>
      </c>
      <c r="I1319" s="11">
        <f t="shared" si="81"/>
        <v>0</v>
      </c>
      <c r="J1319" s="11">
        <f t="shared" si="83"/>
        <v>0</v>
      </c>
    </row>
    <row r="1320" spans="1:10" x14ac:dyDescent="0.3">
      <c r="A1320" s="7">
        <v>44908.222222221157</v>
      </c>
      <c r="B1320" s="8" t="s">
        <v>4</v>
      </c>
      <c r="C1320" s="8">
        <v>0</v>
      </c>
      <c r="D1320" t="str">
        <f t="shared" si="82"/>
        <v>Tuesday</v>
      </c>
      <c r="E1320">
        <v>51</v>
      </c>
      <c r="F1320" s="11">
        <f>VLOOKUP(B1320,'ITEMS LIST'!$B$2:$F$19,4,FALSE)</f>
        <v>1379</v>
      </c>
      <c r="G1320" s="11">
        <f>VLOOKUP(B1320,'ITEMS LIST'!$B$2:$F$19,5,FALSE)</f>
        <v>890</v>
      </c>
      <c r="H1320" s="11">
        <f t="shared" si="80"/>
        <v>0</v>
      </c>
      <c r="I1320" s="11">
        <f t="shared" si="81"/>
        <v>0</v>
      </c>
      <c r="J1320" s="11">
        <f t="shared" si="83"/>
        <v>0</v>
      </c>
    </row>
    <row r="1321" spans="1:10" x14ac:dyDescent="0.3">
      <c r="A1321" s="7">
        <v>44908.277777776711</v>
      </c>
      <c r="B1321" s="8" t="s">
        <v>5</v>
      </c>
      <c r="C1321" s="8">
        <v>1</v>
      </c>
      <c r="D1321" t="str">
        <f t="shared" si="82"/>
        <v>Tuesday</v>
      </c>
      <c r="E1321">
        <v>51</v>
      </c>
      <c r="F1321" s="11">
        <f>VLOOKUP(B1321,'ITEMS LIST'!$B$2:$F$19,4,FALSE)</f>
        <v>849</v>
      </c>
      <c r="G1321" s="11">
        <f>VLOOKUP(B1321,'ITEMS LIST'!$B$2:$F$19,5,FALSE)</f>
        <v>530</v>
      </c>
      <c r="H1321" s="11">
        <f t="shared" si="80"/>
        <v>849</v>
      </c>
      <c r="I1321" s="11">
        <f t="shared" si="81"/>
        <v>530</v>
      </c>
      <c r="J1321" s="11">
        <f t="shared" si="83"/>
        <v>319</v>
      </c>
    </row>
    <row r="1322" spans="1:10" x14ac:dyDescent="0.3">
      <c r="A1322" s="7">
        <v>44908.333333332266</v>
      </c>
      <c r="B1322" s="8" t="s">
        <v>6</v>
      </c>
      <c r="C1322" s="8">
        <v>0</v>
      </c>
      <c r="D1322" t="str">
        <f t="shared" si="82"/>
        <v>Tuesday</v>
      </c>
      <c r="E1322">
        <v>51</v>
      </c>
      <c r="F1322" s="11">
        <f>VLOOKUP(B1322,'ITEMS LIST'!$B$2:$F$19,4,FALSE)</f>
        <v>1000</v>
      </c>
      <c r="G1322" s="11">
        <f>VLOOKUP(B1322,'ITEMS LIST'!$B$2:$F$19,5,FALSE)</f>
        <v>768</v>
      </c>
      <c r="H1322" s="11">
        <f t="shared" si="80"/>
        <v>0</v>
      </c>
      <c r="I1322" s="11">
        <f t="shared" si="81"/>
        <v>0</v>
      </c>
      <c r="J1322" s="11">
        <f t="shared" si="83"/>
        <v>0</v>
      </c>
    </row>
    <row r="1323" spans="1:10" x14ac:dyDescent="0.3">
      <c r="A1323" s="7">
        <v>44908.388888887821</v>
      </c>
      <c r="B1323" s="8" t="s">
        <v>7</v>
      </c>
      <c r="C1323" s="8">
        <v>0</v>
      </c>
      <c r="D1323" t="str">
        <f t="shared" si="82"/>
        <v>Tuesday</v>
      </c>
      <c r="E1323">
        <v>51</v>
      </c>
      <c r="F1323" s="11">
        <f>VLOOKUP(B1323,'ITEMS LIST'!$B$2:$F$19,4,FALSE)</f>
        <v>680</v>
      </c>
      <c r="G1323" s="11">
        <f>VLOOKUP(B1323,'ITEMS LIST'!$B$2:$F$19,5,FALSE)</f>
        <v>570</v>
      </c>
      <c r="H1323" s="11">
        <f t="shared" si="80"/>
        <v>0</v>
      </c>
      <c r="I1323" s="11">
        <f t="shared" si="81"/>
        <v>0</v>
      </c>
      <c r="J1323" s="11">
        <f t="shared" si="83"/>
        <v>0</v>
      </c>
    </row>
    <row r="1324" spans="1:10" x14ac:dyDescent="0.3">
      <c r="A1324" s="7">
        <v>44908.444444443376</v>
      </c>
      <c r="B1324" s="8" t="s">
        <v>8</v>
      </c>
      <c r="C1324" s="8">
        <v>0</v>
      </c>
      <c r="D1324" t="str">
        <f t="shared" si="82"/>
        <v>Tuesday</v>
      </c>
      <c r="E1324">
        <v>51</v>
      </c>
      <c r="F1324" s="11">
        <f>VLOOKUP(B1324,'ITEMS LIST'!$B$2:$F$19,4,FALSE)</f>
        <v>199</v>
      </c>
      <c r="G1324" s="11">
        <f>VLOOKUP(B1324,'ITEMS LIST'!$B$2:$F$19,5,FALSE)</f>
        <v>140</v>
      </c>
      <c r="H1324" s="11">
        <f t="shared" si="80"/>
        <v>0</v>
      </c>
      <c r="I1324" s="11">
        <f t="shared" si="81"/>
        <v>0</v>
      </c>
      <c r="J1324" s="11">
        <f t="shared" si="83"/>
        <v>0</v>
      </c>
    </row>
    <row r="1325" spans="1:10" x14ac:dyDescent="0.3">
      <c r="A1325" s="7">
        <v>44908.49999999893</v>
      </c>
      <c r="B1325" s="8" t="s">
        <v>9</v>
      </c>
      <c r="C1325" s="8">
        <v>0</v>
      </c>
      <c r="D1325" t="str">
        <f t="shared" si="82"/>
        <v>Tuesday</v>
      </c>
      <c r="E1325">
        <v>51</v>
      </c>
      <c r="F1325" s="11">
        <f>VLOOKUP(B1325,'ITEMS LIST'!$B$2:$F$19,4,FALSE)</f>
        <v>219</v>
      </c>
      <c r="G1325" s="11">
        <f>VLOOKUP(B1325,'ITEMS LIST'!$B$2:$F$19,5,FALSE)</f>
        <v>132</v>
      </c>
      <c r="H1325" s="11">
        <f t="shared" si="80"/>
        <v>0</v>
      </c>
      <c r="I1325" s="11">
        <f t="shared" si="81"/>
        <v>0</v>
      </c>
      <c r="J1325" s="11">
        <f t="shared" si="83"/>
        <v>0</v>
      </c>
    </row>
    <row r="1326" spans="1:10" x14ac:dyDescent="0.3">
      <c r="A1326" s="7">
        <v>44908.555555554485</v>
      </c>
      <c r="B1326" s="8" t="s">
        <v>10</v>
      </c>
      <c r="C1326" s="8">
        <v>2</v>
      </c>
      <c r="D1326" t="str">
        <f t="shared" si="82"/>
        <v>Tuesday</v>
      </c>
      <c r="E1326">
        <v>51</v>
      </c>
      <c r="F1326" s="11">
        <f>VLOOKUP(B1326,'ITEMS LIST'!$B$2:$F$19,4,FALSE)</f>
        <v>1469</v>
      </c>
      <c r="G1326" s="11">
        <f>VLOOKUP(B1326,'ITEMS LIST'!$B$2:$F$19,5,FALSE)</f>
        <v>1184</v>
      </c>
      <c r="H1326" s="11">
        <f t="shared" si="80"/>
        <v>2938</v>
      </c>
      <c r="I1326" s="11">
        <f t="shared" si="81"/>
        <v>2368</v>
      </c>
      <c r="J1326" s="11">
        <f t="shared" si="83"/>
        <v>570</v>
      </c>
    </row>
    <row r="1327" spans="1:10" x14ac:dyDescent="0.3">
      <c r="A1327" s="7">
        <v>44908.61111111004</v>
      </c>
      <c r="B1327" s="8" t="s">
        <v>11</v>
      </c>
      <c r="C1327" s="8">
        <v>0</v>
      </c>
      <c r="D1327" t="str">
        <f t="shared" si="82"/>
        <v>Tuesday</v>
      </c>
      <c r="E1327">
        <v>51</v>
      </c>
      <c r="F1327" s="11">
        <f>VLOOKUP(B1327,'ITEMS LIST'!$B$2:$F$19,4,FALSE)</f>
        <v>89</v>
      </c>
      <c r="G1327" s="11">
        <f>VLOOKUP(B1327,'ITEMS LIST'!$B$2:$F$19,5,FALSE)</f>
        <v>59</v>
      </c>
      <c r="H1327" s="11">
        <f t="shared" si="80"/>
        <v>0</v>
      </c>
      <c r="I1327" s="11">
        <f t="shared" si="81"/>
        <v>0</v>
      </c>
      <c r="J1327" s="11">
        <f t="shared" si="83"/>
        <v>0</v>
      </c>
    </row>
    <row r="1328" spans="1:10" x14ac:dyDescent="0.3">
      <c r="A1328" s="7">
        <v>44908.666666665595</v>
      </c>
      <c r="B1328" s="8" t="s">
        <v>12</v>
      </c>
      <c r="C1328" s="8">
        <v>0</v>
      </c>
      <c r="D1328" t="str">
        <f t="shared" si="82"/>
        <v>Tuesday</v>
      </c>
      <c r="E1328">
        <v>51</v>
      </c>
      <c r="F1328" s="11">
        <f>VLOOKUP(B1328,'ITEMS LIST'!$B$2:$F$19,4,FALSE)</f>
        <v>310</v>
      </c>
      <c r="G1328" s="11">
        <f>VLOOKUP(B1328,'ITEMS LIST'!$B$2:$F$19,5,FALSE)</f>
        <v>206</v>
      </c>
      <c r="H1328" s="11">
        <f t="shared" si="80"/>
        <v>0</v>
      </c>
      <c r="I1328" s="11">
        <f t="shared" si="81"/>
        <v>0</v>
      </c>
      <c r="J1328" s="11">
        <f t="shared" si="83"/>
        <v>0</v>
      </c>
    </row>
    <row r="1329" spans="1:10" x14ac:dyDescent="0.3">
      <c r="A1329" s="7">
        <v>44908.722222221149</v>
      </c>
      <c r="B1329" s="8" t="s">
        <v>13</v>
      </c>
      <c r="C1329" s="8">
        <v>0</v>
      </c>
      <c r="D1329" t="str">
        <f t="shared" si="82"/>
        <v>Tuesday</v>
      </c>
      <c r="E1329">
        <v>51</v>
      </c>
      <c r="F1329" s="11">
        <f>VLOOKUP(B1329,'ITEMS LIST'!$B$2:$F$19,4,FALSE)</f>
        <v>540</v>
      </c>
      <c r="G1329" s="11">
        <f>VLOOKUP(B1329,'ITEMS LIST'!$B$2:$F$19,5,FALSE)</f>
        <v>397</v>
      </c>
      <c r="H1329" s="11">
        <f t="shared" si="80"/>
        <v>0</v>
      </c>
      <c r="I1329" s="11">
        <f t="shared" si="81"/>
        <v>0</v>
      </c>
      <c r="J1329" s="11">
        <f t="shared" si="83"/>
        <v>0</v>
      </c>
    </row>
    <row r="1330" spans="1:10" x14ac:dyDescent="0.3">
      <c r="A1330" s="7">
        <v>44908.777777776704</v>
      </c>
      <c r="B1330" s="8" t="s">
        <v>14</v>
      </c>
      <c r="C1330" s="8">
        <v>0</v>
      </c>
      <c r="D1330" t="str">
        <f t="shared" si="82"/>
        <v>Tuesday</v>
      </c>
      <c r="E1330">
        <v>51</v>
      </c>
      <c r="F1330" s="11">
        <f>VLOOKUP(B1330,'ITEMS LIST'!$B$2:$F$19,4,FALSE)</f>
        <v>360</v>
      </c>
      <c r="G1330" s="11">
        <f>VLOOKUP(B1330,'ITEMS LIST'!$B$2:$F$19,5,FALSE)</f>
        <v>248</v>
      </c>
      <c r="H1330" s="11">
        <f t="shared" si="80"/>
        <v>0</v>
      </c>
      <c r="I1330" s="11">
        <f t="shared" si="81"/>
        <v>0</v>
      </c>
      <c r="J1330" s="11">
        <f t="shared" si="83"/>
        <v>0</v>
      </c>
    </row>
    <row r="1331" spans="1:10" x14ac:dyDescent="0.3">
      <c r="A1331" s="7">
        <v>44908.833333332259</v>
      </c>
      <c r="B1331" s="8" t="s">
        <v>15</v>
      </c>
      <c r="C1331" s="8">
        <v>0</v>
      </c>
      <c r="D1331" t="str">
        <f t="shared" si="82"/>
        <v>Tuesday</v>
      </c>
      <c r="E1331">
        <v>51</v>
      </c>
      <c r="F1331" s="11">
        <f>VLOOKUP(B1331,'ITEMS LIST'!$B$2:$F$19,4,FALSE)</f>
        <v>250</v>
      </c>
      <c r="G1331" s="11">
        <f>VLOOKUP(B1331,'ITEMS LIST'!$B$2:$F$19,5,FALSE)</f>
        <v>190</v>
      </c>
      <c r="H1331" s="11">
        <f t="shared" si="80"/>
        <v>0</v>
      </c>
      <c r="I1331" s="11">
        <f t="shared" si="81"/>
        <v>0</v>
      </c>
      <c r="J1331" s="11">
        <f t="shared" si="83"/>
        <v>0</v>
      </c>
    </row>
    <row r="1332" spans="1:10" x14ac:dyDescent="0.3">
      <c r="A1332" s="7">
        <v>44908.888888887814</v>
      </c>
      <c r="B1332" s="8" t="s">
        <v>16</v>
      </c>
      <c r="C1332" s="8">
        <v>0</v>
      </c>
      <c r="D1332" t="str">
        <f t="shared" si="82"/>
        <v>Tuesday</v>
      </c>
      <c r="E1332">
        <v>51</v>
      </c>
      <c r="F1332" s="11">
        <f>VLOOKUP(B1332,'ITEMS LIST'!$B$2:$F$19,4,FALSE)</f>
        <v>120</v>
      </c>
      <c r="G1332" s="11">
        <f>VLOOKUP(B1332,'ITEMS LIST'!$B$2:$F$19,5,FALSE)</f>
        <v>85</v>
      </c>
      <c r="H1332" s="11">
        <f t="shared" si="80"/>
        <v>0</v>
      </c>
      <c r="I1332" s="11">
        <f t="shared" si="81"/>
        <v>0</v>
      </c>
      <c r="J1332" s="11">
        <f t="shared" si="83"/>
        <v>0</v>
      </c>
    </row>
    <row r="1333" spans="1:10" x14ac:dyDescent="0.3">
      <c r="A1333" s="7">
        <v>44908.944444443368</v>
      </c>
      <c r="B1333" s="8" t="s">
        <v>17</v>
      </c>
      <c r="C1333" s="8">
        <v>0</v>
      </c>
      <c r="D1333" t="str">
        <f t="shared" si="82"/>
        <v>Tuesday</v>
      </c>
      <c r="E1333">
        <v>51</v>
      </c>
      <c r="F1333" s="11">
        <f>VLOOKUP(B1333,'ITEMS LIST'!$B$2:$F$19,4,FALSE)</f>
        <v>80</v>
      </c>
      <c r="G1333" s="11">
        <f>VLOOKUP(B1333,'ITEMS LIST'!$B$2:$F$19,5,FALSE)</f>
        <v>55</v>
      </c>
      <c r="H1333" s="11">
        <f t="shared" si="80"/>
        <v>0</v>
      </c>
      <c r="I1333" s="11">
        <f t="shared" si="81"/>
        <v>0</v>
      </c>
      <c r="J1333" s="11">
        <f t="shared" si="83"/>
        <v>0</v>
      </c>
    </row>
    <row r="1334" spans="1:10" x14ac:dyDescent="0.3">
      <c r="A1334" s="7">
        <v>44908.999999998923</v>
      </c>
      <c r="B1334" s="8" t="s">
        <v>0</v>
      </c>
      <c r="C1334" s="8">
        <v>0</v>
      </c>
      <c r="D1334" t="str">
        <f t="shared" si="82"/>
        <v>Wednesday</v>
      </c>
      <c r="E1334">
        <v>51</v>
      </c>
      <c r="F1334" s="11">
        <f>VLOOKUP(B1334,'ITEMS LIST'!$B$2:$F$19,4,FALSE)</f>
        <v>549</v>
      </c>
      <c r="G1334" s="11">
        <f>VLOOKUP(B1334,'ITEMS LIST'!$B$2:$F$19,5,FALSE)</f>
        <v>365</v>
      </c>
      <c r="H1334" s="11">
        <f t="shared" si="80"/>
        <v>0</v>
      </c>
      <c r="I1334" s="11">
        <f t="shared" si="81"/>
        <v>0</v>
      </c>
      <c r="J1334" s="11">
        <f t="shared" si="83"/>
        <v>0</v>
      </c>
    </row>
    <row r="1335" spans="1:10" x14ac:dyDescent="0.3">
      <c r="A1335" s="7">
        <v>44909.055555554478</v>
      </c>
      <c r="B1335" s="8" t="s">
        <v>1</v>
      </c>
      <c r="C1335" s="8">
        <v>0</v>
      </c>
      <c r="D1335" t="str">
        <f t="shared" si="82"/>
        <v>Wednesday</v>
      </c>
      <c r="E1335">
        <v>51</v>
      </c>
      <c r="F1335" s="11">
        <f>VLOOKUP(B1335,'ITEMS LIST'!$B$2:$F$19,4,FALSE)</f>
        <v>699</v>
      </c>
      <c r="G1335" s="11">
        <f>VLOOKUP(B1335,'ITEMS LIST'!$B$2:$F$19,5,FALSE)</f>
        <v>550</v>
      </c>
      <c r="H1335" s="11">
        <f t="shared" si="80"/>
        <v>0</v>
      </c>
      <c r="I1335" s="11">
        <f t="shared" si="81"/>
        <v>0</v>
      </c>
      <c r="J1335" s="11">
        <f t="shared" si="83"/>
        <v>0</v>
      </c>
    </row>
    <row r="1336" spans="1:10" x14ac:dyDescent="0.3">
      <c r="A1336" s="7">
        <v>44909.111111110033</v>
      </c>
      <c r="B1336" s="8" t="s">
        <v>2</v>
      </c>
      <c r="C1336" s="8">
        <v>0</v>
      </c>
      <c r="D1336" t="str">
        <f t="shared" si="82"/>
        <v>Wednesday</v>
      </c>
      <c r="E1336">
        <v>51</v>
      </c>
      <c r="F1336" s="11">
        <f>VLOOKUP(B1336,'ITEMS LIST'!$B$2:$F$19,4,FALSE)</f>
        <v>739</v>
      </c>
      <c r="G1336" s="11">
        <f>VLOOKUP(B1336,'ITEMS LIST'!$B$2:$F$19,5,FALSE)</f>
        <v>620</v>
      </c>
      <c r="H1336" s="11">
        <f t="shared" si="80"/>
        <v>0</v>
      </c>
      <c r="I1336" s="11">
        <f t="shared" si="81"/>
        <v>0</v>
      </c>
      <c r="J1336" s="11">
        <f t="shared" si="83"/>
        <v>0</v>
      </c>
    </row>
    <row r="1337" spans="1:10" x14ac:dyDescent="0.3">
      <c r="A1337" s="7">
        <v>44909.166666665587</v>
      </c>
      <c r="B1337" s="8" t="s">
        <v>3</v>
      </c>
      <c r="C1337" s="8">
        <v>0</v>
      </c>
      <c r="D1337" t="str">
        <f t="shared" si="82"/>
        <v>Wednesday</v>
      </c>
      <c r="E1337">
        <v>51</v>
      </c>
      <c r="F1337" s="11">
        <f>VLOOKUP(B1337,'ITEMS LIST'!$B$2:$F$19,4,FALSE)</f>
        <v>899</v>
      </c>
      <c r="G1337" s="11">
        <f>VLOOKUP(B1337,'ITEMS LIST'!$B$2:$F$19,5,FALSE)</f>
        <v>714</v>
      </c>
      <c r="H1337" s="11">
        <f t="shared" si="80"/>
        <v>0</v>
      </c>
      <c r="I1337" s="11">
        <f t="shared" si="81"/>
        <v>0</v>
      </c>
      <c r="J1337" s="11">
        <f t="shared" si="83"/>
        <v>0</v>
      </c>
    </row>
    <row r="1338" spans="1:10" x14ac:dyDescent="0.3">
      <c r="A1338" s="7">
        <v>44909.222222221142</v>
      </c>
      <c r="B1338" s="8" t="s">
        <v>4</v>
      </c>
      <c r="C1338" s="8">
        <v>0</v>
      </c>
      <c r="D1338" t="str">
        <f t="shared" si="82"/>
        <v>Wednesday</v>
      </c>
      <c r="E1338">
        <v>51</v>
      </c>
      <c r="F1338" s="11">
        <f>VLOOKUP(B1338,'ITEMS LIST'!$B$2:$F$19,4,FALSE)</f>
        <v>1379</v>
      </c>
      <c r="G1338" s="11">
        <f>VLOOKUP(B1338,'ITEMS LIST'!$B$2:$F$19,5,FALSE)</f>
        <v>890</v>
      </c>
      <c r="H1338" s="11">
        <f t="shared" si="80"/>
        <v>0</v>
      </c>
      <c r="I1338" s="11">
        <f t="shared" si="81"/>
        <v>0</v>
      </c>
      <c r="J1338" s="11">
        <f t="shared" si="83"/>
        <v>0</v>
      </c>
    </row>
    <row r="1339" spans="1:10" x14ac:dyDescent="0.3">
      <c r="A1339" s="7">
        <v>44909.277777776697</v>
      </c>
      <c r="B1339" s="8" t="s">
        <v>5</v>
      </c>
      <c r="C1339" s="8">
        <v>5</v>
      </c>
      <c r="D1339" t="str">
        <f t="shared" si="82"/>
        <v>Wednesday</v>
      </c>
      <c r="E1339">
        <v>51</v>
      </c>
      <c r="F1339" s="11">
        <f>VLOOKUP(B1339,'ITEMS LIST'!$B$2:$F$19,4,FALSE)</f>
        <v>849</v>
      </c>
      <c r="G1339" s="11">
        <f>VLOOKUP(B1339,'ITEMS LIST'!$B$2:$F$19,5,FALSE)</f>
        <v>530</v>
      </c>
      <c r="H1339" s="11">
        <f t="shared" si="80"/>
        <v>4245</v>
      </c>
      <c r="I1339" s="11">
        <f t="shared" si="81"/>
        <v>2650</v>
      </c>
      <c r="J1339" s="11">
        <f t="shared" si="83"/>
        <v>1595</v>
      </c>
    </row>
    <row r="1340" spans="1:10" x14ac:dyDescent="0.3">
      <c r="A1340" s="7">
        <v>44909.333333332252</v>
      </c>
      <c r="B1340" s="8" t="s">
        <v>6</v>
      </c>
      <c r="C1340" s="8">
        <v>0</v>
      </c>
      <c r="D1340" t="str">
        <f t="shared" si="82"/>
        <v>Wednesday</v>
      </c>
      <c r="E1340">
        <v>51</v>
      </c>
      <c r="F1340" s="11">
        <f>VLOOKUP(B1340,'ITEMS LIST'!$B$2:$F$19,4,FALSE)</f>
        <v>1000</v>
      </c>
      <c r="G1340" s="11">
        <f>VLOOKUP(B1340,'ITEMS LIST'!$B$2:$F$19,5,FALSE)</f>
        <v>768</v>
      </c>
      <c r="H1340" s="11">
        <f t="shared" si="80"/>
        <v>0</v>
      </c>
      <c r="I1340" s="11">
        <f t="shared" si="81"/>
        <v>0</v>
      </c>
      <c r="J1340" s="11">
        <f t="shared" si="83"/>
        <v>0</v>
      </c>
    </row>
    <row r="1341" spans="1:10" x14ac:dyDescent="0.3">
      <c r="A1341" s="7">
        <v>44909.388888887806</v>
      </c>
      <c r="B1341" s="8" t="s">
        <v>7</v>
      </c>
      <c r="C1341" s="8">
        <v>0</v>
      </c>
      <c r="D1341" t="str">
        <f t="shared" si="82"/>
        <v>Wednesday</v>
      </c>
      <c r="E1341">
        <v>51</v>
      </c>
      <c r="F1341" s="11">
        <f>VLOOKUP(B1341,'ITEMS LIST'!$B$2:$F$19,4,FALSE)</f>
        <v>680</v>
      </c>
      <c r="G1341" s="11">
        <f>VLOOKUP(B1341,'ITEMS LIST'!$B$2:$F$19,5,FALSE)</f>
        <v>570</v>
      </c>
      <c r="H1341" s="11">
        <f t="shared" si="80"/>
        <v>0</v>
      </c>
      <c r="I1341" s="11">
        <f t="shared" si="81"/>
        <v>0</v>
      </c>
      <c r="J1341" s="11">
        <f t="shared" si="83"/>
        <v>0</v>
      </c>
    </row>
    <row r="1342" spans="1:10" x14ac:dyDescent="0.3">
      <c r="A1342" s="7">
        <v>44909.444444443361</v>
      </c>
      <c r="B1342" s="8" t="s">
        <v>8</v>
      </c>
      <c r="C1342" s="8">
        <v>0</v>
      </c>
      <c r="D1342" t="str">
        <f t="shared" si="82"/>
        <v>Wednesday</v>
      </c>
      <c r="E1342">
        <v>51</v>
      </c>
      <c r="F1342" s="11">
        <f>VLOOKUP(B1342,'ITEMS LIST'!$B$2:$F$19,4,FALSE)</f>
        <v>199</v>
      </c>
      <c r="G1342" s="11">
        <f>VLOOKUP(B1342,'ITEMS LIST'!$B$2:$F$19,5,FALSE)</f>
        <v>140</v>
      </c>
      <c r="H1342" s="11">
        <f t="shared" si="80"/>
        <v>0</v>
      </c>
      <c r="I1342" s="11">
        <f t="shared" si="81"/>
        <v>0</v>
      </c>
      <c r="J1342" s="11">
        <f t="shared" si="83"/>
        <v>0</v>
      </c>
    </row>
    <row r="1343" spans="1:10" x14ac:dyDescent="0.3">
      <c r="A1343" s="7">
        <v>44909.499999998916</v>
      </c>
      <c r="B1343" s="8" t="s">
        <v>9</v>
      </c>
      <c r="C1343" s="8">
        <v>0</v>
      </c>
      <c r="D1343" t="str">
        <f t="shared" si="82"/>
        <v>Wednesday</v>
      </c>
      <c r="E1343">
        <v>51</v>
      </c>
      <c r="F1343" s="11">
        <f>VLOOKUP(B1343,'ITEMS LIST'!$B$2:$F$19,4,FALSE)</f>
        <v>219</v>
      </c>
      <c r="G1343" s="11">
        <f>VLOOKUP(B1343,'ITEMS LIST'!$B$2:$F$19,5,FALSE)</f>
        <v>132</v>
      </c>
      <c r="H1343" s="11">
        <f t="shared" si="80"/>
        <v>0</v>
      </c>
      <c r="I1343" s="11">
        <f t="shared" si="81"/>
        <v>0</v>
      </c>
      <c r="J1343" s="11">
        <f t="shared" si="83"/>
        <v>0</v>
      </c>
    </row>
    <row r="1344" spans="1:10" x14ac:dyDescent="0.3">
      <c r="A1344" s="7">
        <v>44909.555555554471</v>
      </c>
      <c r="B1344" s="8" t="s">
        <v>10</v>
      </c>
      <c r="C1344" s="8">
        <v>0</v>
      </c>
      <c r="D1344" t="str">
        <f t="shared" si="82"/>
        <v>Wednesday</v>
      </c>
      <c r="E1344">
        <v>51</v>
      </c>
      <c r="F1344" s="11">
        <f>VLOOKUP(B1344,'ITEMS LIST'!$B$2:$F$19,4,FALSE)</f>
        <v>1469</v>
      </c>
      <c r="G1344" s="11">
        <f>VLOOKUP(B1344,'ITEMS LIST'!$B$2:$F$19,5,FALSE)</f>
        <v>1184</v>
      </c>
      <c r="H1344" s="11">
        <f t="shared" si="80"/>
        <v>0</v>
      </c>
      <c r="I1344" s="11">
        <f t="shared" si="81"/>
        <v>0</v>
      </c>
      <c r="J1344" s="11">
        <f t="shared" si="83"/>
        <v>0</v>
      </c>
    </row>
    <row r="1345" spans="1:10" x14ac:dyDescent="0.3">
      <c r="A1345" s="7">
        <v>44909.611111110025</v>
      </c>
      <c r="B1345" s="8" t="s">
        <v>11</v>
      </c>
      <c r="C1345" s="8">
        <v>0</v>
      </c>
      <c r="D1345" t="str">
        <f t="shared" si="82"/>
        <v>Wednesday</v>
      </c>
      <c r="E1345">
        <v>51</v>
      </c>
      <c r="F1345" s="11">
        <f>VLOOKUP(B1345,'ITEMS LIST'!$B$2:$F$19,4,FALSE)</f>
        <v>89</v>
      </c>
      <c r="G1345" s="11">
        <f>VLOOKUP(B1345,'ITEMS LIST'!$B$2:$F$19,5,FALSE)</f>
        <v>59</v>
      </c>
      <c r="H1345" s="11">
        <f t="shared" si="80"/>
        <v>0</v>
      </c>
      <c r="I1345" s="11">
        <f t="shared" si="81"/>
        <v>0</v>
      </c>
      <c r="J1345" s="11">
        <f t="shared" si="83"/>
        <v>0</v>
      </c>
    </row>
    <row r="1346" spans="1:10" x14ac:dyDescent="0.3">
      <c r="A1346" s="7">
        <v>44909.66666666558</v>
      </c>
      <c r="B1346" s="8" t="s">
        <v>12</v>
      </c>
      <c r="C1346" s="8">
        <v>0</v>
      </c>
      <c r="D1346" t="str">
        <f t="shared" si="82"/>
        <v>Wednesday</v>
      </c>
      <c r="E1346">
        <v>51</v>
      </c>
      <c r="F1346" s="11">
        <f>VLOOKUP(B1346,'ITEMS LIST'!$B$2:$F$19,4,FALSE)</f>
        <v>310</v>
      </c>
      <c r="G1346" s="11">
        <f>VLOOKUP(B1346,'ITEMS LIST'!$B$2:$F$19,5,FALSE)</f>
        <v>206</v>
      </c>
      <c r="H1346" s="11">
        <f t="shared" ref="H1346:H1409" si="84">C1346*F1346</f>
        <v>0</v>
      </c>
      <c r="I1346" s="11">
        <f t="shared" ref="I1346:I1409" si="85">C1346*G1346</f>
        <v>0</v>
      </c>
      <c r="J1346" s="11">
        <f t="shared" si="83"/>
        <v>0</v>
      </c>
    </row>
    <row r="1347" spans="1:10" x14ac:dyDescent="0.3">
      <c r="A1347" s="7">
        <v>44909.722222221135</v>
      </c>
      <c r="B1347" s="8" t="s">
        <v>13</v>
      </c>
      <c r="C1347" s="8">
        <v>1</v>
      </c>
      <c r="D1347" t="str">
        <f t="shared" ref="D1347:D1410" si="86">TEXT(A1347,"dddd")</f>
        <v>Wednesday</v>
      </c>
      <c r="E1347">
        <v>51</v>
      </c>
      <c r="F1347" s="11">
        <f>VLOOKUP(B1347,'ITEMS LIST'!$B$2:$F$19,4,FALSE)</f>
        <v>540</v>
      </c>
      <c r="G1347" s="11">
        <f>VLOOKUP(B1347,'ITEMS LIST'!$B$2:$F$19,5,FALSE)</f>
        <v>397</v>
      </c>
      <c r="H1347" s="11">
        <f t="shared" si="84"/>
        <v>540</v>
      </c>
      <c r="I1347" s="11">
        <f t="shared" si="85"/>
        <v>397</v>
      </c>
      <c r="J1347" s="11">
        <f t="shared" ref="J1347:J1410" si="87">H1347-I1347</f>
        <v>143</v>
      </c>
    </row>
    <row r="1348" spans="1:10" x14ac:dyDescent="0.3">
      <c r="A1348" s="7">
        <v>44909.77777777669</v>
      </c>
      <c r="B1348" s="8" t="s">
        <v>14</v>
      </c>
      <c r="C1348" s="8">
        <v>0</v>
      </c>
      <c r="D1348" t="str">
        <f t="shared" si="86"/>
        <v>Wednesday</v>
      </c>
      <c r="E1348">
        <v>51</v>
      </c>
      <c r="F1348" s="11">
        <f>VLOOKUP(B1348,'ITEMS LIST'!$B$2:$F$19,4,FALSE)</f>
        <v>360</v>
      </c>
      <c r="G1348" s="11">
        <f>VLOOKUP(B1348,'ITEMS LIST'!$B$2:$F$19,5,FALSE)</f>
        <v>248</v>
      </c>
      <c r="H1348" s="11">
        <f t="shared" si="84"/>
        <v>0</v>
      </c>
      <c r="I1348" s="11">
        <f t="shared" si="85"/>
        <v>0</v>
      </c>
      <c r="J1348" s="11">
        <f t="shared" si="87"/>
        <v>0</v>
      </c>
    </row>
    <row r="1349" spans="1:10" x14ac:dyDescent="0.3">
      <c r="A1349" s="7">
        <v>44909.833333332244</v>
      </c>
      <c r="B1349" s="8" t="s">
        <v>15</v>
      </c>
      <c r="C1349" s="8">
        <v>0</v>
      </c>
      <c r="D1349" t="str">
        <f t="shared" si="86"/>
        <v>Wednesday</v>
      </c>
      <c r="E1349">
        <v>51</v>
      </c>
      <c r="F1349" s="11">
        <f>VLOOKUP(B1349,'ITEMS LIST'!$B$2:$F$19,4,FALSE)</f>
        <v>250</v>
      </c>
      <c r="G1349" s="11">
        <f>VLOOKUP(B1349,'ITEMS LIST'!$B$2:$F$19,5,FALSE)</f>
        <v>190</v>
      </c>
      <c r="H1349" s="11">
        <f t="shared" si="84"/>
        <v>0</v>
      </c>
      <c r="I1349" s="11">
        <f t="shared" si="85"/>
        <v>0</v>
      </c>
      <c r="J1349" s="11">
        <f t="shared" si="87"/>
        <v>0</v>
      </c>
    </row>
    <row r="1350" spans="1:10" x14ac:dyDescent="0.3">
      <c r="A1350" s="7">
        <v>44909.888888887799</v>
      </c>
      <c r="B1350" s="8" t="s">
        <v>16</v>
      </c>
      <c r="C1350" s="8">
        <v>0</v>
      </c>
      <c r="D1350" t="str">
        <f t="shared" si="86"/>
        <v>Wednesday</v>
      </c>
      <c r="E1350">
        <v>51</v>
      </c>
      <c r="F1350" s="11">
        <f>VLOOKUP(B1350,'ITEMS LIST'!$B$2:$F$19,4,FALSE)</f>
        <v>120</v>
      </c>
      <c r="G1350" s="11">
        <f>VLOOKUP(B1350,'ITEMS LIST'!$B$2:$F$19,5,FALSE)</f>
        <v>85</v>
      </c>
      <c r="H1350" s="11">
        <f t="shared" si="84"/>
        <v>0</v>
      </c>
      <c r="I1350" s="11">
        <f t="shared" si="85"/>
        <v>0</v>
      </c>
      <c r="J1350" s="11">
        <f t="shared" si="87"/>
        <v>0</v>
      </c>
    </row>
    <row r="1351" spans="1:10" x14ac:dyDescent="0.3">
      <c r="A1351" s="7">
        <v>44909.944444443354</v>
      </c>
      <c r="B1351" s="8" t="s">
        <v>17</v>
      </c>
      <c r="C1351" s="8">
        <v>0</v>
      </c>
      <c r="D1351" t="str">
        <f t="shared" si="86"/>
        <v>Wednesday</v>
      </c>
      <c r="E1351">
        <v>51</v>
      </c>
      <c r="F1351" s="11">
        <f>VLOOKUP(B1351,'ITEMS LIST'!$B$2:$F$19,4,FALSE)</f>
        <v>80</v>
      </c>
      <c r="G1351" s="11">
        <f>VLOOKUP(B1351,'ITEMS LIST'!$B$2:$F$19,5,FALSE)</f>
        <v>55</v>
      </c>
      <c r="H1351" s="11">
        <f t="shared" si="84"/>
        <v>0</v>
      </c>
      <c r="I1351" s="11">
        <f t="shared" si="85"/>
        <v>0</v>
      </c>
      <c r="J1351" s="11">
        <f t="shared" si="87"/>
        <v>0</v>
      </c>
    </row>
    <row r="1352" spans="1:10" x14ac:dyDescent="0.3">
      <c r="A1352" s="7">
        <v>44909.999999998909</v>
      </c>
      <c r="B1352" s="8" t="s">
        <v>0</v>
      </c>
      <c r="C1352" s="8">
        <v>0</v>
      </c>
      <c r="D1352" t="str">
        <f t="shared" si="86"/>
        <v>Thursday</v>
      </c>
      <c r="E1352">
        <v>51</v>
      </c>
      <c r="F1352" s="11">
        <f>VLOOKUP(B1352,'ITEMS LIST'!$B$2:$F$19,4,FALSE)</f>
        <v>549</v>
      </c>
      <c r="G1352" s="11">
        <f>VLOOKUP(B1352,'ITEMS LIST'!$B$2:$F$19,5,FALSE)</f>
        <v>365</v>
      </c>
      <c r="H1352" s="11">
        <f t="shared" si="84"/>
        <v>0</v>
      </c>
      <c r="I1352" s="11">
        <f t="shared" si="85"/>
        <v>0</v>
      </c>
      <c r="J1352" s="11">
        <f t="shared" si="87"/>
        <v>0</v>
      </c>
    </row>
    <row r="1353" spans="1:10" x14ac:dyDescent="0.3">
      <c r="A1353" s="7">
        <v>44910.055555554463</v>
      </c>
      <c r="B1353" s="8" t="s">
        <v>1</v>
      </c>
      <c r="C1353" s="8">
        <v>0</v>
      </c>
      <c r="D1353" t="str">
        <f t="shared" si="86"/>
        <v>Thursday</v>
      </c>
      <c r="E1353">
        <v>51</v>
      </c>
      <c r="F1353" s="11">
        <f>VLOOKUP(B1353,'ITEMS LIST'!$B$2:$F$19,4,FALSE)</f>
        <v>699</v>
      </c>
      <c r="G1353" s="11">
        <f>VLOOKUP(B1353,'ITEMS LIST'!$B$2:$F$19,5,FALSE)</f>
        <v>550</v>
      </c>
      <c r="H1353" s="11">
        <f t="shared" si="84"/>
        <v>0</v>
      </c>
      <c r="I1353" s="11">
        <f t="shared" si="85"/>
        <v>0</v>
      </c>
      <c r="J1353" s="11">
        <f t="shared" si="87"/>
        <v>0</v>
      </c>
    </row>
    <row r="1354" spans="1:10" x14ac:dyDescent="0.3">
      <c r="A1354" s="7">
        <v>44910.111111110018</v>
      </c>
      <c r="B1354" s="8" t="s">
        <v>2</v>
      </c>
      <c r="C1354" s="8">
        <v>0</v>
      </c>
      <c r="D1354" t="str">
        <f t="shared" si="86"/>
        <v>Thursday</v>
      </c>
      <c r="E1354">
        <v>51</v>
      </c>
      <c r="F1354" s="11">
        <f>VLOOKUP(B1354,'ITEMS LIST'!$B$2:$F$19,4,FALSE)</f>
        <v>739</v>
      </c>
      <c r="G1354" s="11">
        <f>VLOOKUP(B1354,'ITEMS LIST'!$B$2:$F$19,5,FALSE)</f>
        <v>620</v>
      </c>
      <c r="H1354" s="11">
        <f t="shared" si="84"/>
        <v>0</v>
      </c>
      <c r="I1354" s="11">
        <f t="shared" si="85"/>
        <v>0</v>
      </c>
      <c r="J1354" s="11">
        <f t="shared" si="87"/>
        <v>0</v>
      </c>
    </row>
    <row r="1355" spans="1:10" x14ac:dyDescent="0.3">
      <c r="A1355" s="7">
        <v>44910.166666665573</v>
      </c>
      <c r="B1355" s="8" t="s">
        <v>3</v>
      </c>
      <c r="C1355" s="8">
        <v>0</v>
      </c>
      <c r="D1355" t="str">
        <f t="shared" si="86"/>
        <v>Thursday</v>
      </c>
      <c r="E1355">
        <v>51</v>
      </c>
      <c r="F1355" s="11">
        <f>VLOOKUP(B1355,'ITEMS LIST'!$B$2:$F$19,4,FALSE)</f>
        <v>899</v>
      </c>
      <c r="G1355" s="11">
        <f>VLOOKUP(B1355,'ITEMS LIST'!$B$2:$F$19,5,FALSE)</f>
        <v>714</v>
      </c>
      <c r="H1355" s="11">
        <f t="shared" si="84"/>
        <v>0</v>
      </c>
      <c r="I1355" s="11">
        <f t="shared" si="85"/>
        <v>0</v>
      </c>
      <c r="J1355" s="11">
        <f t="shared" si="87"/>
        <v>0</v>
      </c>
    </row>
    <row r="1356" spans="1:10" x14ac:dyDescent="0.3">
      <c r="A1356" s="7">
        <v>44910.222222221128</v>
      </c>
      <c r="B1356" s="8" t="s">
        <v>4</v>
      </c>
      <c r="C1356" s="8">
        <v>0</v>
      </c>
      <c r="D1356" t="str">
        <f t="shared" si="86"/>
        <v>Thursday</v>
      </c>
      <c r="E1356">
        <v>51</v>
      </c>
      <c r="F1356" s="11">
        <f>VLOOKUP(B1356,'ITEMS LIST'!$B$2:$F$19,4,FALSE)</f>
        <v>1379</v>
      </c>
      <c r="G1356" s="11">
        <f>VLOOKUP(B1356,'ITEMS LIST'!$B$2:$F$19,5,FALSE)</f>
        <v>890</v>
      </c>
      <c r="H1356" s="11">
        <f t="shared" si="84"/>
        <v>0</v>
      </c>
      <c r="I1356" s="11">
        <f t="shared" si="85"/>
        <v>0</v>
      </c>
      <c r="J1356" s="11">
        <f t="shared" si="87"/>
        <v>0</v>
      </c>
    </row>
    <row r="1357" spans="1:10" x14ac:dyDescent="0.3">
      <c r="A1357" s="7">
        <v>44910.277777776682</v>
      </c>
      <c r="B1357" s="8" t="s">
        <v>5</v>
      </c>
      <c r="C1357" s="8">
        <v>0</v>
      </c>
      <c r="D1357" t="str">
        <f t="shared" si="86"/>
        <v>Thursday</v>
      </c>
      <c r="E1357">
        <v>51</v>
      </c>
      <c r="F1357" s="11">
        <f>VLOOKUP(B1357,'ITEMS LIST'!$B$2:$F$19,4,FALSE)</f>
        <v>849</v>
      </c>
      <c r="G1357" s="11">
        <f>VLOOKUP(B1357,'ITEMS LIST'!$B$2:$F$19,5,FALSE)</f>
        <v>530</v>
      </c>
      <c r="H1357" s="11">
        <f t="shared" si="84"/>
        <v>0</v>
      </c>
      <c r="I1357" s="11">
        <f t="shared" si="85"/>
        <v>0</v>
      </c>
      <c r="J1357" s="11">
        <f t="shared" si="87"/>
        <v>0</v>
      </c>
    </row>
    <row r="1358" spans="1:10" x14ac:dyDescent="0.3">
      <c r="A1358" s="7">
        <v>44910.333333332237</v>
      </c>
      <c r="B1358" s="8" t="s">
        <v>6</v>
      </c>
      <c r="C1358" s="8">
        <v>0</v>
      </c>
      <c r="D1358" t="str">
        <f t="shared" si="86"/>
        <v>Thursday</v>
      </c>
      <c r="E1358">
        <v>51</v>
      </c>
      <c r="F1358" s="11">
        <f>VLOOKUP(B1358,'ITEMS LIST'!$B$2:$F$19,4,FALSE)</f>
        <v>1000</v>
      </c>
      <c r="G1358" s="11">
        <f>VLOOKUP(B1358,'ITEMS LIST'!$B$2:$F$19,5,FALSE)</f>
        <v>768</v>
      </c>
      <c r="H1358" s="11">
        <f t="shared" si="84"/>
        <v>0</v>
      </c>
      <c r="I1358" s="11">
        <f t="shared" si="85"/>
        <v>0</v>
      </c>
      <c r="J1358" s="11">
        <f t="shared" si="87"/>
        <v>0</v>
      </c>
    </row>
    <row r="1359" spans="1:10" x14ac:dyDescent="0.3">
      <c r="A1359" s="7">
        <v>44910.388888887792</v>
      </c>
      <c r="B1359" s="8" t="s">
        <v>7</v>
      </c>
      <c r="C1359" s="8">
        <v>0</v>
      </c>
      <c r="D1359" t="str">
        <f t="shared" si="86"/>
        <v>Thursday</v>
      </c>
      <c r="E1359">
        <v>51</v>
      </c>
      <c r="F1359" s="11">
        <f>VLOOKUP(B1359,'ITEMS LIST'!$B$2:$F$19,4,FALSE)</f>
        <v>680</v>
      </c>
      <c r="G1359" s="11">
        <f>VLOOKUP(B1359,'ITEMS LIST'!$B$2:$F$19,5,FALSE)</f>
        <v>570</v>
      </c>
      <c r="H1359" s="11">
        <f t="shared" si="84"/>
        <v>0</v>
      </c>
      <c r="I1359" s="11">
        <f t="shared" si="85"/>
        <v>0</v>
      </c>
      <c r="J1359" s="11">
        <f t="shared" si="87"/>
        <v>0</v>
      </c>
    </row>
    <row r="1360" spans="1:10" x14ac:dyDescent="0.3">
      <c r="A1360" s="7">
        <v>44910.444444443347</v>
      </c>
      <c r="B1360" s="8" t="s">
        <v>8</v>
      </c>
      <c r="C1360" s="8">
        <v>0</v>
      </c>
      <c r="D1360" t="str">
        <f t="shared" si="86"/>
        <v>Thursday</v>
      </c>
      <c r="E1360">
        <v>51</v>
      </c>
      <c r="F1360" s="11">
        <f>VLOOKUP(B1360,'ITEMS LIST'!$B$2:$F$19,4,FALSE)</f>
        <v>199</v>
      </c>
      <c r="G1360" s="11">
        <f>VLOOKUP(B1360,'ITEMS LIST'!$B$2:$F$19,5,FALSE)</f>
        <v>140</v>
      </c>
      <c r="H1360" s="11">
        <f t="shared" si="84"/>
        <v>0</v>
      </c>
      <c r="I1360" s="11">
        <f t="shared" si="85"/>
        <v>0</v>
      </c>
      <c r="J1360" s="11">
        <f t="shared" si="87"/>
        <v>0</v>
      </c>
    </row>
    <row r="1361" spans="1:10" x14ac:dyDescent="0.3">
      <c r="A1361" s="7">
        <v>44910.499999998901</v>
      </c>
      <c r="B1361" s="8" t="s">
        <v>9</v>
      </c>
      <c r="C1361" s="8">
        <v>0</v>
      </c>
      <c r="D1361" t="str">
        <f t="shared" si="86"/>
        <v>Thursday</v>
      </c>
      <c r="E1361">
        <v>51</v>
      </c>
      <c r="F1361" s="11">
        <f>VLOOKUP(B1361,'ITEMS LIST'!$B$2:$F$19,4,FALSE)</f>
        <v>219</v>
      </c>
      <c r="G1361" s="11">
        <f>VLOOKUP(B1361,'ITEMS LIST'!$B$2:$F$19,5,FALSE)</f>
        <v>132</v>
      </c>
      <c r="H1361" s="11">
        <f t="shared" si="84"/>
        <v>0</v>
      </c>
      <c r="I1361" s="11">
        <f t="shared" si="85"/>
        <v>0</v>
      </c>
      <c r="J1361" s="11">
        <f t="shared" si="87"/>
        <v>0</v>
      </c>
    </row>
    <row r="1362" spans="1:10" x14ac:dyDescent="0.3">
      <c r="A1362" s="7">
        <v>44910.555555554456</v>
      </c>
      <c r="B1362" s="8" t="s">
        <v>10</v>
      </c>
      <c r="C1362" s="8">
        <v>0</v>
      </c>
      <c r="D1362" t="str">
        <f t="shared" si="86"/>
        <v>Thursday</v>
      </c>
      <c r="E1362">
        <v>51</v>
      </c>
      <c r="F1362" s="11">
        <f>VLOOKUP(B1362,'ITEMS LIST'!$B$2:$F$19,4,FALSE)</f>
        <v>1469</v>
      </c>
      <c r="G1362" s="11">
        <f>VLOOKUP(B1362,'ITEMS LIST'!$B$2:$F$19,5,FALSE)</f>
        <v>1184</v>
      </c>
      <c r="H1362" s="11">
        <f t="shared" si="84"/>
        <v>0</v>
      </c>
      <c r="I1362" s="11">
        <f t="shared" si="85"/>
        <v>0</v>
      </c>
      <c r="J1362" s="11">
        <f t="shared" si="87"/>
        <v>0</v>
      </c>
    </row>
    <row r="1363" spans="1:10" x14ac:dyDescent="0.3">
      <c r="A1363" s="7">
        <v>44910.611111110011</v>
      </c>
      <c r="B1363" s="8" t="s">
        <v>11</v>
      </c>
      <c r="C1363" s="8">
        <v>0</v>
      </c>
      <c r="D1363" t="str">
        <f t="shared" si="86"/>
        <v>Thursday</v>
      </c>
      <c r="E1363">
        <v>51</v>
      </c>
      <c r="F1363" s="11">
        <f>VLOOKUP(B1363,'ITEMS LIST'!$B$2:$F$19,4,FALSE)</f>
        <v>89</v>
      </c>
      <c r="G1363" s="11">
        <f>VLOOKUP(B1363,'ITEMS LIST'!$B$2:$F$19,5,FALSE)</f>
        <v>59</v>
      </c>
      <c r="H1363" s="11">
        <f t="shared" si="84"/>
        <v>0</v>
      </c>
      <c r="I1363" s="11">
        <f t="shared" si="85"/>
        <v>0</v>
      </c>
      <c r="J1363" s="11">
        <f t="shared" si="87"/>
        <v>0</v>
      </c>
    </row>
    <row r="1364" spans="1:10" x14ac:dyDescent="0.3">
      <c r="A1364" s="7">
        <v>44910.666666665566</v>
      </c>
      <c r="B1364" s="8" t="s">
        <v>12</v>
      </c>
      <c r="C1364" s="8">
        <v>0</v>
      </c>
      <c r="D1364" t="str">
        <f t="shared" si="86"/>
        <v>Thursday</v>
      </c>
      <c r="E1364">
        <v>51</v>
      </c>
      <c r="F1364" s="11">
        <f>VLOOKUP(B1364,'ITEMS LIST'!$B$2:$F$19,4,FALSE)</f>
        <v>310</v>
      </c>
      <c r="G1364" s="11">
        <f>VLOOKUP(B1364,'ITEMS LIST'!$B$2:$F$19,5,FALSE)</f>
        <v>206</v>
      </c>
      <c r="H1364" s="11">
        <f t="shared" si="84"/>
        <v>0</v>
      </c>
      <c r="I1364" s="11">
        <f t="shared" si="85"/>
        <v>0</v>
      </c>
      <c r="J1364" s="11">
        <f t="shared" si="87"/>
        <v>0</v>
      </c>
    </row>
    <row r="1365" spans="1:10" x14ac:dyDescent="0.3">
      <c r="A1365" s="7">
        <v>44910.72222222112</v>
      </c>
      <c r="B1365" s="8" t="s">
        <v>13</v>
      </c>
      <c r="C1365" s="8">
        <v>0</v>
      </c>
      <c r="D1365" t="str">
        <f t="shared" si="86"/>
        <v>Thursday</v>
      </c>
      <c r="E1365">
        <v>51</v>
      </c>
      <c r="F1365" s="11">
        <f>VLOOKUP(B1365,'ITEMS LIST'!$B$2:$F$19,4,FALSE)</f>
        <v>540</v>
      </c>
      <c r="G1365" s="11">
        <f>VLOOKUP(B1365,'ITEMS LIST'!$B$2:$F$19,5,FALSE)</f>
        <v>397</v>
      </c>
      <c r="H1365" s="11">
        <f t="shared" si="84"/>
        <v>0</v>
      </c>
      <c r="I1365" s="11">
        <f t="shared" si="85"/>
        <v>0</v>
      </c>
      <c r="J1365" s="11">
        <f t="shared" si="87"/>
        <v>0</v>
      </c>
    </row>
    <row r="1366" spans="1:10" x14ac:dyDescent="0.3">
      <c r="A1366" s="7">
        <v>44910.777777776675</v>
      </c>
      <c r="B1366" s="8" t="s">
        <v>14</v>
      </c>
      <c r="C1366" s="8">
        <v>0</v>
      </c>
      <c r="D1366" t="str">
        <f t="shared" si="86"/>
        <v>Thursday</v>
      </c>
      <c r="E1366">
        <v>51</v>
      </c>
      <c r="F1366" s="11">
        <f>VLOOKUP(B1366,'ITEMS LIST'!$B$2:$F$19,4,FALSE)</f>
        <v>360</v>
      </c>
      <c r="G1366" s="11">
        <f>VLOOKUP(B1366,'ITEMS LIST'!$B$2:$F$19,5,FALSE)</f>
        <v>248</v>
      </c>
      <c r="H1366" s="11">
        <f t="shared" si="84"/>
        <v>0</v>
      </c>
      <c r="I1366" s="11">
        <f t="shared" si="85"/>
        <v>0</v>
      </c>
      <c r="J1366" s="11">
        <f t="shared" si="87"/>
        <v>0</v>
      </c>
    </row>
    <row r="1367" spans="1:10" x14ac:dyDescent="0.3">
      <c r="A1367" s="7">
        <v>44910.83333333223</v>
      </c>
      <c r="B1367" s="8" t="s">
        <v>15</v>
      </c>
      <c r="C1367" s="8">
        <v>0</v>
      </c>
      <c r="D1367" t="str">
        <f t="shared" si="86"/>
        <v>Thursday</v>
      </c>
      <c r="E1367">
        <v>51</v>
      </c>
      <c r="F1367" s="11">
        <f>VLOOKUP(B1367,'ITEMS LIST'!$B$2:$F$19,4,FALSE)</f>
        <v>250</v>
      </c>
      <c r="G1367" s="11">
        <f>VLOOKUP(B1367,'ITEMS LIST'!$B$2:$F$19,5,FALSE)</f>
        <v>190</v>
      </c>
      <c r="H1367" s="11">
        <f t="shared" si="84"/>
        <v>0</v>
      </c>
      <c r="I1367" s="11">
        <f t="shared" si="85"/>
        <v>0</v>
      </c>
      <c r="J1367" s="11">
        <f t="shared" si="87"/>
        <v>0</v>
      </c>
    </row>
    <row r="1368" spans="1:10" x14ac:dyDescent="0.3">
      <c r="A1368" s="7">
        <v>44910.888888887785</v>
      </c>
      <c r="B1368" s="8" t="s">
        <v>16</v>
      </c>
      <c r="C1368" s="8">
        <v>0</v>
      </c>
      <c r="D1368" t="str">
        <f t="shared" si="86"/>
        <v>Thursday</v>
      </c>
      <c r="E1368">
        <v>51</v>
      </c>
      <c r="F1368" s="11">
        <f>VLOOKUP(B1368,'ITEMS LIST'!$B$2:$F$19,4,FALSE)</f>
        <v>120</v>
      </c>
      <c r="G1368" s="11">
        <f>VLOOKUP(B1368,'ITEMS LIST'!$B$2:$F$19,5,FALSE)</f>
        <v>85</v>
      </c>
      <c r="H1368" s="11">
        <f t="shared" si="84"/>
        <v>0</v>
      </c>
      <c r="I1368" s="11">
        <f t="shared" si="85"/>
        <v>0</v>
      </c>
      <c r="J1368" s="11">
        <f t="shared" si="87"/>
        <v>0</v>
      </c>
    </row>
    <row r="1369" spans="1:10" x14ac:dyDescent="0.3">
      <c r="A1369" s="7">
        <v>44910.944444443339</v>
      </c>
      <c r="B1369" s="8" t="s">
        <v>17</v>
      </c>
      <c r="C1369" s="8">
        <v>0</v>
      </c>
      <c r="D1369" t="str">
        <f t="shared" si="86"/>
        <v>Thursday</v>
      </c>
      <c r="E1369">
        <v>51</v>
      </c>
      <c r="F1369" s="11">
        <f>VLOOKUP(B1369,'ITEMS LIST'!$B$2:$F$19,4,FALSE)</f>
        <v>80</v>
      </c>
      <c r="G1369" s="11">
        <f>VLOOKUP(B1369,'ITEMS LIST'!$B$2:$F$19,5,FALSE)</f>
        <v>55</v>
      </c>
      <c r="H1369" s="11">
        <f t="shared" si="84"/>
        <v>0</v>
      </c>
      <c r="I1369" s="11">
        <f t="shared" si="85"/>
        <v>0</v>
      </c>
      <c r="J1369" s="11">
        <f t="shared" si="87"/>
        <v>0</v>
      </c>
    </row>
    <row r="1370" spans="1:10" x14ac:dyDescent="0.3">
      <c r="A1370" s="7">
        <v>44910.999999998894</v>
      </c>
      <c r="B1370" s="8" t="s">
        <v>0</v>
      </c>
      <c r="C1370" s="8">
        <v>1</v>
      </c>
      <c r="D1370" t="str">
        <f t="shared" si="86"/>
        <v>Friday</v>
      </c>
      <c r="E1370">
        <v>51</v>
      </c>
      <c r="F1370" s="11">
        <f>VLOOKUP(B1370,'ITEMS LIST'!$B$2:$F$19,4,FALSE)</f>
        <v>549</v>
      </c>
      <c r="G1370" s="11">
        <f>VLOOKUP(B1370,'ITEMS LIST'!$B$2:$F$19,5,FALSE)</f>
        <v>365</v>
      </c>
      <c r="H1370" s="11">
        <f t="shared" si="84"/>
        <v>549</v>
      </c>
      <c r="I1370" s="11">
        <f t="shared" si="85"/>
        <v>365</v>
      </c>
      <c r="J1370" s="11">
        <f t="shared" si="87"/>
        <v>184</v>
      </c>
    </row>
    <row r="1371" spans="1:10" x14ac:dyDescent="0.3">
      <c r="A1371" s="7">
        <v>44911.055555554449</v>
      </c>
      <c r="B1371" s="8" t="s">
        <v>1</v>
      </c>
      <c r="C1371" s="8">
        <v>3</v>
      </c>
      <c r="D1371" t="str">
        <f t="shared" si="86"/>
        <v>Friday</v>
      </c>
      <c r="E1371">
        <v>51</v>
      </c>
      <c r="F1371" s="11">
        <f>VLOOKUP(B1371,'ITEMS LIST'!$B$2:$F$19,4,FALSE)</f>
        <v>699</v>
      </c>
      <c r="G1371" s="11">
        <f>VLOOKUP(B1371,'ITEMS LIST'!$B$2:$F$19,5,FALSE)</f>
        <v>550</v>
      </c>
      <c r="H1371" s="11">
        <f t="shared" si="84"/>
        <v>2097</v>
      </c>
      <c r="I1371" s="11">
        <f t="shared" si="85"/>
        <v>1650</v>
      </c>
      <c r="J1371" s="11">
        <f t="shared" si="87"/>
        <v>447</v>
      </c>
    </row>
    <row r="1372" spans="1:10" x14ac:dyDescent="0.3">
      <c r="A1372" s="7">
        <v>44911.111111110004</v>
      </c>
      <c r="B1372" s="8" t="s">
        <v>2</v>
      </c>
      <c r="C1372" s="8">
        <v>2</v>
      </c>
      <c r="D1372" t="str">
        <f t="shared" si="86"/>
        <v>Friday</v>
      </c>
      <c r="E1372">
        <v>51</v>
      </c>
      <c r="F1372" s="11">
        <f>VLOOKUP(B1372,'ITEMS LIST'!$B$2:$F$19,4,FALSE)</f>
        <v>739</v>
      </c>
      <c r="G1372" s="11">
        <f>VLOOKUP(B1372,'ITEMS LIST'!$B$2:$F$19,5,FALSE)</f>
        <v>620</v>
      </c>
      <c r="H1372" s="11">
        <f t="shared" si="84"/>
        <v>1478</v>
      </c>
      <c r="I1372" s="11">
        <f t="shared" si="85"/>
        <v>1240</v>
      </c>
      <c r="J1372" s="11">
        <f t="shared" si="87"/>
        <v>238</v>
      </c>
    </row>
    <row r="1373" spans="1:10" x14ac:dyDescent="0.3">
      <c r="A1373" s="7">
        <v>44911.166666665558</v>
      </c>
      <c r="B1373" s="8" t="s">
        <v>3</v>
      </c>
      <c r="C1373" s="8">
        <v>0</v>
      </c>
      <c r="D1373" t="str">
        <f t="shared" si="86"/>
        <v>Friday</v>
      </c>
      <c r="E1373">
        <v>51</v>
      </c>
      <c r="F1373" s="11">
        <f>VLOOKUP(B1373,'ITEMS LIST'!$B$2:$F$19,4,FALSE)</f>
        <v>899</v>
      </c>
      <c r="G1373" s="11">
        <f>VLOOKUP(B1373,'ITEMS LIST'!$B$2:$F$19,5,FALSE)</f>
        <v>714</v>
      </c>
      <c r="H1373" s="11">
        <f t="shared" si="84"/>
        <v>0</v>
      </c>
      <c r="I1373" s="11">
        <f t="shared" si="85"/>
        <v>0</v>
      </c>
      <c r="J1373" s="11">
        <f t="shared" si="87"/>
        <v>0</v>
      </c>
    </row>
    <row r="1374" spans="1:10" x14ac:dyDescent="0.3">
      <c r="A1374" s="7">
        <v>44911.222222221113</v>
      </c>
      <c r="B1374" s="8" t="s">
        <v>4</v>
      </c>
      <c r="C1374" s="8">
        <v>1</v>
      </c>
      <c r="D1374" t="str">
        <f t="shared" si="86"/>
        <v>Friday</v>
      </c>
      <c r="E1374">
        <v>51</v>
      </c>
      <c r="F1374" s="11">
        <f>VLOOKUP(B1374,'ITEMS LIST'!$B$2:$F$19,4,FALSE)</f>
        <v>1379</v>
      </c>
      <c r="G1374" s="11">
        <f>VLOOKUP(B1374,'ITEMS LIST'!$B$2:$F$19,5,FALSE)</f>
        <v>890</v>
      </c>
      <c r="H1374" s="11">
        <f t="shared" si="84"/>
        <v>1379</v>
      </c>
      <c r="I1374" s="11">
        <f t="shared" si="85"/>
        <v>890</v>
      </c>
      <c r="J1374" s="11">
        <f t="shared" si="87"/>
        <v>489</v>
      </c>
    </row>
    <row r="1375" spans="1:10" x14ac:dyDescent="0.3">
      <c r="A1375" s="7">
        <v>44911.277777776668</v>
      </c>
      <c r="B1375" s="8" t="s">
        <v>5</v>
      </c>
      <c r="C1375" s="8">
        <v>0</v>
      </c>
      <c r="D1375" t="str">
        <f t="shared" si="86"/>
        <v>Friday</v>
      </c>
      <c r="E1375">
        <v>51</v>
      </c>
      <c r="F1375" s="11">
        <f>VLOOKUP(B1375,'ITEMS LIST'!$B$2:$F$19,4,FALSE)</f>
        <v>849</v>
      </c>
      <c r="G1375" s="11">
        <f>VLOOKUP(B1375,'ITEMS LIST'!$B$2:$F$19,5,FALSE)</f>
        <v>530</v>
      </c>
      <c r="H1375" s="11">
        <f t="shared" si="84"/>
        <v>0</v>
      </c>
      <c r="I1375" s="11">
        <f t="shared" si="85"/>
        <v>0</v>
      </c>
      <c r="J1375" s="11">
        <f t="shared" si="87"/>
        <v>0</v>
      </c>
    </row>
    <row r="1376" spans="1:10" x14ac:dyDescent="0.3">
      <c r="A1376" s="7">
        <v>44911.333333332223</v>
      </c>
      <c r="B1376" s="8" t="s">
        <v>6</v>
      </c>
      <c r="C1376" s="8">
        <v>0</v>
      </c>
      <c r="D1376" t="str">
        <f t="shared" si="86"/>
        <v>Friday</v>
      </c>
      <c r="E1376">
        <v>51</v>
      </c>
      <c r="F1376" s="11">
        <f>VLOOKUP(B1376,'ITEMS LIST'!$B$2:$F$19,4,FALSE)</f>
        <v>1000</v>
      </c>
      <c r="G1376" s="11">
        <f>VLOOKUP(B1376,'ITEMS LIST'!$B$2:$F$19,5,FALSE)</f>
        <v>768</v>
      </c>
      <c r="H1376" s="11">
        <f t="shared" si="84"/>
        <v>0</v>
      </c>
      <c r="I1376" s="11">
        <f t="shared" si="85"/>
        <v>0</v>
      </c>
      <c r="J1376" s="11">
        <f t="shared" si="87"/>
        <v>0</v>
      </c>
    </row>
    <row r="1377" spans="1:10" x14ac:dyDescent="0.3">
      <c r="A1377" s="7">
        <v>44911.388888887777</v>
      </c>
      <c r="B1377" s="8" t="s">
        <v>7</v>
      </c>
      <c r="C1377" s="8">
        <v>0</v>
      </c>
      <c r="D1377" t="str">
        <f t="shared" si="86"/>
        <v>Friday</v>
      </c>
      <c r="E1377">
        <v>51</v>
      </c>
      <c r="F1377" s="11">
        <f>VLOOKUP(B1377,'ITEMS LIST'!$B$2:$F$19,4,FALSE)</f>
        <v>680</v>
      </c>
      <c r="G1377" s="11">
        <f>VLOOKUP(B1377,'ITEMS LIST'!$B$2:$F$19,5,FALSE)</f>
        <v>570</v>
      </c>
      <c r="H1377" s="11">
        <f t="shared" si="84"/>
        <v>0</v>
      </c>
      <c r="I1377" s="11">
        <f t="shared" si="85"/>
        <v>0</v>
      </c>
      <c r="J1377" s="11">
        <f t="shared" si="87"/>
        <v>0</v>
      </c>
    </row>
    <row r="1378" spans="1:10" x14ac:dyDescent="0.3">
      <c r="A1378" s="7">
        <v>44911.444444443332</v>
      </c>
      <c r="B1378" s="8" t="s">
        <v>8</v>
      </c>
      <c r="C1378" s="8">
        <v>0</v>
      </c>
      <c r="D1378" t="str">
        <f t="shared" si="86"/>
        <v>Friday</v>
      </c>
      <c r="E1378">
        <v>51</v>
      </c>
      <c r="F1378" s="11">
        <f>VLOOKUP(B1378,'ITEMS LIST'!$B$2:$F$19,4,FALSE)</f>
        <v>199</v>
      </c>
      <c r="G1378" s="11">
        <f>VLOOKUP(B1378,'ITEMS LIST'!$B$2:$F$19,5,FALSE)</f>
        <v>140</v>
      </c>
      <c r="H1378" s="11">
        <f t="shared" si="84"/>
        <v>0</v>
      </c>
      <c r="I1378" s="11">
        <f t="shared" si="85"/>
        <v>0</v>
      </c>
      <c r="J1378" s="11">
        <f t="shared" si="87"/>
        <v>0</v>
      </c>
    </row>
    <row r="1379" spans="1:10" x14ac:dyDescent="0.3">
      <c r="A1379" s="7">
        <v>44911.499999998887</v>
      </c>
      <c r="B1379" s="8" t="s">
        <v>9</v>
      </c>
      <c r="C1379" s="8">
        <v>0</v>
      </c>
      <c r="D1379" t="str">
        <f t="shared" si="86"/>
        <v>Friday</v>
      </c>
      <c r="E1379">
        <v>51</v>
      </c>
      <c r="F1379" s="11">
        <f>VLOOKUP(B1379,'ITEMS LIST'!$B$2:$F$19,4,FALSE)</f>
        <v>219</v>
      </c>
      <c r="G1379" s="11">
        <f>VLOOKUP(B1379,'ITEMS LIST'!$B$2:$F$19,5,FALSE)</f>
        <v>132</v>
      </c>
      <c r="H1379" s="11">
        <f t="shared" si="84"/>
        <v>0</v>
      </c>
      <c r="I1379" s="11">
        <f t="shared" si="85"/>
        <v>0</v>
      </c>
      <c r="J1379" s="11">
        <f t="shared" si="87"/>
        <v>0</v>
      </c>
    </row>
    <row r="1380" spans="1:10" x14ac:dyDescent="0.3">
      <c r="A1380" s="7">
        <v>44911.555555554442</v>
      </c>
      <c r="B1380" s="8" t="s">
        <v>10</v>
      </c>
      <c r="C1380" s="8">
        <v>4</v>
      </c>
      <c r="D1380" t="str">
        <f t="shared" si="86"/>
        <v>Friday</v>
      </c>
      <c r="E1380">
        <v>51</v>
      </c>
      <c r="F1380" s="11">
        <f>VLOOKUP(B1380,'ITEMS LIST'!$B$2:$F$19,4,FALSE)</f>
        <v>1469</v>
      </c>
      <c r="G1380" s="11">
        <f>VLOOKUP(B1380,'ITEMS LIST'!$B$2:$F$19,5,FALSE)</f>
        <v>1184</v>
      </c>
      <c r="H1380" s="11">
        <f t="shared" si="84"/>
        <v>5876</v>
      </c>
      <c r="I1380" s="11">
        <f t="shared" si="85"/>
        <v>4736</v>
      </c>
      <c r="J1380" s="11">
        <f t="shared" si="87"/>
        <v>1140</v>
      </c>
    </row>
    <row r="1381" spans="1:10" x14ac:dyDescent="0.3">
      <c r="A1381" s="7">
        <v>44911.611111109996</v>
      </c>
      <c r="B1381" s="8" t="s">
        <v>11</v>
      </c>
      <c r="C1381" s="8">
        <v>0</v>
      </c>
      <c r="D1381" t="str">
        <f t="shared" si="86"/>
        <v>Friday</v>
      </c>
      <c r="E1381">
        <v>51</v>
      </c>
      <c r="F1381" s="11">
        <f>VLOOKUP(B1381,'ITEMS LIST'!$B$2:$F$19,4,FALSE)</f>
        <v>89</v>
      </c>
      <c r="G1381" s="11">
        <f>VLOOKUP(B1381,'ITEMS LIST'!$B$2:$F$19,5,FALSE)</f>
        <v>59</v>
      </c>
      <c r="H1381" s="11">
        <f t="shared" si="84"/>
        <v>0</v>
      </c>
      <c r="I1381" s="11">
        <f t="shared" si="85"/>
        <v>0</v>
      </c>
      <c r="J1381" s="11">
        <f t="shared" si="87"/>
        <v>0</v>
      </c>
    </row>
    <row r="1382" spans="1:10" x14ac:dyDescent="0.3">
      <c r="A1382" s="7">
        <v>44911.666666665551</v>
      </c>
      <c r="B1382" s="8" t="s">
        <v>12</v>
      </c>
      <c r="C1382" s="8">
        <v>0</v>
      </c>
      <c r="D1382" t="str">
        <f t="shared" si="86"/>
        <v>Friday</v>
      </c>
      <c r="E1382">
        <v>51</v>
      </c>
      <c r="F1382" s="11">
        <f>VLOOKUP(B1382,'ITEMS LIST'!$B$2:$F$19,4,FALSE)</f>
        <v>310</v>
      </c>
      <c r="G1382" s="11">
        <f>VLOOKUP(B1382,'ITEMS LIST'!$B$2:$F$19,5,FALSE)</f>
        <v>206</v>
      </c>
      <c r="H1382" s="11">
        <f t="shared" si="84"/>
        <v>0</v>
      </c>
      <c r="I1382" s="11">
        <f t="shared" si="85"/>
        <v>0</v>
      </c>
      <c r="J1382" s="11">
        <f t="shared" si="87"/>
        <v>0</v>
      </c>
    </row>
    <row r="1383" spans="1:10" x14ac:dyDescent="0.3">
      <c r="A1383" s="7">
        <v>44911.722222221106</v>
      </c>
      <c r="B1383" s="8" t="s">
        <v>13</v>
      </c>
      <c r="C1383" s="8">
        <v>0</v>
      </c>
      <c r="D1383" t="str">
        <f t="shared" si="86"/>
        <v>Friday</v>
      </c>
      <c r="E1383">
        <v>51</v>
      </c>
      <c r="F1383" s="11">
        <f>VLOOKUP(B1383,'ITEMS LIST'!$B$2:$F$19,4,FALSE)</f>
        <v>540</v>
      </c>
      <c r="G1383" s="11">
        <f>VLOOKUP(B1383,'ITEMS LIST'!$B$2:$F$19,5,FALSE)</f>
        <v>397</v>
      </c>
      <c r="H1383" s="11">
        <f t="shared" si="84"/>
        <v>0</v>
      </c>
      <c r="I1383" s="11">
        <f t="shared" si="85"/>
        <v>0</v>
      </c>
      <c r="J1383" s="11">
        <f t="shared" si="87"/>
        <v>0</v>
      </c>
    </row>
    <row r="1384" spans="1:10" x14ac:dyDescent="0.3">
      <c r="A1384" s="7">
        <v>44911.777777776661</v>
      </c>
      <c r="B1384" s="8" t="s">
        <v>14</v>
      </c>
      <c r="C1384" s="8">
        <v>0</v>
      </c>
      <c r="D1384" t="str">
        <f t="shared" si="86"/>
        <v>Friday</v>
      </c>
      <c r="E1384">
        <v>51</v>
      </c>
      <c r="F1384" s="11">
        <f>VLOOKUP(B1384,'ITEMS LIST'!$B$2:$F$19,4,FALSE)</f>
        <v>360</v>
      </c>
      <c r="G1384" s="11">
        <f>VLOOKUP(B1384,'ITEMS LIST'!$B$2:$F$19,5,FALSE)</f>
        <v>248</v>
      </c>
      <c r="H1384" s="11">
        <f t="shared" si="84"/>
        <v>0</v>
      </c>
      <c r="I1384" s="11">
        <f t="shared" si="85"/>
        <v>0</v>
      </c>
      <c r="J1384" s="11">
        <f t="shared" si="87"/>
        <v>0</v>
      </c>
    </row>
    <row r="1385" spans="1:10" x14ac:dyDescent="0.3">
      <c r="A1385" s="7">
        <v>44911.833333332215</v>
      </c>
      <c r="B1385" s="8" t="s">
        <v>15</v>
      </c>
      <c r="C1385" s="8">
        <v>0</v>
      </c>
      <c r="D1385" t="str">
        <f t="shared" si="86"/>
        <v>Friday</v>
      </c>
      <c r="E1385">
        <v>51</v>
      </c>
      <c r="F1385" s="11">
        <f>VLOOKUP(B1385,'ITEMS LIST'!$B$2:$F$19,4,FALSE)</f>
        <v>250</v>
      </c>
      <c r="G1385" s="11">
        <f>VLOOKUP(B1385,'ITEMS LIST'!$B$2:$F$19,5,FALSE)</f>
        <v>190</v>
      </c>
      <c r="H1385" s="11">
        <f t="shared" si="84"/>
        <v>0</v>
      </c>
      <c r="I1385" s="11">
        <f t="shared" si="85"/>
        <v>0</v>
      </c>
      <c r="J1385" s="11">
        <f t="shared" si="87"/>
        <v>0</v>
      </c>
    </row>
    <row r="1386" spans="1:10" x14ac:dyDescent="0.3">
      <c r="A1386" s="7">
        <v>44911.88888888777</v>
      </c>
      <c r="B1386" s="8" t="s">
        <v>16</v>
      </c>
      <c r="C1386" s="8">
        <v>0</v>
      </c>
      <c r="D1386" t="str">
        <f t="shared" si="86"/>
        <v>Friday</v>
      </c>
      <c r="E1386">
        <v>51</v>
      </c>
      <c r="F1386" s="11">
        <f>VLOOKUP(B1386,'ITEMS LIST'!$B$2:$F$19,4,FALSE)</f>
        <v>120</v>
      </c>
      <c r="G1386" s="11">
        <f>VLOOKUP(B1386,'ITEMS LIST'!$B$2:$F$19,5,FALSE)</f>
        <v>85</v>
      </c>
      <c r="H1386" s="11">
        <f t="shared" si="84"/>
        <v>0</v>
      </c>
      <c r="I1386" s="11">
        <f t="shared" si="85"/>
        <v>0</v>
      </c>
      <c r="J1386" s="11">
        <f t="shared" si="87"/>
        <v>0</v>
      </c>
    </row>
    <row r="1387" spans="1:10" x14ac:dyDescent="0.3">
      <c r="A1387" s="7">
        <v>44911.944444443325</v>
      </c>
      <c r="B1387" s="8" t="s">
        <v>17</v>
      </c>
      <c r="C1387" s="8">
        <v>0</v>
      </c>
      <c r="D1387" t="str">
        <f t="shared" si="86"/>
        <v>Friday</v>
      </c>
      <c r="E1387">
        <v>51</v>
      </c>
      <c r="F1387" s="11">
        <f>VLOOKUP(B1387,'ITEMS LIST'!$B$2:$F$19,4,FALSE)</f>
        <v>80</v>
      </c>
      <c r="G1387" s="11">
        <f>VLOOKUP(B1387,'ITEMS LIST'!$B$2:$F$19,5,FALSE)</f>
        <v>55</v>
      </c>
      <c r="H1387" s="11">
        <f t="shared" si="84"/>
        <v>0</v>
      </c>
      <c r="I1387" s="11">
        <f t="shared" si="85"/>
        <v>0</v>
      </c>
      <c r="J1387" s="11">
        <f t="shared" si="87"/>
        <v>0</v>
      </c>
    </row>
    <row r="1388" spans="1:10" x14ac:dyDescent="0.3">
      <c r="A1388" s="7">
        <v>44911.99999999888</v>
      </c>
      <c r="B1388" s="8" t="s">
        <v>0</v>
      </c>
      <c r="C1388" s="8">
        <v>0</v>
      </c>
      <c r="D1388" t="str">
        <f t="shared" si="86"/>
        <v>Saturday</v>
      </c>
      <c r="E1388">
        <v>51</v>
      </c>
      <c r="F1388" s="11">
        <f>VLOOKUP(B1388,'ITEMS LIST'!$B$2:$F$19,4,FALSE)</f>
        <v>549</v>
      </c>
      <c r="G1388" s="11">
        <f>VLOOKUP(B1388,'ITEMS LIST'!$B$2:$F$19,5,FALSE)</f>
        <v>365</v>
      </c>
      <c r="H1388" s="11">
        <f t="shared" si="84"/>
        <v>0</v>
      </c>
      <c r="I1388" s="11">
        <f t="shared" si="85"/>
        <v>0</v>
      </c>
      <c r="J1388" s="11">
        <f t="shared" si="87"/>
        <v>0</v>
      </c>
    </row>
    <row r="1389" spans="1:10" x14ac:dyDescent="0.3">
      <c r="A1389" s="7">
        <v>44912.055555554434</v>
      </c>
      <c r="B1389" s="8" t="s">
        <v>1</v>
      </c>
      <c r="C1389" s="8">
        <v>0</v>
      </c>
      <c r="D1389" t="str">
        <f t="shared" si="86"/>
        <v>Saturday</v>
      </c>
      <c r="E1389">
        <v>51</v>
      </c>
      <c r="F1389" s="11">
        <f>VLOOKUP(B1389,'ITEMS LIST'!$B$2:$F$19,4,FALSE)</f>
        <v>699</v>
      </c>
      <c r="G1389" s="11">
        <f>VLOOKUP(B1389,'ITEMS LIST'!$B$2:$F$19,5,FALSE)</f>
        <v>550</v>
      </c>
      <c r="H1389" s="11">
        <f t="shared" si="84"/>
        <v>0</v>
      </c>
      <c r="I1389" s="11">
        <f t="shared" si="85"/>
        <v>0</v>
      </c>
      <c r="J1389" s="11">
        <f t="shared" si="87"/>
        <v>0</v>
      </c>
    </row>
    <row r="1390" spans="1:10" x14ac:dyDescent="0.3">
      <c r="A1390" s="7">
        <v>44912.111111109989</v>
      </c>
      <c r="B1390" s="8" t="s">
        <v>2</v>
      </c>
      <c r="C1390" s="8">
        <v>0</v>
      </c>
      <c r="D1390" t="str">
        <f t="shared" si="86"/>
        <v>Saturday</v>
      </c>
      <c r="E1390">
        <v>51</v>
      </c>
      <c r="F1390" s="11">
        <f>VLOOKUP(B1390,'ITEMS LIST'!$B$2:$F$19,4,FALSE)</f>
        <v>739</v>
      </c>
      <c r="G1390" s="11">
        <f>VLOOKUP(B1390,'ITEMS LIST'!$B$2:$F$19,5,FALSE)</f>
        <v>620</v>
      </c>
      <c r="H1390" s="11">
        <f t="shared" si="84"/>
        <v>0</v>
      </c>
      <c r="I1390" s="11">
        <f t="shared" si="85"/>
        <v>0</v>
      </c>
      <c r="J1390" s="11">
        <f t="shared" si="87"/>
        <v>0</v>
      </c>
    </row>
    <row r="1391" spans="1:10" x14ac:dyDescent="0.3">
      <c r="A1391" s="7">
        <v>44912.166666665544</v>
      </c>
      <c r="B1391" s="8" t="s">
        <v>3</v>
      </c>
      <c r="C1391" s="8">
        <v>0</v>
      </c>
      <c r="D1391" t="str">
        <f t="shared" si="86"/>
        <v>Saturday</v>
      </c>
      <c r="E1391">
        <v>51</v>
      </c>
      <c r="F1391" s="11">
        <f>VLOOKUP(B1391,'ITEMS LIST'!$B$2:$F$19,4,FALSE)</f>
        <v>899</v>
      </c>
      <c r="G1391" s="11">
        <f>VLOOKUP(B1391,'ITEMS LIST'!$B$2:$F$19,5,FALSE)</f>
        <v>714</v>
      </c>
      <c r="H1391" s="11">
        <f t="shared" si="84"/>
        <v>0</v>
      </c>
      <c r="I1391" s="11">
        <f t="shared" si="85"/>
        <v>0</v>
      </c>
      <c r="J1391" s="11">
        <f t="shared" si="87"/>
        <v>0</v>
      </c>
    </row>
    <row r="1392" spans="1:10" x14ac:dyDescent="0.3">
      <c r="A1392" s="7">
        <v>44912.222222221098</v>
      </c>
      <c r="B1392" s="8" t="s">
        <v>4</v>
      </c>
      <c r="C1392" s="8">
        <v>0</v>
      </c>
      <c r="D1392" t="str">
        <f t="shared" si="86"/>
        <v>Saturday</v>
      </c>
      <c r="E1392">
        <v>51</v>
      </c>
      <c r="F1392" s="11">
        <f>VLOOKUP(B1392,'ITEMS LIST'!$B$2:$F$19,4,FALSE)</f>
        <v>1379</v>
      </c>
      <c r="G1392" s="11">
        <f>VLOOKUP(B1392,'ITEMS LIST'!$B$2:$F$19,5,FALSE)</f>
        <v>890</v>
      </c>
      <c r="H1392" s="11">
        <f t="shared" si="84"/>
        <v>0</v>
      </c>
      <c r="I1392" s="11">
        <f t="shared" si="85"/>
        <v>0</v>
      </c>
      <c r="J1392" s="11">
        <f t="shared" si="87"/>
        <v>0</v>
      </c>
    </row>
    <row r="1393" spans="1:10" x14ac:dyDescent="0.3">
      <c r="A1393" s="7">
        <v>44912.277777776653</v>
      </c>
      <c r="B1393" s="8" t="s">
        <v>5</v>
      </c>
      <c r="C1393" s="8">
        <v>0</v>
      </c>
      <c r="D1393" t="str">
        <f t="shared" si="86"/>
        <v>Saturday</v>
      </c>
      <c r="E1393">
        <v>51</v>
      </c>
      <c r="F1393" s="11">
        <f>VLOOKUP(B1393,'ITEMS LIST'!$B$2:$F$19,4,FALSE)</f>
        <v>849</v>
      </c>
      <c r="G1393" s="11">
        <f>VLOOKUP(B1393,'ITEMS LIST'!$B$2:$F$19,5,FALSE)</f>
        <v>530</v>
      </c>
      <c r="H1393" s="11">
        <f t="shared" si="84"/>
        <v>0</v>
      </c>
      <c r="I1393" s="11">
        <f t="shared" si="85"/>
        <v>0</v>
      </c>
      <c r="J1393" s="11">
        <f t="shared" si="87"/>
        <v>0</v>
      </c>
    </row>
    <row r="1394" spans="1:10" x14ac:dyDescent="0.3">
      <c r="A1394" s="7">
        <v>44912.333333332208</v>
      </c>
      <c r="B1394" s="8" t="s">
        <v>6</v>
      </c>
      <c r="C1394" s="8">
        <v>0</v>
      </c>
      <c r="D1394" t="str">
        <f t="shared" si="86"/>
        <v>Saturday</v>
      </c>
      <c r="E1394">
        <v>51</v>
      </c>
      <c r="F1394" s="11">
        <f>VLOOKUP(B1394,'ITEMS LIST'!$B$2:$F$19,4,FALSE)</f>
        <v>1000</v>
      </c>
      <c r="G1394" s="11">
        <f>VLOOKUP(B1394,'ITEMS LIST'!$B$2:$F$19,5,FALSE)</f>
        <v>768</v>
      </c>
      <c r="H1394" s="11">
        <f t="shared" si="84"/>
        <v>0</v>
      </c>
      <c r="I1394" s="11">
        <f t="shared" si="85"/>
        <v>0</v>
      </c>
      <c r="J1394" s="11">
        <f t="shared" si="87"/>
        <v>0</v>
      </c>
    </row>
    <row r="1395" spans="1:10" x14ac:dyDescent="0.3">
      <c r="A1395" s="7">
        <v>44912.388888887763</v>
      </c>
      <c r="B1395" s="8" t="s">
        <v>7</v>
      </c>
      <c r="C1395" s="8">
        <v>0</v>
      </c>
      <c r="D1395" t="str">
        <f t="shared" si="86"/>
        <v>Saturday</v>
      </c>
      <c r="E1395">
        <v>51</v>
      </c>
      <c r="F1395" s="11">
        <f>VLOOKUP(B1395,'ITEMS LIST'!$B$2:$F$19,4,FALSE)</f>
        <v>680</v>
      </c>
      <c r="G1395" s="11">
        <f>VLOOKUP(B1395,'ITEMS LIST'!$B$2:$F$19,5,FALSE)</f>
        <v>570</v>
      </c>
      <c r="H1395" s="11">
        <f t="shared" si="84"/>
        <v>0</v>
      </c>
      <c r="I1395" s="11">
        <f t="shared" si="85"/>
        <v>0</v>
      </c>
      <c r="J1395" s="11">
        <f t="shared" si="87"/>
        <v>0</v>
      </c>
    </row>
    <row r="1396" spans="1:10" x14ac:dyDescent="0.3">
      <c r="A1396" s="7">
        <v>44912.444444443317</v>
      </c>
      <c r="B1396" s="8" t="s">
        <v>8</v>
      </c>
      <c r="C1396" s="8">
        <v>0</v>
      </c>
      <c r="D1396" t="str">
        <f t="shared" si="86"/>
        <v>Saturday</v>
      </c>
      <c r="E1396">
        <v>51</v>
      </c>
      <c r="F1396" s="11">
        <f>VLOOKUP(B1396,'ITEMS LIST'!$B$2:$F$19,4,FALSE)</f>
        <v>199</v>
      </c>
      <c r="G1396" s="11">
        <f>VLOOKUP(B1396,'ITEMS LIST'!$B$2:$F$19,5,FALSE)</f>
        <v>140</v>
      </c>
      <c r="H1396" s="11">
        <f t="shared" si="84"/>
        <v>0</v>
      </c>
      <c r="I1396" s="11">
        <f t="shared" si="85"/>
        <v>0</v>
      </c>
      <c r="J1396" s="11">
        <f t="shared" si="87"/>
        <v>0</v>
      </c>
    </row>
    <row r="1397" spans="1:10" x14ac:dyDescent="0.3">
      <c r="A1397" s="7">
        <v>44912.499999998872</v>
      </c>
      <c r="B1397" s="8" t="s">
        <v>9</v>
      </c>
      <c r="C1397" s="8">
        <v>0</v>
      </c>
      <c r="D1397" t="str">
        <f t="shared" si="86"/>
        <v>Saturday</v>
      </c>
      <c r="E1397">
        <v>51</v>
      </c>
      <c r="F1397" s="11">
        <f>VLOOKUP(B1397,'ITEMS LIST'!$B$2:$F$19,4,FALSE)</f>
        <v>219</v>
      </c>
      <c r="G1397" s="11">
        <f>VLOOKUP(B1397,'ITEMS LIST'!$B$2:$F$19,5,FALSE)</f>
        <v>132</v>
      </c>
      <c r="H1397" s="11">
        <f t="shared" si="84"/>
        <v>0</v>
      </c>
      <c r="I1397" s="11">
        <f t="shared" si="85"/>
        <v>0</v>
      </c>
      <c r="J1397" s="11">
        <f t="shared" si="87"/>
        <v>0</v>
      </c>
    </row>
    <row r="1398" spans="1:10" x14ac:dyDescent="0.3">
      <c r="A1398" s="7">
        <v>44912.555555554427</v>
      </c>
      <c r="B1398" s="8" t="s">
        <v>10</v>
      </c>
      <c r="C1398" s="8">
        <v>1</v>
      </c>
      <c r="D1398" t="str">
        <f t="shared" si="86"/>
        <v>Saturday</v>
      </c>
      <c r="E1398">
        <v>51</v>
      </c>
      <c r="F1398" s="11">
        <f>VLOOKUP(B1398,'ITEMS LIST'!$B$2:$F$19,4,FALSE)</f>
        <v>1469</v>
      </c>
      <c r="G1398" s="11">
        <f>VLOOKUP(B1398,'ITEMS LIST'!$B$2:$F$19,5,FALSE)</f>
        <v>1184</v>
      </c>
      <c r="H1398" s="11">
        <f t="shared" si="84"/>
        <v>1469</v>
      </c>
      <c r="I1398" s="11">
        <f t="shared" si="85"/>
        <v>1184</v>
      </c>
      <c r="J1398" s="11">
        <f t="shared" si="87"/>
        <v>285</v>
      </c>
    </row>
    <row r="1399" spans="1:10" x14ac:dyDescent="0.3">
      <c r="A1399" s="7">
        <v>44912.611111109982</v>
      </c>
      <c r="B1399" s="8" t="s">
        <v>11</v>
      </c>
      <c r="C1399" s="8">
        <v>0</v>
      </c>
      <c r="D1399" t="str">
        <f t="shared" si="86"/>
        <v>Saturday</v>
      </c>
      <c r="E1399">
        <v>51</v>
      </c>
      <c r="F1399" s="11">
        <f>VLOOKUP(B1399,'ITEMS LIST'!$B$2:$F$19,4,FALSE)</f>
        <v>89</v>
      </c>
      <c r="G1399" s="11">
        <f>VLOOKUP(B1399,'ITEMS LIST'!$B$2:$F$19,5,FALSE)</f>
        <v>59</v>
      </c>
      <c r="H1399" s="11">
        <f t="shared" si="84"/>
        <v>0</v>
      </c>
      <c r="I1399" s="11">
        <f t="shared" si="85"/>
        <v>0</v>
      </c>
      <c r="J1399" s="11">
        <f t="shared" si="87"/>
        <v>0</v>
      </c>
    </row>
    <row r="1400" spans="1:10" x14ac:dyDescent="0.3">
      <c r="A1400" s="7">
        <v>44912.666666665536</v>
      </c>
      <c r="B1400" s="8" t="s">
        <v>12</v>
      </c>
      <c r="C1400" s="8">
        <v>0</v>
      </c>
      <c r="D1400" t="str">
        <f t="shared" si="86"/>
        <v>Saturday</v>
      </c>
      <c r="E1400">
        <v>51</v>
      </c>
      <c r="F1400" s="11">
        <f>VLOOKUP(B1400,'ITEMS LIST'!$B$2:$F$19,4,FALSE)</f>
        <v>310</v>
      </c>
      <c r="G1400" s="11">
        <f>VLOOKUP(B1400,'ITEMS LIST'!$B$2:$F$19,5,FALSE)</f>
        <v>206</v>
      </c>
      <c r="H1400" s="11">
        <f t="shared" si="84"/>
        <v>0</v>
      </c>
      <c r="I1400" s="11">
        <f t="shared" si="85"/>
        <v>0</v>
      </c>
      <c r="J1400" s="11">
        <f t="shared" si="87"/>
        <v>0</v>
      </c>
    </row>
    <row r="1401" spans="1:10" x14ac:dyDescent="0.3">
      <c r="A1401" s="7">
        <v>44912.722222221091</v>
      </c>
      <c r="B1401" s="8" t="s">
        <v>13</v>
      </c>
      <c r="C1401" s="8">
        <v>0</v>
      </c>
      <c r="D1401" t="str">
        <f t="shared" si="86"/>
        <v>Saturday</v>
      </c>
      <c r="E1401">
        <v>51</v>
      </c>
      <c r="F1401" s="11">
        <f>VLOOKUP(B1401,'ITEMS LIST'!$B$2:$F$19,4,FALSE)</f>
        <v>540</v>
      </c>
      <c r="G1401" s="11">
        <f>VLOOKUP(B1401,'ITEMS LIST'!$B$2:$F$19,5,FALSE)</f>
        <v>397</v>
      </c>
      <c r="H1401" s="11">
        <f t="shared" si="84"/>
        <v>0</v>
      </c>
      <c r="I1401" s="11">
        <f t="shared" si="85"/>
        <v>0</v>
      </c>
      <c r="J1401" s="11">
        <f t="shared" si="87"/>
        <v>0</v>
      </c>
    </row>
    <row r="1402" spans="1:10" x14ac:dyDescent="0.3">
      <c r="A1402" s="7">
        <v>44912.777777776646</v>
      </c>
      <c r="B1402" s="8" t="s">
        <v>14</v>
      </c>
      <c r="C1402" s="8">
        <v>0</v>
      </c>
      <c r="D1402" t="str">
        <f t="shared" si="86"/>
        <v>Saturday</v>
      </c>
      <c r="E1402">
        <v>51</v>
      </c>
      <c r="F1402" s="11">
        <f>VLOOKUP(B1402,'ITEMS LIST'!$B$2:$F$19,4,FALSE)</f>
        <v>360</v>
      </c>
      <c r="G1402" s="11">
        <f>VLOOKUP(B1402,'ITEMS LIST'!$B$2:$F$19,5,FALSE)</f>
        <v>248</v>
      </c>
      <c r="H1402" s="11">
        <f t="shared" si="84"/>
        <v>0</v>
      </c>
      <c r="I1402" s="11">
        <f t="shared" si="85"/>
        <v>0</v>
      </c>
      <c r="J1402" s="11">
        <f t="shared" si="87"/>
        <v>0</v>
      </c>
    </row>
    <row r="1403" spans="1:10" x14ac:dyDescent="0.3">
      <c r="A1403" s="7">
        <v>44912.833333332201</v>
      </c>
      <c r="B1403" s="8" t="s">
        <v>15</v>
      </c>
      <c r="C1403" s="8">
        <v>0</v>
      </c>
      <c r="D1403" t="str">
        <f t="shared" si="86"/>
        <v>Saturday</v>
      </c>
      <c r="E1403">
        <v>51</v>
      </c>
      <c r="F1403" s="11">
        <f>VLOOKUP(B1403,'ITEMS LIST'!$B$2:$F$19,4,FALSE)</f>
        <v>250</v>
      </c>
      <c r="G1403" s="11">
        <f>VLOOKUP(B1403,'ITEMS LIST'!$B$2:$F$19,5,FALSE)</f>
        <v>190</v>
      </c>
      <c r="H1403" s="11">
        <f t="shared" si="84"/>
        <v>0</v>
      </c>
      <c r="I1403" s="11">
        <f t="shared" si="85"/>
        <v>0</v>
      </c>
      <c r="J1403" s="11">
        <f t="shared" si="87"/>
        <v>0</v>
      </c>
    </row>
    <row r="1404" spans="1:10" x14ac:dyDescent="0.3">
      <c r="A1404" s="7">
        <v>44912.888888887755</v>
      </c>
      <c r="B1404" s="8" t="s">
        <v>16</v>
      </c>
      <c r="C1404" s="8">
        <v>0</v>
      </c>
      <c r="D1404" t="str">
        <f t="shared" si="86"/>
        <v>Saturday</v>
      </c>
      <c r="E1404">
        <v>51</v>
      </c>
      <c r="F1404" s="11">
        <f>VLOOKUP(B1404,'ITEMS LIST'!$B$2:$F$19,4,FALSE)</f>
        <v>120</v>
      </c>
      <c r="G1404" s="11">
        <f>VLOOKUP(B1404,'ITEMS LIST'!$B$2:$F$19,5,FALSE)</f>
        <v>85</v>
      </c>
      <c r="H1404" s="11">
        <f t="shared" si="84"/>
        <v>0</v>
      </c>
      <c r="I1404" s="11">
        <f t="shared" si="85"/>
        <v>0</v>
      </c>
      <c r="J1404" s="11">
        <f t="shared" si="87"/>
        <v>0</v>
      </c>
    </row>
    <row r="1405" spans="1:10" x14ac:dyDescent="0.3">
      <c r="A1405" s="7">
        <v>44912.94444444331</v>
      </c>
      <c r="B1405" s="8" t="s">
        <v>17</v>
      </c>
      <c r="C1405" s="8">
        <v>0</v>
      </c>
      <c r="D1405" t="str">
        <f t="shared" si="86"/>
        <v>Saturday</v>
      </c>
      <c r="E1405">
        <v>51</v>
      </c>
      <c r="F1405" s="11">
        <f>VLOOKUP(B1405,'ITEMS LIST'!$B$2:$F$19,4,FALSE)</f>
        <v>80</v>
      </c>
      <c r="G1405" s="11">
        <f>VLOOKUP(B1405,'ITEMS LIST'!$B$2:$F$19,5,FALSE)</f>
        <v>55</v>
      </c>
      <c r="H1405" s="11">
        <f t="shared" si="84"/>
        <v>0</v>
      </c>
      <c r="I1405" s="11">
        <f t="shared" si="85"/>
        <v>0</v>
      </c>
      <c r="J1405" s="11">
        <f t="shared" si="87"/>
        <v>0</v>
      </c>
    </row>
    <row r="1406" spans="1:10" x14ac:dyDescent="0.3">
      <c r="A1406" s="7">
        <v>44912.999999998865</v>
      </c>
      <c r="B1406" s="8" t="s">
        <v>0</v>
      </c>
      <c r="C1406" s="8">
        <v>0</v>
      </c>
      <c r="D1406" t="str">
        <f t="shared" si="86"/>
        <v>Sunday</v>
      </c>
      <c r="E1406">
        <v>52</v>
      </c>
      <c r="F1406" s="11">
        <f>VLOOKUP(B1406,'ITEMS LIST'!$B$2:$F$19,4,FALSE)</f>
        <v>549</v>
      </c>
      <c r="G1406" s="11">
        <f>VLOOKUP(B1406,'ITEMS LIST'!$B$2:$F$19,5,FALSE)</f>
        <v>365</v>
      </c>
      <c r="H1406" s="11">
        <f t="shared" si="84"/>
        <v>0</v>
      </c>
      <c r="I1406" s="11">
        <f t="shared" si="85"/>
        <v>0</v>
      </c>
      <c r="J1406" s="11">
        <f t="shared" si="87"/>
        <v>0</v>
      </c>
    </row>
    <row r="1407" spans="1:10" x14ac:dyDescent="0.3">
      <c r="A1407" s="7">
        <v>44913.05555555442</v>
      </c>
      <c r="B1407" s="8" t="s">
        <v>1</v>
      </c>
      <c r="C1407" s="8">
        <v>0</v>
      </c>
      <c r="D1407" t="str">
        <f t="shared" si="86"/>
        <v>Sunday</v>
      </c>
      <c r="E1407">
        <v>52</v>
      </c>
      <c r="F1407" s="11">
        <f>VLOOKUP(B1407,'ITEMS LIST'!$B$2:$F$19,4,FALSE)</f>
        <v>699</v>
      </c>
      <c r="G1407" s="11">
        <f>VLOOKUP(B1407,'ITEMS LIST'!$B$2:$F$19,5,FALSE)</f>
        <v>550</v>
      </c>
      <c r="H1407" s="11">
        <f t="shared" si="84"/>
        <v>0</v>
      </c>
      <c r="I1407" s="11">
        <f t="shared" si="85"/>
        <v>0</v>
      </c>
      <c r="J1407" s="11">
        <f t="shared" si="87"/>
        <v>0</v>
      </c>
    </row>
    <row r="1408" spans="1:10" x14ac:dyDescent="0.3">
      <c r="A1408" s="7">
        <v>44913.111111109974</v>
      </c>
      <c r="B1408" s="8" t="s">
        <v>2</v>
      </c>
      <c r="C1408" s="8">
        <v>0</v>
      </c>
      <c r="D1408" t="str">
        <f t="shared" si="86"/>
        <v>Sunday</v>
      </c>
      <c r="E1408">
        <v>52</v>
      </c>
      <c r="F1408" s="11">
        <f>VLOOKUP(B1408,'ITEMS LIST'!$B$2:$F$19,4,FALSE)</f>
        <v>739</v>
      </c>
      <c r="G1408" s="11">
        <f>VLOOKUP(B1408,'ITEMS LIST'!$B$2:$F$19,5,FALSE)</f>
        <v>620</v>
      </c>
      <c r="H1408" s="11">
        <f t="shared" si="84"/>
        <v>0</v>
      </c>
      <c r="I1408" s="11">
        <f t="shared" si="85"/>
        <v>0</v>
      </c>
      <c r="J1408" s="11">
        <f t="shared" si="87"/>
        <v>0</v>
      </c>
    </row>
    <row r="1409" spans="1:10" x14ac:dyDescent="0.3">
      <c r="A1409" s="7">
        <v>44913.166666665529</v>
      </c>
      <c r="B1409" s="8" t="s">
        <v>3</v>
      </c>
      <c r="C1409" s="8">
        <v>0</v>
      </c>
      <c r="D1409" t="str">
        <f t="shared" si="86"/>
        <v>Sunday</v>
      </c>
      <c r="E1409">
        <v>52</v>
      </c>
      <c r="F1409" s="11">
        <f>VLOOKUP(B1409,'ITEMS LIST'!$B$2:$F$19,4,FALSE)</f>
        <v>899</v>
      </c>
      <c r="G1409" s="11">
        <f>VLOOKUP(B1409,'ITEMS LIST'!$B$2:$F$19,5,FALSE)</f>
        <v>714</v>
      </c>
      <c r="H1409" s="11">
        <f t="shared" si="84"/>
        <v>0</v>
      </c>
      <c r="I1409" s="11">
        <f t="shared" si="85"/>
        <v>0</v>
      </c>
      <c r="J1409" s="11">
        <f t="shared" si="87"/>
        <v>0</v>
      </c>
    </row>
    <row r="1410" spans="1:10" x14ac:dyDescent="0.3">
      <c r="A1410" s="7">
        <v>44913.222222221084</v>
      </c>
      <c r="B1410" s="8" t="s">
        <v>4</v>
      </c>
      <c r="C1410" s="8">
        <v>0</v>
      </c>
      <c r="D1410" t="str">
        <f t="shared" si="86"/>
        <v>Sunday</v>
      </c>
      <c r="E1410">
        <v>52</v>
      </c>
      <c r="F1410" s="11">
        <f>VLOOKUP(B1410,'ITEMS LIST'!$B$2:$F$19,4,FALSE)</f>
        <v>1379</v>
      </c>
      <c r="G1410" s="11">
        <f>VLOOKUP(B1410,'ITEMS LIST'!$B$2:$F$19,5,FALSE)</f>
        <v>890</v>
      </c>
      <c r="H1410" s="11">
        <f t="shared" ref="H1410:H1473" si="88">C1410*F1410</f>
        <v>0</v>
      </c>
      <c r="I1410" s="11">
        <f t="shared" ref="I1410:I1473" si="89">C1410*G1410</f>
        <v>0</v>
      </c>
      <c r="J1410" s="11">
        <f t="shared" si="87"/>
        <v>0</v>
      </c>
    </row>
    <row r="1411" spans="1:10" x14ac:dyDescent="0.3">
      <c r="A1411" s="7">
        <v>44913.277777776639</v>
      </c>
      <c r="B1411" s="8" t="s">
        <v>5</v>
      </c>
      <c r="C1411" s="8">
        <v>2</v>
      </c>
      <c r="D1411" t="str">
        <f t="shared" ref="D1411:D1474" si="90">TEXT(A1411,"dddd")</f>
        <v>Sunday</v>
      </c>
      <c r="E1411">
        <v>52</v>
      </c>
      <c r="F1411" s="11">
        <f>VLOOKUP(B1411,'ITEMS LIST'!$B$2:$F$19,4,FALSE)</f>
        <v>849</v>
      </c>
      <c r="G1411" s="11">
        <f>VLOOKUP(B1411,'ITEMS LIST'!$B$2:$F$19,5,FALSE)</f>
        <v>530</v>
      </c>
      <c r="H1411" s="11">
        <f t="shared" si="88"/>
        <v>1698</v>
      </c>
      <c r="I1411" s="11">
        <f t="shared" si="89"/>
        <v>1060</v>
      </c>
      <c r="J1411" s="11">
        <f t="shared" ref="J1411:J1474" si="91">H1411-I1411</f>
        <v>638</v>
      </c>
    </row>
    <row r="1412" spans="1:10" x14ac:dyDescent="0.3">
      <c r="A1412" s="7">
        <v>44913.333333332193</v>
      </c>
      <c r="B1412" s="8" t="s">
        <v>6</v>
      </c>
      <c r="C1412" s="8">
        <v>0</v>
      </c>
      <c r="D1412" t="str">
        <f t="shared" si="90"/>
        <v>Sunday</v>
      </c>
      <c r="E1412">
        <v>52</v>
      </c>
      <c r="F1412" s="11">
        <f>VLOOKUP(B1412,'ITEMS LIST'!$B$2:$F$19,4,FALSE)</f>
        <v>1000</v>
      </c>
      <c r="G1412" s="11">
        <f>VLOOKUP(B1412,'ITEMS LIST'!$B$2:$F$19,5,FALSE)</f>
        <v>768</v>
      </c>
      <c r="H1412" s="11">
        <f t="shared" si="88"/>
        <v>0</v>
      </c>
      <c r="I1412" s="11">
        <f t="shared" si="89"/>
        <v>0</v>
      </c>
      <c r="J1412" s="11">
        <f t="shared" si="91"/>
        <v>0</v>
      </c>
    </row>
    <row r="1413" spans="1:10" x14ac:dyDescent="0.3">
      <c r="A1413" s="7">
        <v>44913.388888887748</v>
      </c>
      <c r="B1413" s="8" t="s">
        <v>7</v>
      </c>
      <c r="C1413" s="8">
        <v>0</v>
      </c>
      <c r="D1413" t="str">
        <f t="shared" si="90"/>
        <v>Sunday</v>
      </c>
      <c r="E1413">
        <v>52</v>
      </c>
      <c r="F1413" s="11">
        <f>VLOOKUP(B1413,'ITEMS LIST'!$B$2:$F$19,4,FALSE)</f>
        <v>680</v>
      </c>
      <c r="G1413" s="11">
        <f>VLOOKUP(B1413,'ITEMS LIST'!$B$2:$F$19,5,FALSE)</f>
        <v>570</v>
      </c>
      <c r="H1413" s="11">
        <f t="shared" si="88"/>
        <v>0</v>
      </c>
      <c r="I1413" s="11">
        <f t="shared" si="89"/>
        <v>0</v>
      </c>
      <c r="J1413" s="11">
        <f t="shared" si="91"/>
        <v>0</v>
      </c>
    </row>
    <row r="1414" spans="1:10" x14ac:dyDescent="0.3">
      <c r="A1414" s="7">
        <v>44913.444444443303</v>
      </c>
      <c r="B1414" s="8" t="s">
        <v>8</v>
      </c>
      <c r="C1414" s="8">
        <v>0</v>
      </c>
      <c r="D1414" t="str">
        <f t="shared" si="90"/>
        <v>Sunday</v>
      </c>
      <c r="E1414">
        <v>52</v>
      </c>
      <c r="F1414" s="11">
        <f>VLOOKUP(B1414,'ITEMS LIST'!$B$2:$F$19,4,FALSE)</f>
        <v>199</v>
      </c>
      <c r="G1414" s="11">
        <f>VLOOKUP(B1414,'ITEMS LIST'!$B$2:$F$19,5,FALSE)</f>
        <v>140</v>
      </c>
      <c r="H1414" s="11">
        <f t="shared" si="88"/>
        <v>0</v>
      </c>
      <c r="I1414" s="11">
        <f t="shared" si="89"/>
        <v>0</v>
      </c>
      <c r="J1414" s="11">
        <f t="shared" si="91"/>
        <v>0</v>
      </c>
    </row>
    <row r="1415" spans="1:10" x14ac:dyDescent="0.3">
      <c r="A1415" s="7">
        <v>44913.499999998858</v>
      </c>
      <c r="B1415" s="8" t="s">
        <v>9</v>
      </c>
      <c r="C1415" s="8">
        <v>0</v>
      </c>
      <c r="D1415" t="str">
        <f t="shared" si="90"/>
        <v>Sunday</v>
      </c>
      <c r="E1415">
        <v>52</v>
      </c>
      <c r="F1415" s="11">
        <f>VLOOKUP(B1415,'ITEMS LIST'!$B$2:$F$19,4,FALSE)</f>
        <v>219</v>
      </c>
      <c r="G1415" s="11">
        <f>VLOOKUP(B1415,'ITEMS LIST'!$B$2:$F$19,5,FALSE)</f>
        <v>132</v>
      </c>
      <c r="H1415" s="11">
        <f t="shared" si="88"/>
        <v>0</v>
      </c>
      <c r="I1415" s="11">
        <f t="shared" si="89"/>
        <v>0</v>
      </c>
      <c r="J1415" s="11">
        <f t="shared" si="91"/>
        <v>0</v>
      </c>
    </row>
    <row r="1416" spans="1:10" x14ac:dyDescent="0.3">
      <c r="A1416" s="7">
        <v>44913.555555554412</v>
      </c>
      <c r="B1416" s="8" t="s">
        <v>10</v>
      </c>
      <c r="C1416" s="8">
        <v>2</v>
      </c>
      <c r="D1416" t="str">
        <f t="shared" si="90"/>
        <v>Sunday</v>
      </c>
      <c r="E1416">
        <v>52</v>
      </c>
      <c r="F1416" s="11">
        <f>VLOOKUP(B1416,'ITEMS LIST'!$B$2:$F$19,4,FALSE)</f>
        <v>1469</v>
      </c>
      <c r="G1416" s="11">
        <f>VLOOKUP(B1416,'ITEMS LIST'!$B$2:$F$19,5,FALSE)</f>
        <v>1184</v>
      </c>
      <c r="H1416" s="11">
        <f t="shared" si="88"/>
        <v>2938</v>
      </c>
      <c r="I1416" s="11">
        <f t="shared" si="89"/>
        <v>2368</v>
      </c>
      <c r="J1416" s="11">
        <f t="shared" si="91"/>
        <v>570</v>
      </c>
    </row>
    <row r="1417" spans="1:10" x14ac:dyDescent="0.3">
      <c r="A1417" s="7">
        <v>44913.611111109967</v>
      </c>
      <c r="B1417" s="8" t="s">
        <v>11</v>
      </c>
      <c r="C1417" s="8">
        <v>0</v>
      </c>
      <c r="D1417" t="str">
        <f t="shared" si="90"/>
        <v>Sunday</v>
      </c>
      <c r="E1417">
        <v>52</v>
      </c>
      <c r="F1417" s="11">
        <f>VLOOKUP(B1417,'ITEMS LIST'!$B$2:$F$19,4,FALSE)</f>
        <v>89</v>
      </c>
      <c r="G1417" s="11">
        <f>VLOOKUP(B1417,'ITEMS LIST'!$B$2:$F$19,5,FALSE)</f>
        <v>59</v>
      </c>
      <c r="H1417" s="11">
        <f t="shared" si="88"/>
        <v>0</v>
      </c>
      <c r="I1417" s="11">
        <f t="shared" si="89"/>
        <v>0</v>
      </c>
      <c r="J1417" s="11">
        <f t="shared" si="91"/>
        <v>0</v>
      </c>
    </row>
    <row r="1418" spans="1:10" x14ac:dyDescent="0.3">
      <c r="A1418" s="7">
        <v>44913.666666665522</v>
      </c>
      <c r="B1418" s="8" t="s">
        <v>12</v>
      </c>
      <c r="C1418" s="8">
        <v>0</v>
      </c>
      <c r="D1418" t="str">
        <f t="shared" si="90"/>
        <v>Sunday</v>
      </c>
      <c r="E1418">
        <v>52</v>
      </c>
      <c r="F1418" s="11">
        <f>VLOOKUP(B1418,'ITEMS LIST'!$B$2:$F$19,4,FALSE)</f>
        <v>310</v>
      </c>
      <c r="G1418" s="11">
        <f>VLOOKUP(B1418,'ITEMS LIST'!$B$2:$F$19,5,FALSE)</f>
        <v>206</v>
      </c>
      <c r="H1418" s="11">
        <f t="shared" si="88"/>
        <v>0</v>
      </c>
      <c r="I1418" s="11">
        <f t="shared" si="89"/>
        <v>0</v>
      </c>
      <c r="J1418" s="11">
        <f t="shared" si="91"/>
        <v>0</v>
      </c>
    </row>
    <row r="1419" spans="1:10" x14ac:dyDescent="0.3">
      <c r="A1419" s="7">
        <v>44913.722222221077</v>
      </c>
      <c r="B1419" s="8" t="s">
        <v>13</v>
      </c>
      <c r="C1419" s="8">
        <v>0</v>
      </c>
      <c r="D1419" t="str">
        <f t="shared" si="90"/>
        <v>Sunday</v>
      </c>
      <c r="E1419">
        <v>52</v>
      </c>
      <c r="F1419" s="11">
        <f>VLOOKUP(B1419,'ITEMS LIST'!$B$2:$F$19,4,FALSE)</f>
        <v>540</v>
      </c>
      <c r="G1419" s="11">
        <f>VLOOKUP(B1419,'ITEMS LIST'!$B$2:$F$19,5,FALSE)</f>
        <v>397</v>
      </c>
      <c r="H1419" s="11">
        <f t="shared" si="88"/>
        <v>0</v>
      </c>
      <c r="I1419" s="11">
        <f t="shared" si="89"/>
        <v>0</v>
      </c>
      <c r="J1419" s="11">
        <f t="shared" si="91"/>
        <v>0</v>
      </c>
    </row>
    <row r="1420" spans="1:10" x14ac:dyDescent="0.3">
      <c r="A1420" s="7">
        <v>44913.777777776631</v>
      </c>
      <c r="B1420" s="8" t="s">
        <v>14</v>
      </c>
      <c r="C1420" s="8">
        <v>0</v>
      </c>
      <c r="D1420" t="str">
        <f t="shared" si="90"/>
        <v>Sunday</v>
      </c>
      <c r="E1420">
        <v>52</v>
      </c>
      <c r="F1420" s="11">
        <f>VLOOKUP(B1420,'ITEMS LIST'!$B$2:$F$19,4,FALSE)</f>
        <v>360</v>
      </c>
      <c r="G1420" s="11">
        <f>VLOOKUP(B1420,'ITEMS LIST'!$B$2:$F$19,5,FALSE)</f>
        <v>248</v>
      </c>
      <c r="H1420" s="11">
        <f t="shared" si="88"/>
        <v>0</v>
      </c>
      <c r="I1420" s="11">
        <f t="shared" si="89"/>
        <v>0</v>
      </c>
      <c r="J1420" s="11">
        <f t="shared" si="91"/>
        <v>0</v>
      </c>
    </row>
    <row r="1421" spans="1:10" x14ac:dyDescent="0.3">
      <c r="A1421" s="7">
        <v>44913.833333332186</v>
      </c>
      <c r="B1421" s="8" t="s">
        <v>15</v>
      </c>
      <c r="C1421" s="8">
        <v>0</v>
      </c>
      <c r="D1421" t="str">
        <f t="shared" si="90"/>
        <v>Sunday</v>
      </c>
      <c r="E1421">
        <v>52</v>
      </c>
      <c r="F1421" s="11">
        <f>VLOOKUP(B1421,'ITEMS LIST'!$B$2:$F$19,4,FALSE)</f>
        <v>250</v>
      </c>
      <c r="G1421" s="11">
        <f>VLOOKUP(B1421,'ITEMS LIST'!$B$2:$F$19,5,FALSE)</f>
        <v>190</v>
      </c>
      <c r="H1421" s="11">
        <f t="shared" si="88"/>
        <v>0</v>
      </c>
      <c r="I1421" s="11">
        <f t="shared" si="89"/>
        <v>0</v>
      </c>
      <c r="J1421" s="11">
        <f t="shared" si="91"/>
        <v>0</v>
      </c>
    </row>
    <row r="1422" spans="1:10" x14ac:dyDescent="0.3">
      <c r="A1422" s="7">
        <v>44913.888888887741</v>
      </c>
      <c r="B1422" s="8" t="s">
        <v>16</v>
      </c>
      <c r="C1422" s="8">
        <v>0</v>
      </c>
      <c r="D1422" t="str">
        <f t="shared" si="90"/>
        <v>Sunday</v>
      </c>
      <c r="E1422">
        <v>52</v>
      </c>
      <c r="F1422" s="11">
        <f>VLOOKUP(B1422,'ITEMS LIST'!$B$2:$F$19,4,FALSE)</f>
        <v>120</v>
      </c>
      <c r="G1422" s="11">
        <f>VLOOKUP(B1422,'ITEMS LIST'!$B$2:$F$19,5,FALSE)</f>
        <v>85</v>
      </c>
      <c r="H1422" s="11">
        <f t="shared" si="88"/>
        <v>0</v>
      </c>
      <c r="I1422" s="11">
        <f t="shared" si="89"/>
        <v>0</v>
      </c>
      <c r="J1422" s="11">
        <f t="shared" si="91"/>
        <v>0</v>
      </c>
    </row>
    <row r="1423" spans="1:10" x14ac:dyDescent="0.3">
      <c r="A1423" s="7">
        <v>44913.944444443296</v>
      </c>
      <c r="B1423" s="8" t="s">
        <v>17</v>
      </c>
      <c r="C1423" s="8">
        <v>0</v>
      </c>
      <c r="D1423" t="str">
        <f t="shared" si="90"/>
        <v>Sunday</v>
      </c>
      <c r="E1423">
        <v>52</v>
      </c>
      <c r="F1423" s="11">
        <f>VLOOKUP(B1423,'ITEMS LIST'!$B$2:$F$19,4,FALSE)</f>
        <v>80</v>
      </c>
      <c r="G1423" s="11">
        <f>VLOOKUP(B1423,'ITEMS LIST'!$B$2:$F$19,5,FALSE)</f>
        <v>55</v>
      </c>
      <c r="H1423" s="11">
        <f t="shared" si="88"/>
        <v>0</v>
      </c>
      <c r="I1423" s="11">
        <f t="shared" si="89"/>
        <v>0</v>
      </c>
      <c r="J1423" s="11">
        <f t="shared" si="91"/>
        <v>0</v>
      </c>
    </row>
    <row r="1424" spans="1:10" x14ac:dyDescent="0.3">
      <c r="A1424" s="7">
        <v>44913.99999999885</v>
      </c>
      <c r="B1424" s="8" t="s">
        <v>0</v>
      </c>
      <c r="C1424" s="8">
        <v>0</v>
      </c>
      <c r="D1424" t="str">
        <f t="shared" si="90"/>
        <v>Monday</v>
      </c>
      <c r="E1424">
        <v>52</v>
      </c>
      <c r="F1424" s="11">
        <f>VLOOKUP(B1424,'ITEMS LIST'!$B$2:$F$19,4,FALSE)</f>
        <v>549</v>
      </c>
      <c r="G1424" s="11">
        <f>VLOOKUP(B1424,'ITEMS LIST'!$B$2:$F$19,5,FALSE)</f>
        <v>365</v>
      </c>
      <c r="H1424" s="11">
        <f t="shared" si="88"/>
        <v>0</v>
      </c>
      <c r="I1424" s="11">
        <f t="shared" si="89"/>
        <v>0</v>
      </c>
      <c r="J1424" s="11">
        <f t="shared" si="91"/>
        <v>0</v>
      </c>
    </row>
    <row r="1425" spans="1:10" x14ac:dyDescent="0.3">
      <c r="A1425" s="7">
        <v>44914.055555554405</v>
      </c>
      <c r="B1425" s="8" t="s">
        <v>1</v>
      </c>
      <c r="C1425" s="8">
        <v>0</v>
      </c>
      <c r="D1425" t="str">
        <f t="shared" si="90"/>
        <v>Monday</v>
      </c>
      <c r="E1425">
        <v>52</v>
      </c>
      <c r="F1425" s="11">
        <f>VLOOKUP(B1425,'ITEMS LIST'!$B$2:$F$19,4,FALSE)</f>
        <v>699</v>
      </c>
      <c r="G1425" s="11">
        <f>VLOOKUP(B1425,'ITEMS LIST'!$B$2:$F$19,5,FALSE)</f>
        <v>550</v>
      </c>
      <c r="H1425" s="11">
        <f t="shared" si="88"/>
        <v>0</v>
      </c>
      <c r="I1425" s="11">
        <f t="shared" si="89"/>
        <v>0</v>
      </c>
      <c r="J1425" s="11">
        <f t="shared" si="91"/>
        <v>0</v>
      </c>
    </row>
    <row r="1426" spans="1:10" x14ac:dyDescent="0.3">
      <c r="A1426" s="7">
        <v>44914.11111110996</v>
      </c>
      <c r="B1426" s="8" t="s">
        <v>2</v>
      </c>
      <c r="C1426" s="8">
        <v>0</v>
      </c>
      <c r="D1426" t="str">
        <f t="shared" si="90"/>
        <v>Monday</v>
      </c>
      <c r="E1426">
        <v>52</v>
      </c>
      <c r="F1426" s="11">
        <f>VLOOKUP(B1426,'ITEMS LIST'!$B$2:$F$19,4,FALSE)</f>
        <v>739</v>
      </c>
      <c r="G1426" s="11">
        <f>VLOOKUP(B1426,'ITEMS LIST'!$B$2:$F$19,5,FALSE)</f>
        <v>620</v>
      </c>
      <c r="H1426" s="11">
        <f t="shared" si="88"/>
        <v>0</v>
      </c>
      <c r="I1426" s="11">
        <f t="shared" si="89"/>
        <v>0</v>
      </c>
      <c r="J1426" s="11">
        <f t="shared" si="91"/>
        <v>0</v>
      </c>
    </row>
    <row r="1427" spans="1:10" x14ac:dyDescent="0.3">
      <c r="A1427" s="7">
        <v>44914.166666665515</v>
      </c>
      <c r="B1427" s="8" t="s">
        <v>3</v>
      </c>
      <c r="C1427" s="8">
        <v>0</v>
      </c>
      <c r="D1427" t="str">
        <f t="shared" si="90"/>
        <v>Monday</v>
      </c>
      <c r="E1427">
        <v>52</v>
      </c>
      <c r="F1427" s="11">
        <f>VLOOKUP(B1427,'ITEMS LIST'!$B$2:$F$19,4,FALSE)</f>
        <v>899</v>
      </c>
      <c r="G1427" s="11">
        <f>VLOOKUP(B1427,'ITEMS LIST'!$B$2:$F$19,5,FALSE)</f>
        <v>714</v>
      </c>
      <c r="H1427" s="11">
        <f t="shared" si="88"/>
        <v>0</v>
      </c>
      <c r="I1427" s="11">
        <f t="shared" si="89"/>
        <v>0</v>
      </c>
      <c r="J1427" s="11">
        <f t="shared" si="91"/>
        <v>0</v>
      </c>
    </row>
    <row r="1428" spans="1:10" x14ac:dyDescent="0.3">
      <c r="A1428" s="7">
        <v>44914.222222221069</v>
      </c>
      <c r="B1428" s="8" t="s">
        <v>4</v>
      </c>
      <c r="C1428" s="8">
        <v>0</v>
      </c>
      <c r="D1428" t="str">
        <f t="shared" si="90"/>
        <v>Monday</v>
      </c>
      <c r="E1428">
        <v>52</v>
      </c>
      <c r="F1428" s="11">
        <f>VLOOKUP(B1428,'ITEMS LIST'!$B$2:$F$19,4,FALSE)</f>
        <v>1379</v>
      </c>
      <c r="G1428" s="11">
        <f>VLOOKUP(B1428,'ITEMS LIST'!$B$2:$F$19,5,FALSE)</f>
        <v>890</v>
      </c>
      <c r="H1428" s="11">
        <f t="shared" si="88"/>
        <v>0</v>
      </c>
      <c r="I1428" s="11">
        <f t="shared" si="89"/>
        <v>0</v>
      </c>
      <c r="J1428" s="11">
        <f t="shared" si="91"/>
        <v>0</v>
      </c>
    </row>
    <row r="1429" spans="1:10" x14ac:dyDescent="0.3">
      <c r="A1429" s="7">
        <v>44914.277777776624</v>
      </c>
      <c r="B1429" s="8" t="s">
        <v>5</v>
      </c>
      <c r="C1429" s="8">
        <v>0</v>
      </c>
      <c r="D1429" t="str">
        <f t="shared" si="90"/>
        <v>Monday</v>
      </c>
      <c r="E1429">
        <v>52</v>
      </c>
      <c r="F1429" s="11">
        <f>VLOOKUP(B1429,'ITEMS LIST'!$B$2:$F$19,4,FALSE)</f>
        <v>849</v>
      </c>
      <c r="G1429" s="11">
        <f>VLOOKUP(B1429,'ITEMS LIST'!$B$2:$F$19,5,FALSE)</f>
        <v>530</v>
      </c>
      <c r="H1429" s="11">
        <f t="shared" si="88"/>
        <v>0</v>
      </c>
      <c r="I1429" s="11">
        <f t="shared" si="89"/>
        <v>0</v>
      </c>
      <c r="J1429" s="11">
        <f t="shared" si="91"/>
        <v>0</v>
      </c>
    </row>
    <row r="1430" spans="1:10" x14ac:dyDescent="0.3">
      <c r="A1430" s="7">
        <v>44914.333333332179</v>
      </c>
      <c r="B1430" s="8" t="s">
        <v>6</v>
      </c>
      <c r="C1430" s="8">
        <v>0</v>
      </c>
      <c r="D1430" t="str">
        <f t="shared" si="90"/>
        <v>Monday</v>
      </c>
      <c r="E1430">
        <v>52</v>
      </c>
      <c r="F1430" s="11">
        <f>VLOOKUP(B1430,'ITEMS LIST'!$B$2:$F$19,4,FALSE)</f>
        <v>1000</v>
      </c>
      <c r="G1430" s="11">
        <f>VLOOKUP(B1430,'ITEMS LIST'!$B$2:$F$19,5,FALSE)</f>
        <v>768</v>
      </c>
      <c r="H1430" s="11">
        <f t="shared" si="88"/>
        <v>0</v>
      </c>
      <c r="I1430" s="11">
        <f t="shared" si="89"/>
        <v>0</v>
      </c>
      <c r="J1430" s="11">
        <f t="shared" si="91"/>
        <v>0</v>
      </c>
    </row>
    <row r="1431" spans="1:10" x14ac:dyDescent="0.3">
      <c r="A1431" s="7">
        <v>44914.388888887734</v>
      </c>
      <c r="B1431" s="8" t="s">
        <v>7</v>
      </c>
      <c r="C1431" s="8">
        <v>0</v>
      </c>
      <c r="D1431" t="str">
        <f t="shared" si="90"/>
        <v>Monday</v>
      </c>
      <c r="E1431">
        <v>52</v>
      </c>
      <c r="F1431" s="11">
        <f>VLOOKUP(B1431,'ITEMS LIST'!$B$2:$F$19,4,FALSE)</f>
        <v>680</v>
      </c>
      <c r="G1431" s="11">
        <f>VLOOKUP(B1431,'ITEMS LIST'!$B$2:$F$19,5,FALSE)</f>
        <v>570</v>
      </c>
      <c r="H1431" s="11">
        <f t="shared" si="88"/>
        <v>0</v>
      </c>
      <c r="I1431" s="11">
        <f t="shared" si="89"/>
        <v>0</v>
      </c>
      <c r="J1431" s="11">
        <f t="shared" si="91"/>
        <v>0</v>
      </c>
    </row>
    <row r="1432" spans="1:10" x14ac:dyDescent="0.3">
      <c r="A1432" s="7">
        <v>44914.444444443288</v>
      </c>
      <c r="B1432" s="8" t="s">
        <v>8</v>
      </c>
      <c r="C1432" s="8">
        <v>0</v>
      </c>
      <c r="D1432" t="str">
        <f t="shared" si="90"/>
        <v>Monday</v>
      </c>
      <c r="E1432">
        <v>52</v>
      </c>
      <c r="F1432" s="11">
        <f>VLOOKUP(B1432,'ITEMS LIST'!$B$2:$F$19,4,FALSE)</f>
        <v>199</v>
      </c>
      <c r="G1432" s="11">
        <f>VLOOKUP(B1432,'ITEMS LIST'!$B$2:$F$19,5,FALSE)</f>
        <v>140</v>
      </c>
      <c r="H1432" s="11">
        <f t="shared" si="88"/>
        <v>0</v>
      </c>
      <c r="I1432" s="11">
        <f t="shared" si="89"/>
        <v>0</v>
      </c>
      <c r="J1432" s="11">
        <f t="shared" si="91"/>
        <v>0</v>
      </c>
    </row>
    <row r="1433" spans="1:10" x14ac:dyDescent="0.3">
      <c r="A1433" s="7">
        <v>44914.499999998843</v>
      </c>
      <c r="B1433" s="8" t="s">
        <v>9</v>
      </c>
      <c r="C1433" s="8">
        <v>0</v>
      </c>
      <c r="D1433" t="str">
        <f t="shared" si="90"/>
        <v>Monday</v>
      </c>
      <c r="E1433">
        <v>52</v>
      </c>
      <c r="F1433" s="11">
        <f>VLOOKUP(B1433,'ITEMS LIST'!$B$2:$F$19,4,FALSE)</f>
        <v>219</v>
      </c>
      <c r="G1433" s="11">
        <f>VLOOKUP(B1433,'ITEMS LIST'!$B$2:$F$19,5,FALSE)</f>
        <v>132</v>
      </c>
      <c r="H1433" s="11">
        <f t="shared" si="88"/>
        <v>0</v>
      </c>
      <c r="I1433" s="11">
        <f t="shared" si="89"/>
        <v>0</v>
      </c>
      <c r="J1433" s="11">
        <f t="shared" si="91"/>
        <v>0</v>
      </c>
    </row>
    <row r="1434" spans="1:10" x14ac:dyDescent="0.3">
      <c r="A1434" s="7">
        <v>44914.555555554398</v>
      </c>
      <c r="B1434" s="8" t="s">
        <v>10</v>
      </c>
      <c r="C1434" s="8">
        <v>0</v>
      </c>
      <c r="D1434" t="str">
        <f t="shared" si="90"/>
        <v>Monday</v>
      </c>
      <c r="E1434">
        <v>52</v>
      </c>
      <c r="F1434" s="11">
        <f>VLOOKUP(B1434,'ITEMS LIST'!$B$2:$F$19,4,FALSE)</f>
        <v>1469</v>
      </c>
      <c r="G1434" s="11">
        <f>VLOOKUP(B1434,'ITEMS LIST'!$B$2:$F$19,5,FALSE)</f>
        <v>1184</v>
      </c>
      <c r="H1434" s="11">
        <f t="shared" si="88"/>
        <v>0</v>
      </c>
      <c r="I1434" s="11">
        <f t="shared" si="89"/>
        <v>0</v>
      </c>
      <c r="J1434" s="11">
        <f t="shared" si="91"/>
        <v>0</v>
      </c>
    </row>
    <row r="1435" spans="1:10" x14ac:dyDescent="0.3">
      <c r="A1435" s="7">
        <v>44914.611111109953</v>
      </c>
      <c r="B1435" s="8" t="s">
        <v>11</v>
      </c>
      <c r="C1435" s="8">
        <v>0</v>
      </c>
      <c r="D1435" t="str">
        <f t="shared" si="90"/>
        <v>Monday</v>
      </c>
      <c r="E1435">
        <v>52</v>
      </c>
      <c r="F1435" s="11">
        <f>VLOOKUP(B1435,'ITEMS LIST'!$B$2:$F$19,4,FALSE)</f>
        <v>89</v>
      </c>
      <c r="G1435" s="11">
        <f>VLOOKUP(B1435,'ITEMS LIST'!$B$2:$F$19,5,FALSE)</f>
        <v>59</v>
      </c>
      <c r="H1435" s="11">
        <f t="shared" si="88"/>
        <v>0</v>
      </c>
      <c r="I1435" s="11">
        <f t="shared" si="89"/>
        <v>0</v>
      </c>
      <c r="J1435" s="11">
        <f t="shared" si="91"/>
        <v>0</v>
      </c>
    </row>
    <row r="1436" spans="1:10" x14ac:dyDescent="0.3">
      <c r="A1436" s="7">
        <v>44914.666666665507</v>
      </c>
      <c r="B1436" s="8" t="s">
        <v>12</v>
      </c>
      <c r="C1436" s="8">
        <v>0</v>
      </c>
      <c r="D1436" t="str">
        <f t="shared" si="90"/>
        <v>Monday</v>
      </c>
      <c r="E1436">
        <v>52</v>
      </c>
      <c r="F1436" s="11">
        <f>VLOOKUP(B1436,'ITEMS LIST'!$B$2:$F$19,4,FALSE)</f>
        <v>310</v>
      </c>
      <c r="G1436" s="11">
        <f>VLOOKUP(B1436,'ITEMS LIST'!$B$2:$F$19,5,FALSE)</f>
        <v>206</v>
      </c>
      <c r="H1436" s="11">
        <f t="shared" si="88"/>
        <v>0</v>
      </c>
      <c r="I1436" s="11">
        <f t="shared" si="89"/>
        <v>0</v>
      </c>
      <c r="J1436" s="11">
        <f t="shared" si="91"/>
        <v>0</v>
      </c>
    </row>
    <row r="1437" spans="1:10" x14ac:dyDescent="0.3">
      <c r="A1437" s="7">
        <v>44914.722222221062</v>
      </c>
      <c r="B1437" s="8" t="s">
        <v>13</v>
      </c>
      <c r="C1437" s="8">
        <v>0</v>
      </c>
      <c r="D1437" t="str">
        <f t="shared" si="90"/>
        <v>Monday</v>
      </c>
      <c r="E1437">
        <v>52</v>
      </c>
      <c r="F1437" s="11">
        <f>VLOOKUP(B1437,'ITEMS LIST'!$B$2:$F$19,4,FALSE)</f>
        <v>540</v>
      </c>
      <c r="G1437" s="11">
        <f>VLOOKUP(B1437,'ITEMS LIST'!$B$2:$F$19,5,FALSE)</f>
        <v>397</v>
      </c>
      <c r="H1437" s="11">
        <f t="shared" si="88"/>
        <v>0</v>
      </c>
      <c r="I1437" s="11">
        <f t="shared" si="89"/>
        <v>0</v>
      </c>
      <c r="J1437" s="11">
        <f t="shared" si="91"/>
        <v>0</v>
      </c>
    </row>
    <row r="1438" spans="1:10" x14ac:dyDescent="0.3">
      <c r="A1438" s="7">
        <v>44914.777777776617</v>
      </c>
      <c r="B1438" s="8" t="s">
        <v>14</v>
      </c>
      <c r="C1438" s="8">
        <v>0</v>
      </c>
      <c r="D1438" t="str">
        <f t="shared" si="90"/>
        <v>Monday</v>
      </c>
      <c r="E1438">
        <v>52</v>
      </c>
      <c r="F1438" s="11">
        <f>VLOOKUP(B1438,'ITEMS LIST'!$B$2:$F$19,4,FALSE)</f>
        <v>360</v>
      </c>
      <c r="G1438" s="11">
        <f>VLOOKUP(B1438,'ITEMS LIST'!$B$2:$F$19,5,FALSE)</f>
        <v>248</v>
      </c>
      <c r="H1438" s="11">
        <f t="shared" si="88"/>
        <v>0</v>
      </c>
      <c r="I1438" s="11">
        <f t="shared" si="89"/>
        <v>0</v>
      </c>
      <c r="J1438" s="11">
        <f t="shared" si="91"/>
        <v>0</v>
      </c>
    </row>
    <row r="1439" spans="1:10" x14ac:dyDescent="0.3">
      <c r="A1439" s="7">
        <v>44914.833333332172</v>
      </c>
      <c r="B1439" s="8" t="s">
        <v>15</v>
      </c>
      <c r="C1439" s="8">
        <v>0</v>
      </c>
      <c r="D1439" t="str">
        <f t="shared" si="90"/>
        <v>Monday</v>
      </c>
      <c r="E1439">
        <v>52</v>
      </c>
      <c r="F1439" s="11">
        <f>VLOOKUP(B1439,'ITEMS LIST'!$B$2:$F$19,4,FALSE)</f>
        <v>250</v>
      </c>
      <c r="G1439" s="11">
        <f>VLOOKUP(B1439,'ITEMS LIST'!$B$2:$F$19,5,FALSE)</f>
        <v>190</v>
      </c>
      <c r="H1439" s="11">
        <f t="shared" si="88"/>
        <v>0</v>
      </c>
      <c r="I1439" s="11">
        <f t="shared" si="89"/>
        <v>0</v>
      </c>
      <c r="J1439" s="11">
        <f t="shared" si="91"/>
        <v>0</v>
      </c>
    </row>
    <row r="1440" spans="1:10" x14ac:dyDescent="0.3">
      <c r="A1440" s="7">
        <v>44914.888888887726</v>
      </c>
      <c r="B1440" s="8" t="s">
        <v>16</v>
      </c>
      <c r="C1440" s="8">
        <v>0</v>
      </c>
      <c r="D1440" t="str">
        <f t="shared" si="90"/>
        <v>Monday</v>
      </c>
      <c r="E1440">
        <v>52</v>
      </c>
      <c r="F1440" s="11">
        <f>VLOOKUP(B1440,'ITEMS LIST'!$B$2:$F$19,4,FALSE)</f>
        <v>120</v>
      </c>
      <c r="G1440" s="11">
        <f>VLOOKUP(B1440,'ITEMS LIST'!$B$2:$F$19,5,FALSE)</f>
        <v>85</v>
      </c>
      <c r="H1440" s="11">
        <f t="shared" si="88"/>
        <v>0</v>
      </c>
      <c r="I1440" s="11">
        <f t="shared" si="89"/>
        <v>0</v>
      </c>
      <c r="J1440" s="11">
        <f t="shared" si="91"/>
        <v>0</v>
      </c>
    </row>
    <row r="1441" spans="1:10" x14ac:dyDescent="0.3">
      <c r="A1441" s="7">
        <v>44914.944444443281</v>
      </c>
      <c r="B1441" s="8" t="s">
        <v>17</v>
      </c>
      <c r="C1441" s="8">
        <v>0</v>
      </c>
      <c r="D1441" t="str">
        <f t="shared" si="90"/>
        <v>Monday</v>
      </c>
      <c r="E1441">
        <v>52</v>
      </c>
      <c r="F1441" s="11">
        <f>VLOOKUP(B1441,'ITEMS LIST'!$B$2:$F$19,4,FALSE)</f>
        <v>80</v>
      </c>
      <c r="G1441" s="11">
        <f>VLOOKUP(B1441,'ITEMS LIST'!$B$2:$F$19,5,FALSE)</f>
        <v>55</v>
      </c>
      <c r="H1441" s="11">
        <f t="shared" si="88"/>
        <v>0</v>
      </c>
      <c r="I1441" s="11">
        <f t="shared" si="89"/>
        <v>0</v>
      </c>
      <c r="J1441" s="11">
        <f t="shared" si="91"/>
        <v>0</v>
      </c>
    </row>
    <row r="1442" spans="1:10" x14ac:dyDescent="0.3">
      <c r="A1442" s="7">
        <v>44914.999999998836</v>
      </c>
      <c r="B1442" s="8" t="s">
        <v>0</v>
      </c>
      <c r="C1442" s="8">
        <v>0</v>
      </c>
      <c r="D1442" t="str">
        <f t="shared" si="90"/>
        <v>Tuesday</v>
      </c>
      <c r="E1442">
        <v>52</v>
      </c>
      <c r="F1442" s="11">
        <f>VLOOKUP(B1442,'ITEMS LIST'!$B$2:$F$19,4,FALSE)</f>
        <v>549</v>
      </c>
      <c r="G1442" s="11">
        <f>VLOOKUP(B1442,'ITEMS LIST'!$B$2:$F$19,5,FALSE)</f>
        <v>365</v>
      </c>
      <c r="H1442" s="11">
        <f t="shared" si="88"/>
        <v>0</v>
      </c>
      <c r="I1442" s="11">
        <f t="shared" si="89"/>
        <v>0</v>
      </c>
      <c r="J1442" s="11">
        <f t="shared" si="91"/>
        <v>0</v>
      </c>
    </row>
    <row r="1443" spans="1:10" x14ac:dyDescent="0.3">
      <c r="A1443" s="7">
        <v>44915.055555554391</v>
      </c>
      <c r="B1443" s="8" t="s">
        <v>1</v>
      </c>
      <c r="C1443" s="8">
        <v>0</v>
      </c>
      <c r="D1443" t="str">
        <f t="shared" si="90"/>
        <v>Tuesday</v>
      </c>
      <c r="E1443">
        <v>52</v>
      </c>
      <c r="F1443" s="11">
        <f>VLOOKUP(B1443,'ITEMS LIST'!$B$2:$F$19,4,FALSE)</f>
        <v>699</v>
      </c>
      <c r="G1443" s="11">
        <f>VLOOKUP(B1443,'ITEMS LIST'!$B$2:$F$19,5,FALSE)</f>
        <v>550</v>
      </c>
      <c r="H1443" s="11">
        <f t="shared" si="88"/>
        <v>0</v>
      </c>
      <c r="I1443" s="11">
        <f t="shared" si="89"/>
        <v>0</v>
      </c>
      <c r="J1443" s="11">
        <f t="shared" si="91"/>
        <v>0</v>
      </c>
    </row>
    <row r="1444" spans="1:10" x14ac:dyDescent="0.3">
      <c r="A1444" s="7">
        <v>44915.111111109945</v>
      </c>
      <c r="B1444" s="8" t="s">
        <v>2</v>
      </c>
      <c r="C1444" s="8">
        <v>0</v>
      </c>
      <c r="D1444" t="str">
        <f t="shared" si="90"/>
        <v>Tuesday</v>
      </c>
      <c r="E1444">
        <v>52</v>
      </c>
      <c r="F1444" s="11">
        <f>VLOOKUP(B1444,'ITEMS LIST'!$B$2:$F$19,4,FALSE)</f>
        <v>739</v>
      </c>
      <c r="G1444" s="11">
        <f>VLOOKUP(B1444,'ITEMS LIST'!$B$2:$F$19,5,FALSE)</f>
        <v>620</v>
      </c>
      <c r="H1444" s="11">
        <f t="shared" si="88"/>
        <v>0</v>
      </c>
      <c r="I1444" s="11">
        <f t="shared" si="89"/>
        <v>0</v>
      </c>
      <c r="J1444" s="11">
        <f t="shared" si="91"/>
        <v>0</v>
      </c>
    </row>
    <row r="1445" spans="1:10" x14ac:dyDescent="0.3">
      <c r="A1445" s="7">
        <v>44915.1666666655</v>
      </c>
      <c r="B1445" s="8" t="s">
        <v>3</v>
      </c>
      <c r="C1445" s="8">
        <v>0</v>
      </c>
      <c r="D1445" t="str">
        <f t="shared" si="90"/>
        <v>Tuesday</v>
      </c>
      <c r="E1445">
        <v>52</v>
      </c>
      <c r="F1445" s="11">
        <f>VLOOKUP(B1445,'ITEMS LIST'!$B$2:$F$19,4,FALSE)</f>
        <v>899</v>
      </c>
      <c r="G1445" s="11">
        <f>VLOOKUP(B1445,'ITEMS LIST'!$B$2:$F$19,5,FALSE)</f>
        <v>714</v>
      </c>
      <c r="H1445" s="11">
        <f t="shared" si="88"/>
        <v>0</v>
      </c>
      <c r="I1445" s="11">
        <f t="shared" si="89"/>
        <v>0</v>
      </c>
      <c r="J1445" s="11">
        <f t="shared" si="91"/>
        <v>0</v>
      </c>
    </row>
    <row r="1446" spans="1:10" x14ac:dyDescent="0.3">
      <c r="A1446" s="7">
        <v>44915.222222221055</v>
      </c>
      <c r="B1446" s="8" t="s">
        <v>4</v>
      </c>
      <c r="C1446" s="8">
        <v>1</v>
      </c>
      <c r="D1446" t="str">
        <f t="shared" si="90"/>
        <v>Tuesday</v>
      </c>
      <c r="E1446">
        <v>52</v>
      </c>
      <c r="F1446" s="11">
        <f>VLOOKUP(B1446,'ITEMS LIST'!$B$2:$F$19,4,FALSE)</f>
        <v>1379</v>
      </c>
      <c r="G1446" s="11">
        <f>VLOOKUP(B1446,'ITEMS LIST'!$B$2:$F$19,5,FALSE)</f>
        <v>890</v>
      </c>
      <c r="H1446" s="11">
        <f t="shared" si="88"/>
        <v>1379</v>
      </c>
      <c r="I1446" s="11">
        <f t="shared" si="89"/>
        <v>890</v>
      </c>
      <c r="J1446" s="11">
        <f t="shared" si="91"/>
        <v>489</v>
      </c>
    </row>
    <row r="1447" spans="1:10" x14ac:dyDescent="0.3">
      <c r="A1447" s="7">
        <v>44915.27777777661</v>
      </c>
      <c r="B1447" s="8" t="s">
        <v>5</v>
      </c>
      <c r="C1447" s="8">
        <v>1</v>
      </c>
      <c r="D1447" t="str">
        <f t="shared" si="90"/>
        <v>Tuesday</v>
      </c>
      <c r="E1447">
        <v>52</v>
      </c>
      <c r="F1447" s="11">
        <f>VLOOKUP(B1447,'ITEMS LIST'!$B$2:$F$19,4,FALSE)</f>
        <v>849</v>
      </c>
      <c r="G1447" s="11">
        <f>VLOOKUP(B1447,'ITEMS LIST'!$B$2:$F$19,5,FALSE)</f>
        <v>530</v>
      </c>
      <c r="H1447" s="11">
        <f t="shared" si="88"/>
        <v>849</v>
      </c>
      <c r="I1447" s="11">
        <f t="shared" si="89"/>
        <v>530</v>
      </c>
      <c r="J1447" s="11">
        <f t="shared" si="91"/>
        <v>319</v>
      </c>
    </row>
    <row r="1448" spans="1:10" x14ac:dyDescent="0.3">
      <c r="A1448" s="7">
        <v>44915.333333332164</v>
      </c>
      <c r="B1448" s="8" t="s">
        <v>6</v>
      </c>
      <c r="C1448" s="8">
        <v>0</v>
      </c>
      <c r="D1448" t="str">
        <f t="shared" si="90"/>
        <v>Tuesday</v>
      </c>
      <c r="E1448">
        <v>52</v>
      </c>
      <c r="F1448" s="11">
        <f>VLOOKUP(B1448,'ITEMS LIST'!$B$2:$F$19,4,FALSE)</f>
        <v>1000</v>
      </c>
      <c r="G1448" s="11">
        <f>VLOOKUP(B1448,'ITEMS LIST'!$B$2:$F$19,5,FALSE)</f>
        <v>768</v>
      </c>
      <c r="H1448" s="11">
        <f t="shared" si="88"/>
        <v>0</v>
      </c>
      <c r="I1448" s="11">
        <f t="shared" si="89"/>
        <v>0</v>
      </c>
      <c r="J1448" s="11">
        <f t="shared" si="91"/>
        <v>0</v>
      </c>
    </row>
    <row r="1449" spans="1:10" x14ac:dyDescent="0.3">
      <c r="A1449" s="7">
        <v>44915.388888887719</v>
      </c>
      <c r="B1449" s="8" t="s">
        <v>7</v>
      </c>
      <c r="C1449" s="8">
        <v>0</v>
      </c>
      <c r="D1449" t="str">
        <f t="shared" si="90"/>
        <v>Tuesday</v>
      </c>
      <c r="E1449">
        <v>52</v>
      </c>
      <c r="F1449" s="11">
        <f>VLOOKUP(B1449,'ITEMS LIST'!$B$2:$F$19,4,FALSE)</f>
        <v>680</v>
      </c>
      <c r="G1449" s="11">
        <f>VLOOKUP(B1449,'ITEMS LIST'!$B$2:$F$19,5,FALSE)</f>
        <v>570</v>
      </c>
      <c r="H1449" s="11">
        <f t="shared" si="88"/>
        <v>0</v>
      </c>
      <c r="I1449" s="11">
        <f t="shared" si="89"/>
        <v>0</v>
      </c>
      <c r="J1449" s="11">
        <f t="shared" si="91"/>
        <v>0</v>
      </c>
    </row>
    <row r="1450" spans="1:10" x14ac:dyDescent="0.3">
      <c r="A1450" s="7">
        <v>44915.444444443274</v>
      </c>
      <c r="B1450" s="8" t="s">
        <v>8</v>
      </c>
      <c r="C1450" s="8">
        <v>0</v>
      </c>
      <c r="D1450" t="str">
        <f t="shared" si="90"/>
        <v>Tuesday</v>
      </c>
      <c r="E1450">
        <v>52</v>
      </c>
      <c r="F1450" s="11">
        <f>VLOOKUP(B1450,'ITEMS LIST'!$B$2:$F$19,4,FALSE)</f>
        <v>199</v>
      </c>
      <c r="G1450" s="11">
        <f>VLOOKUP(B1450,'ITEMS LIST'!$B$2:$F$19,5,FALSE)</f>
        <v>140</v>
      </c>
      <c r="H1450" s="11">
        <f t="shared" si="88"/>
        <v>0</v>
      </c>
      <c r="I1450" s="11">
        <f t="shared" si="89"/>
        <v>0</v>
      </c>
      <c r="J1450" s="11">
        <f t="shared" si="91"/>
        <v>0</v>
      </c>
    </row>
    <row r="1451" spans="1:10" x14ac:dyDescent="0.3">
      <c r="A1451" s="7">
        <v>44915.499999998829</v>
      </c>
      <c r="B1451" s="8" t="s">
        <v>9</v>
      </c>
      <c r="C1451" s="8">
        <v>0</v>
      </c>
      <c r="D1451" t="str">
        <f t="shared" si="90"/>
        <v>Tuesday</v>
      </c>
      <c r="E1451">
        <v>52</v>
      </c>
      <c r="F1451" s="11">
        <f>VLOOKUP(B1451,'ITEMS LIST'!$B$2:$F$19,4,FALSE)</f>
        <v>219</v>
      </c>
      <c r="G1451" s="11">
        <f>VLOOKUP(B1451,'ITEMS LIST'!$B$2:$F$19,5,FALSE)</f>
        <v>132</v>
      </c>
      <c r="H1451" s="11">
        <f t="shared" si="88"/>
        <v>0</v>
      </c>
      <c r="I1451" s="11">
        <f t="shared" si="89"/>
        <v>0</v>
      </c>
      <c r="J1451" s="11">
        <f t="shared" si="91"/>
        <v>0</v>
      </c>
    </row>
    <row r="1452" spans="1:10" x14ac:dyDescent="0.3">
      <c r="A1452" s="7">
        <v>44915.555555554383</v>
      </c>
      <c r="B1452" s="8" t="s">
        <v>10</v>
      </c>
      <c r="C1452" s="8">
        <v>0</v>
      </c>
      <c r="D1452" t="str">
        <f t="shared" si="90"/>
        <v>Tuesday</v>
      </c>
      <c r="E1452">
        <v>52</v>
      </c>
      <c r="F1452" s="11">
        <f>VLOOKUP(B1452,'ITEMS LIST'!$B$2:$F$19,4,FALSE)</f>
        <v>1469</v>
      </c>
      <c r="G1452" s="11">
        <f>VLOOKUP(B1452,'ITEMS LIST'!$B$2:$F$19,5,FALSE)</f>
        <v>1184</v>
      </c>
      <c r="H1452" s="11">
        <f t="shared" si="88"/>
        <v>0</v>
      </c>
      <c r="I1452" s="11">
        <f t="shared" si="89"/>
        <v>0</v>
      </c>
      <c r="J1452" s="11">
        <f t="shared" si="91"/>
        <v>0</v>
      </c>
    </row>
    <row r="1453" spans="1:10" x14ac:dyDescent="0.3">
      <c r="A1453" s="7">
        <v>44915.611111109938</v>
      </c>
      <c r="B1453" s="8" t="s">
        <v>11</v>
      </c>
      <c r="C1453" s="8">
        <v>0</v>
      </c>
      <c r="D1453" t="str">
        <f t="shared" si="90"/>
        <v>Tuesday</v>
      </c>
      <c r="E1453">
        <v>52</v>
      </c>
      <c r="F1453" s="11">
        <f>VLOOKUP(B1453,'ITEMS LIST'!$B$2:$F$19,4,FALSE)</f>
        <v>89</v>
      </c>
      <c r="G1453" s="11">
        <f>VLOOKUP(B1453,'ITEMS LIST'!$B$2:$F$19,5,FALSE)</f>
        <v>59</v>
      </c>
      <c r="H1453" s="11">
        <f t="shared" si="88"/>
        <v>0</v>
      </c>
      <c r="I1453" s="11">
        <f t="shared" si="89"/>
        <v>0</v>
      </c>
      <c r="J1453" s="11">
        <f t="shared" si="91"/>
        <v>0</v>
      </c>
    </row>
    <row r="1454" spans="1:10" x14ac:dyDescent="0.3">
      <c r="A1454" s="7">
        <v>44915.666666665493</v>
      </c>
      <c r="B1454" s="8" t="s">
        <v>12</v>
      </c>
      <c r="C1454" s="8">
        <v>0</v>
      </c>
      <c r="D1454" t="str">
        <f t="shared" si="90"/>
        <v>Tuesday</v>
      </c>
      <c r="E1454">
        <v>52</v>
      </c>
      <c r="F1454" s="11">
        <f>VLOOKUP(B1454,'ITEMS LIST'!$B$2:$F$19,4,FALSE)</f>
        <v>310</v>
      </c>
      <c r="G1454" s="11">
        <f>VLOOKUP(B1454,'ITEMS LIST'!$B$2:$F$19,5,FALSE)</f>
        <v>206</v>
      </c>
      <c r="H1454" s="11">
        <f t="shared" si="88"/>
        <v>0</v>
      </c>
      <c r="I1454" s="11">
        <f t="shared" si="89"/>
        <v>0</v>
      </c>
      <c r="J1454" s="11">
        <f t="shared" si="91"/>
        <v>0</v>
      </c>
    </row>
    <row r="1455" spans="1:10" x14ac:dyDescent="0.3">
      <c r="A1455" s="7">
        <v>44915.722222221048</v>
      </c>
      <c r="B1455" s="8" t="s">
        <v>13</v>
      </c>
      <c r="C1455" s="8">
        <v>0</v>
      </c>
      <c r="D1455" t="str">
        <f t="shared" si="90"/>
        <v>Tuesday</v>
      </c>
      <c r="E1455">
        <v>52</v>
      </c>
      <c r="F1455" s="11">
        <f>VLOOKUP(B1455,'ITEMS LIST'!$B$2:$F$19,4,FALSE)</f>
        <v>540</v>
      </c>
      <c r="G1455" s="11">
        <f>VLOOKUP(B1455,'ITEMS LIST'!$B$2:$F$19,5,FALSE)</f>
        <v>397</v>
      </c>
      <c r="H1455" s="11">
        <f t="shared" si="88"/>
        <v>0</v>
      </c>
      <c r="I1455" s="11">
        <f t="shared" si="89"/>
        <v>0</v>
      </c>
      <c r="J1455" s="11">
        <f t="shared" si="91"/>
        <v>0</v>
      </c>
    </row>
    <row r="1456" spans="1:10" x14ac:dyDescent="0.3">
      <c r="A1456" s="7">
        <v>44915.777777776602</v>
      </c>
      <c r="B1456" s="8" t="s">
        <v>14</v>
      </c>
      <c r="C1456" s="8">
        <v>0</v>
      </c>
      <c r="D1456" t="str">
        <f t="shared" si="90"/>
        <v>Tuesday</v>
      </c>
      <c r="E1456">
        <v>52</v>
      </c>
      <c r="F1456" s="11">
        <f>VLOOKUP(B1456,'ITEMS LIST'!$B$2:$F$19,4,FALSE)</f>
        <v>360</v>
      </c>
      <c r="G1456" s="11">
        <f>VLOOKUP(B1456,'ITEMS LIST'!$B$2:$F$19,5,FALSE)</f>
        <v>248</v>
      </c>
      <c r="H1456" s="11">
        <f t="shared" si="88"/>
        <v>0</v>
      </c>
      <c r="I1456" s="11">
        <f t="shared" si="89"/>
        <v>0</v>
      </c>
      <c r="J1456" s="11">
        <f t="shared" si="91"/>
        <v>0</v>
      </c>
    </row>
    <row r="1457" spans="1:10" x14ac:dyDescent="0.3">
      <c r="A1457" s="7">
        <v>44915.833333332157</v>
      </c>
      <c r="B1457" s="8" t="s">
        <v>15</v>
      </c>
      <c r="C1457" s="8">
        <v>0</v>
      </c>
      <c r="D1457" t="str">
        <f t="shared" si="90"/>
        <v>Tuesday</v>
      </c>
      <c r="E1457">
        <v>52</v>
      </c>
      <c r="F1457" s="11">
        <f>VLOOKUP(B1457,'ITEMS LIST'!$B$2:$F$19,4,FALSE)</f>
        <v>250</v>
      </c>
      <c r="G1457" s="11">
        <f>VLOOKUP(B1457,'ITEMS LIST'!$B$2:$F$19,5,FALSE)</f>
        <v>190</v>
      </c>
      <c r="H1457" s="11">
        <f t="shared" si="88"/>
        <v>0</v>
      </c>
      <c r="I1457" s="11">
        <f t="shared" si="89"/>
        <v>0</v>
      </c>
      <c r="J1457" s="11">
        <f t="shared" si="91"/>
        <v>0</v>
      </c>
    </row>
    <row r="1458" spans="1:10" x14ac:dyDescent="0.3">
      <c r="A1458" s="7">
        <v>44915.888888887712</v>
      </c>
      <c r="B1458" s="8" t="s">
        <v>16</v>
      </c>
      <c r="C1458" s="8">
        <v>0</v>
      </c>
      <c r="D1458" t="str">
        <f t="shared" si="90"/>
        <v>Tuesday</v>
      </c>
      <c r="E1458">
        <v>52</v>
      </c>
      <c r="F1458" s="11">
        <f>VLOOKUP(B1458,'ITEMS LIST'!$B$2:$F$19,4,FALSE)</f>
        <v>120</v>
      </c>
      <c r="G1458" s="11">
        <f>VLOOKUP(B1458,'ITEMS LIST'!$B$2:$F$19,5,FALSE)</f>
        <v>85</v>
      </c>
      <c r="H1458" s="11">
        <f t="shared" si="88"/>
        <v>0</v>
      </c>
      <c r="I1458" s="11">
        <f t="shared" si="89"/>
        <v>0</v>
      </c>
      <c r="J1458" s="11">
        <f t="shared" si="91"/>
        <v>0</v>
      </c>
    </row>
    <row r="1459" spans="1:10" x14ac:dyDescent="0.3">
      <c r="A1459" s="7">
        <v>44915.944444443267</v>
      </c>
      <c r="B1459" s="8" t="s">
        <v>17</v>
      </c>
      <c r="C1459" s="8">
        <v>0</v>
      </c>
      <c r="D1459" t="str">
        <f t="shared" si="90"/>
        <v>Tuesday</v>
      </c>
      <c r="E1459">
        <v>52</v>
      </c>
      <c r="F1459" s="11">
        <f>VLOOKUP(B1459,'ITEMS LIST'!$B$2:$F$19,4,FALSE)</f>
        <v>80</v>
      </c>
      <c r="G1459" s="11">
        <f>VLOOKUP(B1459,'ITEMS LIST'!$B$2:$F$19,5,FALSE)</f>
        <v>55</v>
      </c>
      <c r="H1459" s="11">
        <f t="shared" si="88"/>
        <v>0</v>
      </c>
      <c r="I1459" s="11">
        <f t="shared" si="89"/>
        <v>0</v>
      </c>
      <c r="J1459" s="11">
        <f t="shared" si="91"/>
        <v>0</v>
      </c>
    </row>
    <row r="1460" spans="1:10" x14ac:dyDescent="0.3">
      <c r="A1460" s="7">
        <v>44915.999999998821</v>
      </c>
      <c r="B1460" s="8" t="s">
        <v>0</v>
      </c>
      <c r="C1460" s="8">
        <v>0</v>
      </c>
      <c r="D1460" t="str">
        <f t="shared" si="90"/>
        <v>Wednesday</v>
      </c>
      <c r="E1460">
        <v>52</v>
      </c>
      <c r="F1460" s="11">
        <f>VLOOKUP(B1460,'ITEMS LIST'!$B$2:$F$19,4,FALSE)</f>
        <v>549</v>
      </c>
      <c r="G1460" s="11">
        <f>VLOOKUP(B1460,'ITEMS LIST'!$B$2:$F$19,5,FALSE)</f>
        <v>365</v>
      </c>
      <c r="H1460" s="11">
        <f t="shared" si="88"/>
        <v>0</v>
      </c>
      <c r="I1460" s="11">
        <f t="shared" si="89"/>
        <v>0</v>
      </c>
      <c r="J1460" s="11">
        <f t="shared" si="91"/>
        <v>0</v>
      </c>
    </row>
    <row r="1461" spans="1:10" x14ac:dyDescent="0.3">
      <c r="A1461" s="7">
        <v>44916.055555554376</v>
      </c>
      <c r="B1461" s="8" t="s">
        <v>1</v>
      </c>
      <c r="C1461" s="8">
        <v>0</v>
      </c>
      <c r="D1461" t="str">
        <f t="shared" si="90"/>
        <v>Wednesday</v>
      </c>
      <c r="E1461">
        <v>52</v>
      </c>
      <c r="F1461" s="11">
        <f>VLOOKUP(B1461,'ITEMS LIST'!$B$2:$F$19,4,FALSE)</f>
        <v>699</v>
      </c>
      <c r="G1461" s="11">
        <f>VLOOKUP(B1461,'ITEMS LIST'!$B$2:$F$19,5,FALSE)</f>
        <v>550</v>
      </c>
      <c r="H1461" s="11">
        <f t="shared" si="88"/>
        <v>0</v>
      </c>
      <c r="I1461" s="11">
        <f t="shared" si="89"/>
        <v>0</v>
      </c>
      <c r="J1461" s="11">
        <f t="shared" si="91"/>
        <v>0</v>
      </c>
    </row>
    <row r="1462" spans="1:10" x14ac:dyDescent="0.3">
      <c r="A1462" s="7">
        <v>44916.111111109931</v>
      </c>
      <c r="B1462" s="8" t="s">
        <v>2</v>
      </c>
      <c r="C1462" s="8">
        <v>0</v>
      </c>
      <c r="D1462" t="str">
        <f t="shared" si="90"/>
        <v>Wednesday</v>
      </c>
      <c r="E1462">
        <v>52</v>
      </c>
      <c r="F1462" s="11">
        <f>VLOOKUP(B1462,'ITEMS LIST'!$B$2:$F$19,4,FALSE)</f>
        <v>739</v>
      </c>
      <c r="G1462" s="11">
        <f>VLOOKUP(B1462,'ITEMS LIST'!$B$2:$F$19,5,FALSE)</f>
        <v>620</v>
      </c>
      <c r="H1462" s="11">
        <f t="shared" si="88"/>
        <v>0</v>
      </c>
      <c r="I1462" s="11">
        <f t="shared" si="89"/>
        <v>0</v>
      </c>
      <c r="J1462" s="11">
        <f t="shared" si="91"/>
        <v>0</v>
      </c>
    </row>
    <row r="1463" spans="1:10" x14ac:dyDescent="0.3">
      <c r="A1463" s="7">
        <v>44916.166666665486</v>
      </c>
      <c r="B1463" s="8" t="s">
        <v>3</v>
      </c>
      <c r="C1463" s="8">
        <v>0</v>
      </c>
      <c r="D1463" t="str">
        <f t="shared" si="90"/>
        <v>Wednesday</v>
      </c>
      <c r="E1463">
        <v>52</v>
      </c>
      <c r="F1463" s="11">
        <f>VLOOKUP(B1463,'ITEMS LIST'!$B$2:$F$19,4,FALSE)</f>
        <v>899</v>
      </c>
      <c r="G1463" s="11">
        <f>VLOOKUP(B1463,'ITEMS LIST'!$B$2:$F$19,5,FALSE)</f>
        <v>714</v>
      </c>
      <c r="H1463" s="11">
        <f t="shared" si="88"/>
        <v>0</v>
      </c>
      <c r="I1463" s="11">
        <f t="shared" si="89"/>
        <v>0</v>
      </c>
      <c r="J1463" s="11">
        <f t="shared" si="91"/>
        <v>0</v>
      </c>
    </row>
    <row r="1464" spans="1:10" x14ac:dyDescent="0.3">
      <c r="A1464" s="7">
        <v>44916.22222222104</v>
      </c>
      <c r="B1464" s="8" t="s">
        <v>4</v>
      </c>
      <c r="C1464" s="8">
        <v>3</v>
      </c>
      <c r="D1464" t="str">
        <f t="shared" si="90"/>
        <v>Wednesday</v>
      </c>
      <c r="E1464">
        <v>52</v>
      </c>
      <c r="F1464" s="11">
        <f>VLOOKUP(B1464,'ITEMS LIST'!$B$2:$F$19,4,FALSE)</f>
        <v>1379</v>
      </c>
      <c r="G1464" s="11">
        <f>VLOOKUP(B1464,'ITEMS LIST'!$B$2:$F$19,5,FALSE)</f>
        <v>890</v>
      </c>
      <c r="H1464" s="11">
        <f t="shared" si="88"/>
        <v>4137</v>
      </c>
      <c r="I1464" s="11">
        <f t="shared" si="89"/>
        <v>2670</v>
      </c>
      <c r="J1464" s="11">
        <f t="shared" si="91"/>
        <v>1467</v>
      </c>
    </row>
    <row r="1465" spans="1:10" x14ac:dyDescent="0.3">
      <c r="A1465" s="7">
        <v>44916.277777776595</v>
      </c>
      <c r="B1465" s="8" t="s">
        <v>5</v>
      </c>
      <c r="C1465" s="8">
        <v>0</v>
      </c>
      <c r="D1465" t="str">
        <f t="shared" si="90"/>
        <v>Wednesday</v>
      </c>
      <c r="E1465">
        <v>52</v>
      </c>
      <c r="F1465" s="11">
        <f>VLOOKUP(B1465,'ITEMS LIST'!$B$2:$F$19,4,FALSE)</f>
        <v>849</v>
      </c>
      <c r="G1465" s="11">
        <f>VLOOKUP(B1465,'ITEMS LIST'!$B$2:$F$19,5,FALSE)</f>
        <v>530</v>
      </c>
      <c r="H1465" s="11">
        <f t="shared" si="88"/>
        <v>0</v>
      </c>
      <c r="I1465" s="11">
        <f t="shared" si="89"/>
        <v>0</v>
      </c>
      <c r="J1465" s="11">
        <f t="shared" si="91"/>
        <v>0</v>
      </c>
    </row>
    <row r="1466" spans="1:10" x14ac:dyDescent="0.3">
      <c r="A1466" s="7">
        <v>44916.33333333215</v>
      </c>
      <c r="B1466" s="8" t="s">
        <v>6</v>
      </c>
      <c r="C1466" s="8">
        <v>0</v>
      </c>
      <c r="D1466" t="str">
        <f t="shared" si="90"/>
        <v>Wednesday</v>
      </c>
      <c r="E1466">
        <v>52</v>
      </c>
      <c r="F1466" s="11">
        <f>VLOOKUP(B1466,'ITEMS LIST'!$B$2:$F$19,4,FALSE)</f>
        <v>1000</v>
      </c>
      <c r="G1466" s="11">
        <f>VLOOKUP(B1466,'ITEMS LIST'!$B$2:$F$19,5,FALSE)</f>
        <v>768</v>
      </c>
      <c r="H1466" s="11">
        <f t="shared" si="88"/>
        <v>0</v>
      </c>
      <c r="I1466" s="11">
        <f t="shared" si="89"/>
        <v>0</v>
      </c>
      <c r="J1466" s="11">
        <f t="shared" si="91"/>
        <v>0</v>
      </c>
    </row>
    <row r="1467" spans="1:10" x14ac:dyDescent="0.3">
      <c r="A1467" s="7">
        <v>44916.388888887705</v>
      </c>
      <c r="B1467" s="8" t="s">
        <v>7</v>
      </c>
      <c r="C1467" s="8">
        <v>0</v>
      </c>
      <c r="D1467" t="str">
        <f t="shared" si="90"/>
        <v>Wednesday</v>
      </c>
      <c r="E1467">
        <v>52</v>
      </c>
      <c r="F1467" s="11">
        <f>VLOOKUP(B1467,'ITEMS LIST'!$B$2:$F$19,4,FALSE)</f>
        <v>680</v>
      </c>
      <c r="G1467" s="11">
        <f>VLOOKUP(B1467,'ITEMS LIST'!$B$2:$F$19,5,FALSE)</f>
        <v>570</v>
      </c>
      <c r="H1467" s="11">
        <f t="shared" si="88"/>
        <v>0</v>
      </c>
      <c r="I1467" s="11">
        <f t="shared" si="89"/>
        <v>0</v>
      </c>
      <c r="J1467" s="11">
        <f t="shared" si="91"/>
        <v>0</v>
      </c>
    </row>
    <row r="1468" spans="1:10" x14ac:dyDescent="0.3">
      <c r="A1468" s="7">
        <v>44916.444444443259</v>
      </c>
      <c r="B1468" s="8" t="s">
        <v>8</v>
      </c>
      <c r="C1468" s="8">
        <v>0</v>
      </c>
      <c r="D1468" t="str">
        <f t="shared" si="90"/>
        <v>Wednesday</v>
      </c>
      <c r="E1468">
        <v>52</v>
      </c>
      <c r="F1468" s="11">
        <f>VLOOKUP(B1468,'ITEMS LIST'!$B$2:$F$19,4,FALSE)</f>
        <v>199</v>
      </c>
      <c r="G1468" s="11">
        <f>VLOOKUP(B1468,'ITEMS LIST'!$B$2:$F$19,5,FALSE)</f>
        <v>140</v>
      </c>
      <c r="H1468" s="11">
        <f t="shared" si="88"/>
        <v>0</v>
      </c>
      <c r="I1468" s="11">
        <f t="shared" si="89"/>
        <v>0</v>
      </c>
      <c r="J1468" s="11">
        <f t="shared" si="91"/>
        <v>0</v>
      </c>
    </row>
    <row r="1469" spans="1:10" x14ac:dyDescent="0.3">
      <c r="A1469" s="7">
        <v>44916.499999998814</v>
      </c>
      <c r="B1469" s="8" t="s">
        <v>9</v>
      </c>
      <c r="C1469" s="8">
        <v>0</v>
      </c>
      <c r="D1469" t="str">
        <f t="shared" si="90"/>
        <v>Wednesday</v>
      </c>
      <c r="E1469">
        <v>52</v>
      </c>
      <c r="F1469" s="11">
        <f>VLOOKUP(B1469,'ITEMS LIST'!$B$2:$F$19,4,FALSE)</f>
        <v>219</v>
      </c>
      <c r="G1469" s="11">
        <f>VLOOKUP(B1469,'ITEMS LIST'!$B$2:$F$19,5,FALSE)</f>
        <v>132</v>
      </c>
      <c r="H1469" s="11">
        <f t="shared" si="88"/>
        <v>0</v>
      </c>
      <c r="I1469" s="11">
        <f t="shared" si="89"/>
        <v>0</v>
      </c>
      <c r="J1469" s="11">
        <f t="shared" si="91"/>
        <v>0</v>
      </c>
    </row>
    <row r="1470" spans="1:10" x14ac:dyDescent="0.3">
      <c r="A1470" s="7">
        <v>44916.555555554369</v>
      </c>
      <c r="B1470" s="8" t="s">
        <v>10</v>
      </c>
      <c r="C1470" s="8">
        <v>1</v>
      </c>
      <c r="D1470" t="str">
        <f t="shared" si="90"/>
        <v>Wednesday</v>
      </c>
      <c r="E1470">
        <v>52</v>
      </c>
      <c r="F1470" s="11">
        <f>VLOOKUP(B1470,'ITEMS LIST'!$B$2:$F$19,4,FALSE)</f>
        <v>1469</v>
      </c>
      <c r="G1470" s="11">
        <f>VLOOKUP(B1470,'ITEMS LIST'!$B$2:$F$19,5,FALSE)</f>
        <v>1184</v>
      </c>
      <c r="H1470" s="11">
        <f t="shared" si="88"/>
        <v>1469</v>
      </c>
      <c r="I1470" s="11">
        <f t="shared" si="89"/>
        <v>1184</v>
      </c>
      <c r="J1470" s="11">
        <f t="shared" si="91"/>
        <v>285</v>
      </c>
    </row>
    <row r="1471" spans="1:10" x14ac:dyDescent="0.3">
      <c r="A1471" s="7">
        <v>44916.611111109924</v>
      </c>
      <c r="B1471" s="8" t="s">
        <v>11</v>
      </c>
      <c r="C1471" s="8">
        <v>0</v>
      </c>
      <c r="D1471" t="str">
        <f t="shared" si="90"/>
        <v>Wednesday</v>
      </c>
      <c r="E1471">
        <v>52</v>
      </c>
      <c r="F1471" s="11">
        <f>VLOOKUP(B1471,'ITEMS LIST'!$B$2:$F$19,4,FALSE)</f>
        <v>89</v>
      </c>
      <c r="G1471" s="11">
        <f>VLOOKUP(B1471,'ITEMS LIST'!$B$2:$F$19,5,FALSE)</f>
        <v>59</v>
      </c>
      <c r="H1471" s="11">
        <f t="shared" si="88"/>
        <v>0</v>
      </c>
      <c r="I1471" s="11">
        <f t="shared" si="89"/>
        <v>0</v>
      </c>
      <c r="J1471" s="11">
        <f t="shared" si="91"/>
        <v>0</v>
      </c>
    </row>
    <row r="1472" spans="1:10" x14ac:dyDescent="0.3">
      <c r="A1472" s="7">
        <v>44916.666666665478</v>
      </c>
      <c r="B1472" s="8" t="s">
        <v>12</v>
      </c>
      <c r="C1472" s="8">
        <v>0</v>
      </c>
      <c r="D1472" t="str">
        <f t="shared" si="90"/>
        <v>Wednesday</v>
      </c>
      <c r="E1472">
        <v>52</v>
      </c>
      <c r="F1472" s="11">
        <f>VLOOKUP(B1472,'ITEMS LIST'!$B$2:$F$19,4,FALSE)</f>
        <v>310</v>
      </c>
      <c r="G1472" s="11">
        <f>VLOOKUP(B1472,'ITEMS LIST'!$B$2:$F$19,5,FALSE)</f>
        <v>206</v>
      </c>
      <c r="H1472" s="11">
        <f t="shared" si="88"/>
        <v>0</v>
      </c>
      <c r="I1472" s="11">
        <f t="shared" si="89"/>
        <v>0</v>
      </c>
      <c r="J1472" s="11">
        <f t="shared" si="91"/>
        <v>0</v>
      </c>
    </row>
    <row r="1473" spans="1:10" x14ac:dyDescent="0.3">
      <c r="A1473" s="7">
        <v>44916.722222221033</v>
      </c>
      <c r="B1473" s="8" t="s">
        <v>13</v>
      </c>
      <c r="C1473" s="8">
        <v>0</v>
      </c>
      <c r="D1473" t="str">
        <f t="shared" si="90"/>
        <v>Wednesday</v>
      </c>
      <c r="E1473">
        <v>52</v>
      </c>
      <c r="F1473" s="11">
        <f>VLOOKUP(B1473,'ITEMS LIST'!$B$2:$F$19,4,FALSE)</f>
        <v>540</v>
      </c>
      <c r="G1473" s="11">
        <f>VLOOKUP(B1473,'ITEMS LIST'!$B$2:$F$19,5,FALSE)</f>
        <v>397</v>
      </c>
      <c r="H1473" s="11">
        <f t="shared" si="88"/>
        <v>0</v>
      </c>
      <c r="I1473" s="11">
        <f t="shared" si="89"/>
        <v>0</v>
      </c>
      <c r="J1473" s="11">
        <f t="shared" si="91"/>
        <v>0</v>
      </c>
    </row>
    <row r="1474" spans="1:10" x14ac:dyDescent="0.3">
      <c r="A1474" s="7">
        <v>44916.777777776588</v>
      </c>
      <c r="B1474" s="8" t="s">
        <v>14</v>
      </c>
      <c r="C1474" s="8">
        <v>0</v>
      </c>
      <c r="D1474" t="str">
        <f t="shared" si="90"/>
        <v>Wednesday</v>
      </c>
      <c r="E1474">
        <v>52</v>
      </c>
      <c r="F1474" s="11">
        <f>VLOOKUP(B1474,'ITEMS LIST'!$B$2:$F$19,4,FALSE)</f>
        <v>360</v>
      </c>
      <c r="G1474" s="11">
        <f>VLOOKUP(B1474,'ITEMS LIST'!$B$2:$F$19,5,FALSE)</f>
        <v>248</v>
      </c>
      <c r="H1474" s="11">
        <f t="shared" ref="H1474:H1537" si="92">C1474*F1474</f>
        <v>0</v>
      </c>
      <c r="I1474" s="11">
        <f t="shared" ref="I1474:I1537" si="93">C1474*G1474</f>
        <v>0</v>
      </c>
      <c r="J1474" s="11">
        <f t="shared" si="91"/>
        <v>0</v>
      </c>
    </row>
    <row r="1475" spans="1:10" x14ac:dyDescent="0.3">
      <c r="A1475" s="7">
        <v>44916.833333332143</v>
      </c>
      <c r="B1475" s="8" t="s">
        <v>15</v>
      </c>
      <c r="C1475" s="8">
        <v>0</v>
      </c>
      <c r="D1475" t="str">
        <f t="shared" ref="D1475:D1538" si="94">TEXT(A1475,"dddd")</f>
        <v>Wednesday</v>
      </c>
      <c r="E1475">
        <v>52</v>
      </c>
      <c r="F1475" s="11">
        <f>VLOOKUP(B1475,'ITEMS LIST'!$B$2:$F$19,4,FALSE)</f>
        <v>250</v>
      </c>
      <c r="G1475" s="11">
        <f>VLOOKUP(B1475,'ITEMS LIST'!$B$2:$F$19,5,FALSE)</f>
        <v>190</v>
      </c>
      <c r="H1475" s="11">
        <f t="shared" si="92"/>
        <v>0</v>
      </c>
      <c r="I1475" s="11">
        <f t="shared" si="93"/>
        <v>0</v>
      </c>
      <c r="J1475" s="11">
        <f t="shared" ref="J1475:J1538" si="95">H1475-I1475</f>
        <v>0</v>
      </c>
    </row>
    <row r="1476" spans="1:10" x14ac:dyDescent="0.3">
      <c r="A1476" s="7">
        <v>44916.888888887697</v>
      </c>
      <c r="B1476" s="8" t="s">
        <v>16</v>
      </c>
      <c r="C1476" s="8">
        <v>0</v>
      </c>
      <c r="D1476" t="str">
        <f t="shared" si="94"/>
        <v>Wednesday</v>
      </c>
      <c r="E1476">
        <v>52</v>
      </c>
      <c r="F1476" s="11">
        <f>VLOOKUP(B1476,'ITEMS LIST'!$B$2:$F$19,4,FALSE)</f>
        <v>120</v>
      </c>
      <c r="G1476" s="11">
        <f>VLOOKUP(B1476,'ITEMS LIST'!$B$2:$F$19,5,FALSE)</f>
        <v>85</v>
      </c>
      <c r="H1476" s="11">
        <f t="shared" si="92"/>
        <v>0</v>
      </c>
      <c r="I1476" s="11">
        <f t="shared" si="93"/>
        <v>0</v>
      </c>
      <c r="J1476" s="11">
        <f t="shared" si="95"/>
        <v>0</v>
      </c>
    </row>
    <row r="1477" spans="1:10" x14ac:dyDescent="0.3">
      <c r="A1477" s="7">
        <v>44916.944444443252</v>
      </c>
      <c r="B1477" s="8" t="s">
        <v>17</v>
      </c>
      <c r="C1477" s="8">
        <v>0</v>
      </c>
      <c r="D1477" t="str">
        <f t="shared" si="94"/>
        <v>Wednesday</v>
      </c>
      <c r="E1477">
        <v>52</v>
      </c>
      <c r="F1477" s="11">
        <f>VLOOKUP(B1477,'ITEMS LIST'!$B$2:$F$19,4,FALSE)</f>
        <v>80</v>
      </c>
      <c r="G1477" s="11">
        <f>VLOOKUP(B1477,'ITEMS LIST'!$B$2:$F$19,5,FALSE)</f>
        <v>55</v>
      </c>
      <c r="H1477" s="11">
        <f t="shared" si="92"/>
        <v>0</v>
      </c>
      <c r="I1477" s="11">
        <f t="shared" si="93"/>
        <v>0</v>
      </c>
      <c r="J1477" s="11">
        <f t="shared" si="95"/>
        <v>0</v>
      </c>
    </row>
    <row r="1478" spans="1:10" x14ac:dyDescent="0.3">
      <c r="A1478" s="7">
        <v>44916.999999998807</v>
      </c>
      <c r="B1478" s="8" t="s">
        <v>0</v>
      </c>
      <c r="C1478" s="8">
        <v>0</v>
      </c>
      <c r="D1478" t="str">
        <f t="shared" si="94"/>
        <v>Thursday</v>
      </c>
      <c r="E1478">
        <v>52</v>
      </c>
      <c r="F1478" s="11">
        <f>VLOOKUP(B1478,'ITEMS LIST'!$B$2:$F$19,4,FALSE)</f>
        <v>549</v>
      </c>
      <c r="G1478" s="11">
        <f>VLOOKUP(B1478,'ITEMS LIST'!$B$2:$F$19,5,FALSE)</f>
        <v>365</v>
      </c>
      <c r="H1478" s="11">
        <f t="shared" si="92"/>
        <v>0</v>
      </c>
      <c r="I1478" s="11">
        <f t="shared" si="93"/>
        <v>0</v>
      </c>
      <c r="J1478" s="11">
        <f t="shared" si="95"/>
        <v>0</v>
      </c>
    </row>
    <row r="1479" spans="1:10" x14ac:dyDescent="0.3">
      <c r="A1479" s="7">
        <v>44917.055555554361</v>
      </c>
      <c r="B1479" s="8" t="s">
        <v>1</v>
      </c>
      <c r="C1479" s="8">
        <v>0</v>
      </c>
      <c r="D1479" t="str">
        <f t="shared" si="94"/>
        <v>Thursday</v>
      </c>
      <c r="E1479">
        <v>52</v>
      </c>
      <c r="F1479" s="11">
        <f>VLOOKUP(B1479,'ITEMS LIST'!$B$2:$F$19,4,FALSE)</f>
        <v>699</v>
      </c>
      <c r="G1479" s="11">
        <f>VLOOKUP(B1479,'ITEMS LIST'!$B$2:$F$19,5,FALSE)</f>
        <v>550</v>
      </c>
      <c r="H1479" s="11">
        <f t="shared" si="92"/>
        <v>0</v>
      </c>
      <c r="I1479" s="11">
        <f t="shared" si="93"/>
        <v>0</v>
      </c>
      <c r="J1479" s="11">
        <f t="shared" si="95"/>
        <v>0</v>
      </c>
    </row>
    <row r="1480" spans="1:10" x14ac:dyDescent="0.3">
      <c r="A1480" s="7">
        <v>44917.111111109916</v>
      </c>
      <c r="B1480" s="8" t="s">
        <v>2</v>
      </c>
      <c r="C1480" s="8">
        <v>0</v>
      </c>
      <c r="D1480" t="str">
        <f t="shared" si="94"/>
        <v>Thursday</v>
      </c>
      <c r="E1480">
        <v>52</v>
      </c>
      <c r="F1480" s="11">
        <f>VLOOKUP(B1480,'ITEMS LIST'!$B$2:$F$19,4,FALSE)</f>
        <v>739</v>
      </c>
      <c r="G1480" s="11">
        <f>VLOOKUP(B1480,'ITEMS LIST'!$B$2:$F$19,5,FALSE)</f>
        <v>620</v>
      </c>
      <c r="H1480" s="11">
        <f t="shared" si="92"/>
        <v>0</v>
      </c>
      <c r="I1480" s="11">
        <f t="shared" si="93"/>
        <v>0</v>
      </c>
      <c r="J1480" s="11">
        <f t="shared" si="95"/>
        <v>0</v>
      </c>
    </row>
    <row r="1481" spans="1:10" x14ac:dyDescent="0.3">
      <c r="A1481" s="7">
        <v>44917.166666665471</v>
      </c>
      <c r="B1481" s="8" t="s">
        <v>3</v>
      </c>
      <c r="C1481" s="8">
        <v>0</v>
      </c>
      <c r="D1481" t="str">
        <f t="shared" si="94"/>
        <v>Thursday</v>
      </c>
      <c r="E1481">
        <v>52</v>
      </c>
      <c r="F1481" s="11">
        <f>VLOOKUP(B1481,'ITEMS LIST'!$B$2:$F$19,4,FALSE)</f>
        <v>899</v>
      </c>
      <c r="G1481" s="11">
        <f>VLOOKUP(B1481,'ITEMS LIST'!$B$2:$F$19,5,FALSE)</f>
        <v>714</v>
      </c>
      <c r="H1481" s="11">
        <f t="shared" si="92"/>
        <v>0</v>
      </c>
      <c r="I1481" s="11">
        <f t="shared" si="93"/>
        <v>0</v>
      </c>
      <c r="J1481" s="11">
        <f t="shared" si="95"/>
        <v>0</v>
      </c>
    </row>
    <row r="1482" spans="1:10" x14ac:dyDescent="0.3">
      <c r="A1482" s="7">
        <v>44917.222222221026</v>
      </c>
      <c r="B1482" s="8" t="s">
        <v>4</v>
      </c>
      <c r="C1482" s="8">
        <v>0</v>
      </c>
      <c r="D1482" t="str">
        <f t="shared" si="94"/>
        <v>Thursday</v>
      </c>
      <c r="E1482">
        <v>52</v>
      </c>
      <c r="F1482" s="11">
        <f>VLOOKUP(B1482,'ITEMS LIST'!$B$2:$F$19,4,FALSE)</f>
        <v>1379</v>
      </c>
      <c r="G1482" s="11">
        <f>VLOOKUP(B1482,'ITEMS LIST'!$B$2:$F$19,5,FALSE)</f>
        <v>890</v>
      </c>
      <c r="H1482" s="11">
        <f t="shared" si="92"/>
        <v>0</v>
      </c>
      <c r="I1482" s="11">
        <f t="shared" si="93"/>
        <v>0</v>
      </c>
      <c r="J1482" s="11">
        <f t="shared" si="95"/>
        <v>0</v>
      </c>
    </row>
    <row r="1483" spans="1:10" x14ac:dyDescent="0.3">
      <c r="A1483" s="7">
        <v>44917.27777777658</v>
      </c>
      <c r="B1483" s="8" t="s">
        <v>5</v>
      </c>
      <c r="C1483" s="8">
        <v>0</v>
      </c>
      <c r="D1483" t="str">
        <f t="shared" si="94"/>
        <v>Thursday</v>
      </c>
      <c r="E1483">
        <v>52</v>
      </c>
      <c r="F1483" s="11">
        <f>VLOOKUP(B1483,'ITEMS LIST'!$B$2:$F$19,4,FALSE)</f>
        <v>849</v>
      </c>
      <c r="G1483" s="11">
        <f>VLOOKUP(B1483,'ITEMS LIST'!$B$2:$F$19,5,FALSE)</f>
        <v>530</v>
      </c>
      <c r="H1483" s="11">
        <f t="shared" si="92"/>
        <v>0</v>
      </c>
      <c r="I1483" s="11">
        <f t="shared" si="93"/>
        <v>0</v>
      </c>
      <c r="J1483" s="11">
        <f t="shared" si="95"/>
        <v>0</v>
      </c>
    </row>
    <row r="1484" spans="1:10" x14ac:dyDescent="0.3">
      <c r="A1484" s="7">
        <v>44917.333333332135</v>
      </c>
      <c r="B1484" s="8" t="s">
        <v>6</v>
      </c>
      <c r="C1484" s="8">
        <v>0</v>
      </c>
      <c r="D1484" t="str">
        <f t="shared" si="94"/>
        <v>Thursday</v>
      </c>
      <c r="E1484">
        <v>52</v>
      </c>
      <c r="F1484" s="11">
        <f>VLOOKUP(B1484,'ITEMS LIST'!$B$2:$F$19,4,FALSE)</f>
        <v>1000</v>
      </c>
      <c r="G1484" s="11">
        <f>VLOOKUP(B1484,'ITEMS LIST'!$B$2:$F$19,5,FALSE)</f>
        <v>768</v>
      </c>
      <c r="H1484" s="11">
        <f t="shared" si="92"/>
        <v>0</v>
      </c>
      <c r="I1484" s="11">
        <f t="shared" si="93"/>
        <v>0</v>
      </c>
      <c r="J1484" s="11">
        <f t="shared" si="95"/>
        <v>0</v>
      </c>
    </row>
    <row r="1485" spans="1:10" x14ac:dyDescent="0.3">
      <c r="A1485" s="7">
        <v>44917.38888888769</v>
      </c>
      <c r="B1485" s="8" t="s">
        <v>7</v>
      </c>
      <c r="C1485" s="8">
        <v>0</v>
      </c>
      <c r="D1485" t="str">
        <f t="shared" si="94"/>
        <v>Thursday</v>
      </c>
      <c r="E1485">
        <v>52</v>
      </c>
      <c r="F1485" s="11">
        <f>VLOOKUP(B1485,'ITEMS LIST'!$B$2:$F$19,4,FALSE)</f>
        <v>680</v>
      </c>
      <c r="G1485" s="11">
        <f>VLOOKUP(B1485,'ITEMS LIST'!$B$2:$F$19,5,FALSE)</f>
        <v>570</v>
      </c>
      <c r="H1485" s="11">
        <f t="shared" si="92"/>
        <v>0</v>
      </c>
      <c r="I1485" s="11">
        <f t="shared" si="93"/>
        <v>0</v>
      </c>
      <c r="J1485" s="11">
        <f t="shared" si="95"/>
        <v>0</v>
      </c>
    </row>
    <row r="1486" spans="1:10" x14ac:dyDescent="0.3">
      <c r="A1486" s="7">
        <v>44917.444444443245</v>
      </c>
      <c r="B1486" s="8" t="s">
        <v>8</v>
      </c>
      <c r="C1486" s="8">
        <v>0</v>
      </c>
      <c r="D1486" t="str">
        <f t="shared" si="94"/>
        <v>Thursday</v>
      </c>
      <c r="E1486">
        <v>52</v>
      </c>
      <c r="F1486" s="11">
        <f>VLOOKUP(B1486,'ITEMS LIST'!$B$2:$F$19,4,FALSE)</f>
        <v>199</v>
      </c>
      <c r="G1486" s="11">
        <f>VLOOKUP(B1486,'ITEMS LIST'!$B$2:$F$19,5,FALSE)</f>
        <v>140</v>
      </c>
      <c r="H1486" s="11">
        <f t="shared" si="92"/>
        <v>0</v>
      </c>
      <c r="I1486" s="11">
        <f t="shared" si="93"/>
        <v>0</v>
      </c>
      <c r="J1486" s="11">
        <f t="shared" si="95"/>
        <v>0</v>
      </c>
    </row>
    <row r="1487" spans="1:10" x14ac:dyDescent="0.3">
      <c r="A1487" s="7">
        <v>44917.499999998799</v>
      </c>
      <c r="B1487" s="8" t="s">
        <v>9</v>
      </c>
      <c r="C1487" s="8">
        <v>0</v>
      </c>
      <c r="D1487" t="str">
        <f t="shared" si="94"/>
        <v>Thursday</v>
      </c>
      <c r="E1487">
        <v>52</v>
      </c>
      <c r="F1487" s="11">
        <f>VLOOKUP(B1487,'ITEMS LIST'!$B$2:$F$19,4,FALSE)</f>
        <v>219</v>
      </c>
      <c r="G1487" s="11">
        <f>VLOOKUP(B1487,'ITEMS LIST'!$B$2:$F$19,5,FALSE)</f>
        <v>132</v>
      </c>
      <c r="H1487" s="11">
        <f t="shared" si="92"/>
        <v>0</v>
      </c>
      <c r="I1487" s="11">
        <f t="shared" si="93"/>
        <v>0</v>
      </c>
      <c r="J1487" s="11">
        <f t="shared" si="95"/>
        <v>0</v>
      </c>
    </row>
    <row r="1488" spans="1:10" x14ac:dyDescent="0.3">
      <c r="A1488" s="7">
        <v>44917.555555554354</v>
      </c>
      <c r="B1488" s="8" t="s">
        <v>10</v>
      </c>
      <c r="C1488" s="8">
        <v>0</v>
      </c>
      <c r="D1488" t="str">
        <f t="shared" si="94"/>
        <v>Thursday</v>
      </c>
      <c r="E1488">
        <v>52</v>
      </c>
      <c r="F1488" s="11">
        <f>VLOOKUP(B1488,'ITEMS LIST'!$B$2:$F$19,4,FALSE)</f>
        <v>1469</v>
      </c>
      <c r="G1488" s="11">
        <f>VLOOKUP(B1488,'ITEMS LIST'!$B$2:$F$19,5,FALSE)</f>
        <v>1184</v>
      </c>
      <c r="H1488" s="11">
        <f t="shared" si="92"/>
        <v>0</v>
      </c>
      <c r="I1488" s="11">
        <f t="shared" si="93"/>
        <v>0</v>
      </c>
      <c r="J1488" s="11">
        <f t="shared" si="95"/>
        <v>0</v>
      </c>
    </row>
    <row r="1489" spans="1:10" x14ac:dyDescent="0.3">
      <c r="A1489" s="7">
        <v>44917.611111109909</v>
      </c>
      <c r="B1489" s="8" t="s">
        <v>11</v>
      </c>
      <c r="C1489" s="8">
        <v>0</v>
      </c>
      <c r="D1489" t="str">
        <f t="shared" si="94"/>
        <v>Thursday</v>
      </c>
      <c r="E1489">
        <v>52</v>
      </c>
      <c r="F1489" s="11">
        <f>VLOOKUP(B1489,'ITEMS LIST'!$B$2:$F$19,4,FALSE)</f>
        <v>89</v>
      </c>
      <c r="G1489" s="11">
        <f>VLOOKUP(B1489,'ITEMS LIST'!$B$2:$F$19,5,FALSE)</f>
        <v>59</v>
      </c>
      <c r="H1489" s="11">
        <f t="shared" si="92"/>
        <v>0</v>
      </c>
      <c r="I1489" s="11">
        <f t="shared" si="93"/>
        <v>0</v>
      </c>
      <c r="J1489" s="11">
        <f t="shared" si="95"/>
        <v>0</v>
      </c>
    </row>
    <row r="1490" spans="1:10" x14ac:dyDescent="0.3">
      <c r="A1490" s="7">
        <v>44917.666666665464</v>
      </c>
      <c r="B1490" s="8" t="s">
        <v>12</v>
      </c>
      <c r="C1490" s="8">
        <v>0</v>
      </c>
      <c r="D1490" t="str">
        <f t="shared" si="94"/>
        <v>Thursday</v>
      </c>
      <c r="E1490">
        <v>52</v>
      </c>
      <c r="F1490" s="11">
        <f>VLOOKUP(B1490,'ITEMS LIST'!$B$2:$F$19,4,FALSE)</f>
        <v>310</v>
      </c>
      <c r="G1490" s="11">
        <f>VLOOKUP(B1490,'ITEMS LIST'!$B$2:$F$19,5,FALSE)</f>
        <v>206</v>
      </c>
      <c r="H1490" s="11">
        <f t="shared" si="92"/>
        <v>0</v>
      </c>
      <c r="I1490" s="11">
        <f t="shared" si="93"/>
        <v>0</v>
      </c>
      <c r="J1490" s="11">
        <f t="shared" si="95"/>
        <v>0</v>
      </c>
    </row>
    <row r="1491" spans="1:10" x14ac:dyDescent="0.3">
      <c r="A1491" s="7">
        <v>44917.722222221018</v>
      </c>
      <c r="B1491" s="8" t="s">
        <v>13</v>
      </c>
      <c r="C1491" s="8">
        <v>0</v>
      </c>
      <c r="D1491" t="str">
        <f t="shared" si="94"/>
        <v>Thursday</v>
      </c>
      <c r="E1491">
        <v>52</v>
      </c>
      <c r="F1491" s="11">
        <f>VLOOKUP(B1491,'ITEMS LIST'!$B$2:$F$19,4,FALSE)</f>
        <v>540</v>
      </c>
      <c r="G1491" s="11">
        <f>VLOOKUP(B1491,'ITEMS LIST'!$B$2:$F$19,5,FALSE)</f>
        <v>397</v>
      </c>
      <c r="H1491" s="11">
        <f t="shared" si="92"/>
        <v>0</v>
      </c>
      <c r="I1491" s="11">
        <f t="shared" si="93"/>
        <v>0</v>
      </c>
      <c r="J1491" s="11">
        <f t="shared" si="95"/>
        <v>0</v>
      </c>
    </row>
    <row r="1492" spans="1:10" x14ac:dyDescent="0.3">
      <c r="A1492" s="7">
        <v>44917.777777776573</v>
      </c>
      <c r="B1492" s="8" t="s">
        <v>14</v>
      </c>
      <c r="C1492" s="8">
        <v>0</v>
      </c>
      <c r="D1492" t="str">
        <f t="shared" si="94"/>
        <v>Thursday</v>
      </c>
      <c r="E1492">
        <v>52</v>
      </c>
      <c r="F1492" s="11">
        <f>VLOOKUP(B1492,'ITEMS LIST'!$B$2:$F$19,4,FALSE)</f>
        <v>360</v>
      </c>
      <c r="G1492" s="11">
        <f>VLOOKUP(B1492,'ITEMS LIST'!$B$2:$F$19,5,FALSE)</f>
        <v>248</v>
      </c>
      <c r="H1492" s="11">
        <f t="shared" si="92"/>
        <v>0</v>
      </c>
      <c r="I1492" s="11">
        <f t="shared" si="93"/>
        <v>0</v>
      </c>
      <c r="J1492" s="11">
        <f t="shared" si="95"/>
        <v>0</v>
      </c>
    </row>
    <row r="1493" spans="1:10" x14ac:dyDescent="0.3">
      <c r="A1493" s="7">
        <v>44917.833333332128</v>
      </c>
      <c r="B1493" s="8" t="s">
        <v>15</v>
      </c>
      <c r="C1493" s="8">
        <v>0</v>
      </c>
      <c r="D1493" t="str">
        <f t="shared" si="94"/>
        <v>Thursday</v>
      </c>
      <c r="E1493">
        <v>52</v>
      </c>
      <c r="F1493" s="11">
        <f>VLOOKUP(B1493,'ITEMS LIST'!$B$2:$F$19,4,FALSE)</f>
        <v>250</v>
      </c>
      <c r="G1493" s="11">
        <f>VLOOKUP(B1493,'ITEMS LIST'!$B$2:$F$19,5,FALSE)</f>
        <v>190</v>
      </c>
      <c r="H1493" s="11">
        <f t="shared" si="92"/>
        <v>0</v>
      </c>
      <c r="I1493" s="11">
        <f t="shared" si="93"/>
        <v>0</v>
      </c>
      <c r="J1493" s="11">
        <f t="shared" si="95"/>
        <v>0</v>
      </c>
    </row>
    <row r="1494" spans="1:10" x14ac:dyDescent="0.3">
      <c r="A1494" s="7">
        <v>44917.888888887683</v>
      </c>
      <c r="B1494" s="8" t="s">
        <v>16</v>
      </c>
      <c r="C1494" s="8">
        <v>0</v>
      </c>
      <c r="D1494" t="str">
        <f t="shared" si="94"/>
        <v>Thursday</v>
      </c>
      <c r="E1494">
        <v>52</v>
      </c>
      <c r="F1494" s="11">
        <f>VLOOKUP(B1494,'ITEMS LIST'!$B$2:$F$19,4,FALSE)</f>
        <v>120</v>
      </c>
      <c r="G1494" s="11">
        <f>VLOOKUP(B1494,'ITEMS LIST'!$B$2:$F$19,5,FALSE)</f>
        <v>85</v>
      </c>
      <c r="H1494" s="11">
        <f t="shared" si="92"/>
        <v>0</v>
      </c>
      <c r="I1494" s="11">
        <f t="shared" si="93"/>
        <v>0</v>
      </c>
      <c r="J1494" s="11">
        <f t="shared" si="95"/>
        <v>0</v>
      </c>
    </row>
    <row r="1495" spans="1:10" x14ac:dyDescent="0.3">
      <c r="A1495" s="7">
        <v>44917.944444443237</v>
      </c>
      <c r="B1495" s="8" t="s">
        <v>17</v>
      </c>
      <c r="C1495" s="8">
        <v>0</v>
      </c>
      <c r="D1495" t="str">
        <f t="shared" si="94"/>
        <v>Thursday</v>
      </c>
      <c r="E1495">
        <v>52</v>
      </c>
      <c r="F1495" s="11">
        <f>VLOOKUP(B1495,'ITEMS LIST'!$B$2:$F$19,4,FALSE)</f>
        <v>80</v>
      </c>
      <c r="G1495" s="11">
        <f>VLOOKUP(B1495,'ITEMS LIST'!$B$2:$F$19,5,FALSE)</f>
        <v>55</v>
      </c>
      <c r="H1495" s="11">
        <f t="shared" si="92"/>
        <v>0</v>
      </c>
      <c r="I1495" s="11">
        <f t="shared" si="93"/>
        <v>0</v>
      </c>
      <c r="J1495" s="11">
        <f t="shared" si="95"/>
        <v>0</v>
      </c>
    </row>
    <row r="1496" spans="1:10" x14ac:dyDescent="0.3">
      <c r="A1496" s="7">
        <v>44917.999999998792</v>
      </c>
      <c r="B1496" s="8" t="s">
        <v>0</v>
      </c>
      <c r="C1496" s="8">
        <v>0</v>
      </c>
      <c r="D1496" t="str">
        <f t="shared" si="94"/>
        <v>Friday</v>
      </c>
      <c r="E1496">
        <v>52</v>
      </c>
      <c r="F1496" s="11">
        <f>VLOOKUP(B1496,'ITEMS LIST'!$B$2:$F$19,4,FALSE)</f>
        <v>549</v>
      </c>
      <c r="G1496" s="11">
        <f>VLOOKUP(B1496,'ITEMS LIST'!$B$2:$F$19,5,FALSE)</f>
        <v>365</v>
      </c>
      <c r="H1496" s="11">
        <f t="shared" si="92"/>
        <v>0</v>
      </c>
      <c r="I1496" s="11">
        <f t="shared" si="93"/>
        <v>0</v>
      </c>
      <c r="J1496" s="11">
        <f t="shared" si="95"/>
        <v>0</v>
      </c>
    </row>
    <row r="1497" spans="1:10" x14ac:dyDescent="0.3">
      <c r="A1497" s="7">
        <v>44918.055555554347</v>
      </c>
      <c r="B1497" s="8" t="s">
        <v>1</v>
      </c>
      <c r="C1497" s="8">
        <v>0</v>
      </c>
      <c r="D1497" t="str">
        <f t="shared" si="94"/>
        <v>Friday</v>
      </c>
      <c r="E1497">
        <v>52</v>
      </c>
      <c r="F1497" s="11">
        <f>VLOOKUP(B1497,'ITEMS LIST'!$B$2:$F$19,4,FALSE)</f>
        <v>699</v>
      </c>
      <c r="G1497" s="11">
        <f>VLOOKUP(B1497,'ITEMS LIST'!$B$2:$F$19,5,FALSE)</f>
        <v>550</v>
      </c>
      <c r="H1497" s="11">
        <f t="shared" si="92"/>
        <v>0</v>
      </c>
      <c r="I1497" s="11">
        <f t="shared" si="93"/>
        <v>0</v>
      </c>
      <c r="J1497" s="11">
        <f t="shared" si="95"/>
        <v>0</v>
      </c>
    </row>
    <row r="1498" spans="1:10" x14ac:dyDescent="0.3">
      <c r="A1498" s="7">
        <v>44918.111111109902</v>
      </c>
      <c r="B1498" s="8" t="s">
        <v>2</v>
      </c>
      <c r="C1498" s="8">
        <v>0</v>
      </c>
      <c r="D1498" t="str">
        <f t="shared" si="94"/>
        <v>Friday</v>
      </c>
      <c r="E1498">
        <v>52</v>
      </c>
      <c r="F1498" s="11">
        <f>VLOOKUP(B1498,'ITEMS LIST'!$B$2:$F$19,4,FALSE)</f>
        <v>739</v>
      </c>
      <c r="G1498" s="11">
        <f>VLOOKUP(B1498,'ITEMS LIST'!$B$2:$F$19,5,FALSE)</f>
        <v>620</v>
      </c>
      <c r="H1498" s="11">
        <f t="shared" si="92"/>
        <v>0</v>
      </c>
      <c r="I1498" s="11">
        <f t="shared" si="93"/>
        <v>0</v>
      </c>
      <c r="J1498" s="11">
        <f t="shared" si="95"/>
        <v>0</v>
      </c>
    </row>
    <row r="1499" spans="1:10" x14ac:dyDescent="0.3">
      <c r="A1499" s="7">
        <v>44918.166666665456</v>
      </c>
      <c r="B1499" s="8" t="s">
        <v>3</v>
      </c>
      <c r="C1499" s="8">
        <v>0</v>
      </c>
      <c r="D1499" t="str">
        <f t="shared" si="94"/>
        <v>Friday</v>
      </c>
      <c r="E1499">
        <v>52</v>
      </c>
      <c r="F1499" s="11">
        <f>VLOOKUP(B1499,'ITEMS LIST'!$B$2:$F$19,4,FALSE)</f>
        <v>899</v>
      </c>
      <c r="G1499" s="11">
        <f>VLOOKUP(B1499,'ITEMS LIST'!$B$2:$F$19,5,FALSE)</f>
        <v>714</v>
      </c>
      <c r="H1499" s="11">
        <f t="shared" si="92"/>
        <v>0</v>
      </c>
      <c r="I1499" s="11">
        <f t="shared" si="93"/>
        <v>0</v>
      </c>
      <c r="J1499" s="11">
        <f t="shared" si="95"/>
        <v>0</v>
      </c>
    </row>
    <row r="1500" spans="1:10" x14ac:dyDescent="0.3">
      <c r="A1500" s="7">
        <v>44918.222222221011</v>
      </c>
      <c r="B1500" s="8" t="s">
        <v>4</v>
      </c>
      <c r="C1500" s="8">
        <v>0</v>
      </c>
      <c r="D1500" t="str">
        <f t="shared" si="94"/>
        <v>Friday</v>
      </c>
      <c r="E1500">
        <v>52</v>
      </c>
      <c r="F1500" s="11">
        <f>VLOOKUP(B1500,'ITEMS LIST'!$B$2:$F$19,4,FALSE)</f>
        <v>1379</v>
      </c>
      <c r="G1500" s="11">
        <f>VLOOKUP(B1500,'ITEMS LIST'!$B$2:$F$19,5,FALSE)</f>
        <v>890</v>
      </c>
      <c r="H1500" s="11">
        <f t="shared" si="92"/>
        <v>0</v>
      </c>
      <c r="I1500" s="11">
        <f t="shared" si="93"/>
        <v>0</v>
      </c>
      <c r="J1500" s="11">
        <f t="shared" si="95"/>
        <v>0</v>
      </c>
    </row>
    <row r="1501" spans="1:10" x14ac:dyDescent="0.3">
      <c r="A1501" s="7">
        <v>44918.277777776566</v>
      </c>
      <c r="B1501" s="8" t="s">
        <v>5</v>
      </c>
      <c r="C1501" s="8">
        <v>0</v>
      </c>
      <c r="D1501" t="str">
        <f t="shared" si="94"/>
        <v>Friday</v>
      </c>
      <c r="E1501">
        <v>52</v>
      </c>
      <c r="F1501" s="11">
        <f>VLOOKUP(B1501,'ITEMS LIST'!$B$2:$F$19,4,FALSE)</f>
        <v>849</v>
      </c>
      <c r="G1501" s="11">
        <f>VLOOKUP(B1501,'ITEMS LIST'!$B$2:$F$19,5,FALSE)</f>
        <v>530</v>
      </c>
      <c r="H1501" s="11">
        <f t="shared" si="92"/>
        <v>0</v>
      </c>
      <c r="I1501" s="11">
        <f t="shared" si="93"/>
        <v>0</v>
      </c>
      <c r="J1501" s="11">
        <f t="shared" si="95"/>
        <v>0</v>
      </c>
    </row>
    <row r="1502" spans="1:10" x14ac:dyDescent="0.3">
      <c r="A1502" s="7">
        <v>44918.333333332121</v>
      </c>
      <c r="B1502" s="8" t="s">
        <v>6</v>
      </c>
      <c r="C1502" s="8">
        <v>0</v>
      </c>
      <c r="D1502" t="str">
        <f t="shared" si="94"/>
        <v>Friday</v>
      </c>
      <c r="E1502">
        <v>52</v>
      </c>
      <c r="F1502" s="11">
        <f>VLOOKUP(B1502,'ITEMS LIST'!$B$2:$F$19,4,FALSE)</f>
        <v>1000</v>
      </c>
      <c r="G1502" s="11">
        <f>VLOOKUP(B1502,'ITEMS LIST'!$B$2:$F$19,5,FALSE)</f>
        <v>768</v>
      </c>
      <c r="H1502" s="11">
        <f t="shared" si="92"/>
        <v>0</v>
      </c>
      <c r="I1502" s="11">
        <f t="shared" si="93"/>
        <v>0</v>
      </c>
      <c r="J1502" s="11">
        <f t="shared" si="95"/>
        <v>0</v>
      </c>
    </row>
    <row r="1503" spans="1:10" x14ac:dyDescent="0.3">
      <c r="A1503" s="7">
        <v>44918.388888887675</v>
      </c>
      <c r="B1503" s="8" t="s">
        <v>7</v>
      </c>
      <c r="C1503" s="8">
        <v>0</v>
      </c>
      <c r="D1503" t="str">
        <f t="shared" si="94"/>
        <v>Friday</v>
      </c>
      <c r="E1503">
        <v>52</v>
      </c>
      <c r="F1503" s="11">
        <f>VLOOKUP(B1503,'ITEMS LIST'!$B$2:$F$19,4,FALSE)</f>
        <v>680</v>
      </c>
      <c r="G1503" s="11">
        <f>VLOOKUP(B1503,'ITEMS LIST'!$B$2:$F$19,5,FALSE)</f>
        <v>570</v>
      </c>
      <c r="H1503" s="11">
        <f t="shared" si="92"/>
        <v>0</v>
      </c>
      <c r="I1503" s="11">
        <f t="shared" si="93"/>
        <v>0</v>
      </c>
      <c r="J1503" s="11">
        <f t="shared" si="95"/>
        <v>0</v>
      </c>
    </row>
    <row r="1504" spans="1:10" x14ac:dyDescent="0.3">
      <c r="A1504" s="7">
        <v>44918.44444444323</v>
      </c>
      <c r="B1504" s="8" t="s">
        <v>8</v>
      </c>
      <c r="C1504" s="8">
        <v>0</v>
      </c>
      <c r="D1504" t="str">
        <f t="shared" si="94"/>
        <v>Friday</v>
      </c>
      <c r="E1504">
        <v>52</v>
      </c>
      <c r="F1504" s="11">
        <f>VLOOKUP(B1504,'ITEMS LIST'!$B$2:$F$19,4,FALSE)</f>
        <v>199</v>
      </c>
      <c r="G1504" s="11">
        <f>VLOOKUP(B1504,'ITEMS LIST'!$B$2:$F$19,5,FALSE)</f>
        <v>140</v>
      </c>
      <c r="H1504" s="11">
        <f t="shared" si="92"/>
        <v>0</v>
      </c>
      <c r="I1504" s="11">
        <f t="shared" si="93"/>
        <v>0</v>
      </c>
      <c r="J1504" s="11">
        <f t="shared" si="95"/>
        <v>0</v>
      </c>
    </row>
    <row r="1505" spans="1:10" x14ac:dyDescent="0.3">
      <c r="A1505" s="7">
        <v>44918.499999998785</v>
      </c>
      <c r="B1505" s="8" t="s">
        <v>9</v>
      </c>
      <c r="C1505" s="8">
        <v>0</v>
      </c>
      <c r="D1505" t="str">
        <f t="shared" si="94"/>
        <v>Friday</v>
      </c>
      <c r="E1505">
        <v>52</v>
      </c>
      <c r="F1505" s="11">
        <f>VLOOKUP(B1505,'ITEMS LIST'!$B$2:$F$19,4,FALSE)</f>
        <v>219</v>
      </c>
      <c r="G1505" s="11">
        <f>VLOOKUP(B1505,'ITEMS LIST'!$B$2:$F$19,5,FALSE)</f>
        <v>132</v>
      </c>
      <c r="H1505" s="11">
        <f t="shared" si="92"/>
        <v>0</v>
      </c>
      <c r="I1505" s="11">
        <f t="shared" si="93"/>
        <v>0</v>
      </c>
      <c r="J1505" s="11">
        <f t="shared" si="95"/>
        <v>0</v>
      </c>
    </row>
    <row r="1506" spans="1:10" x14ac:dyDescent="0.3">
      <c r="A1506" s="7">
        <v>44918.55555555434</v>
      </c>
      <c r="B1506" s="8" t="s">
        <v>10</v>
      </c>
      <c r="C1506" s="8">
        <v>1</v>
      </c>
      <c r="D1506" t="str">
        <f t="shared" si="94"/>
        <v>Friday</v>
      </c>
      <c r="E1506">
        <v>52</v>
      </c>
      <c r="F1506" s="11">
        <f>VLOOKUP(B1506,'ITEMS LIST'!$B$2:$F$19,4,FALSE)</f>
        <v>1469</v>
      </c>
      <c r="G1506" s="11">
        <f>VLOOKUP(B1506,'ITEMS LIST'!$B$2:$F$19,5,FALSE)</f>
        <v>1184</v>
      </c>
      <c r="H1506" s="11">
        <f t="shared" si="92"/>
        <v>1469</v>
      </c>
      <c r="I1506" s="11">
        <f t="shared" si="93"/>
        <v>1184</v>
      </c>
      <c r="J1506" s="11">
        <f t="shared" si="95"/>
        <v>285</v>
      </c>
    </row>
    <row r="1507" spans="1:10" x14ac:dyDescent="0.3">
      <c r="A1507" s="7">
        <v>44918.611111109894</v>
      </c>
      <c r="B1507" s="8" t="s">
        <v>11</v>
      </c>
      <c r="C1507" s="8">
        <v>0</v>
      </c>
      <c r="D1507" t="str">
        <f t="shared" si="94"/>
        <v>Friday</v>
      </c>
      <c r="E1507">
        <v>52</v>
      </c>
      <c r="F1507" s="11">
        <f>VLOOKUP(B1507,'ITEMS LIST'!$B$2:$F$19,4,FALSE)</f>
        <v>89</v>
      </c>
      <c r="G1507" s="11">
        <f>VLOOKUP(B1507,'ITEMS LIST'!$B$2:$F$19,5,FALSE)</f>
        <v>59</v>
      </c>
      <c r="H1507" s="11">
        <f t="shared" si="92"/>
        <v>0</v>
      </c>
      <c r="I1507" s="11">
        <f t="shared" si="93"/>
        <v>0</v>
      </c>
      <c r="J1507" s="11">
        <f t="shared" si="95"/>
        <v>0</v>
      </c>
    </row>
    <row r="1508" spans="1:10" x14ac:dyDescent="0.3">
      <c r="A1508" s="7">
        <v>44918.666666665449</v>
      </c>
      <c r="B1508" s="8" t="s">
        <v>12</v>
      </c>
      <c r="C1508" s="8">
        <v>0</v>
      </c>
      <c r="D1508" t="str">
        <f t="shared" si="94"/>
        <v>Friday</v>
      </c>
      <c r="E1508">
        <v>52</v>
      </c>
      <c r="F1508" s="11">
        <f>VLOOKUP(B1508,'ITEMS LIST'!$B$2:$F$19,4,FALSE)</f>
        <v>310</v>
      </c>
      <c r="G1508" s="11">
        <f>VLOOKUP(B1508,'ITEMS LIST'!$B$2:$F$19,5,FALSE)</f>
        <v>206</v>
      </c>
      <c r="H1508" s="11">
        <f t="shared" si="92"/>
        <v>0</v>
      </c>
      <c r="I1508" s="11">
        <f t="shared" si="93"/>
        <v>0</v>
      </c>
      <c r="J1508" s="11">
        <f t="shared" si="95"/>
        <v>0</v>
      </c>
    </row>
    <row r="1509" spans="1:10" x14ac:dyDescent="0.3">
      <c r="A1509" s="7">
        <v>44918.722222221004</v>
      </c>
      <c r="B1509" s="8" t="s">
        <v>13</v>
      </c>
      <c r="C1509" s="8">
        <v>0</v>
      </c>
      <c r="D1509" t="str">
        <f t="shared" si="94"/>
        <v>Friday</v>
      </c>
      <c r="E1509">
        <v>52</v>
      </c>
      <c r="F1509" s="11">
        <f>VLOOKUP(B1509,'ITEMS LIST'!$B$2:$F$19,4,FALSE)</f>
        <v>540</v>
      </c>
      <c r="G1509" s="11">
        <f>VLOOKUP(B1509,'ITEMS LIST'!$B$2:$F$19,5,FALSE)</f>
        <v>397</v>
      </c>
      <c r="H1509" s="11">
        <f t="shared" si="92"/>
        <v>0</v>
      </c>
      <c r="I1509" s="11">
        <f t="shared" si="93"/>
        <v>0</v>
      </c>
      <c r="J1509" s="11">
        <f t="shared" si="95"/>
        <v>0</v>
      </c>
    </row>
    <row r="1510" spans="1:10" x14ac:dyDescent="0.3">
      <c r="A1510" s="7">
        <v>44918.777777776559</v>
      </c>
      <c r="B1510" s="8" t="s">
        <v>14</v>
      </c>
      <c r="C1510" s="8">
        <v>0</v>
      </c>
      <c r="D1510" t="str">
        <f t="shared" si="94"/>
        <v>Friday</v>
      </c>
      <c r="E1510">
        <v>52</v>
      </c>
      <c r="F1510" s="11">
        <f>VLOOKUP(B1510,'ITEMS LIST'!$B$2:$F$19,4,FALSE)</f>
        <v>360</v>
      </c>
      <c r="G1510" s="11">
        <f>VLOOKUP(B1510,'ITEMS LIST'!$B$2:$F$19,5,FALSE)</f>
        <v>248</v>
      </c>
      <c r="H1510" s="11">
        <f t="shared" si="92"/>
        <v>0</v>
      </c>
      <c r="I1510" s="11">
        <f t="shared" si="93"/>
        <v>0</v>
      </c>
      <c r="J1510" s="11">
        <f t="shared" si="95"/>
        <v>0</v>
      </c>
    </row>
    <row r="1511" spans="1:10" x14ac:dyDescent="0.3">
      <c r="A1511" s="7">
        <v>44918.833333332113</v>
      </c>
      <c r="B1511" s="8" t="s">
        <v>15</v>
      </c>
      <c r="C1511" s="8">
        <v>0</v>
      </c>
      <c r="D1511" t="str">
        <f t="shared" si="94"/>
        <v>Friday</v>
      </c>
      <c r="E1511">
        <v>52</v>
      </c>
      <c r="F1511" s="11">
        <f>VLOOKUP(B1511,'ITEMS LIST'!$B$2:$F$19,4,FALSE)</f>
        <v>250</v>
      </c>
      <c r="G1511" s="11">
        <f>VLOOKUP(B1511,'ITEMS LIST'!$B$2:$F$19,5,FALSE)</f>
        <v>190</v>
      </c>
      <c r="H1511" s="11">
        <f t="shared" si="92"/>
        <v>0</v>
      </c>
      <c r="I1511" s="11">
        <f t="shared" si="93"/>
        <v>0</v>
      </c>
      <c r="J1511" s="11">
        <f t="shared" si="95"/>
        <v>0</v>
      </c>
    </row>
    <row r="1512" spans="1:10" x14ac:dyDescent="0.3">
      <c r="A1512" s="7">
        <v>44918.888888887668</v>
      </c>
      <c r="B1512" s="8" t="s">
        <v>16</v>
      </c>
      <c r="C1512" s="8">
        <v>0</v>
      </c>
      <c r="D1512" t="str">
        <f t="shared" si="94"/>
        <v>Friday</v>
      </c>
      <c r="E1512">
        <v>52</v>
      </c>
      <c r="F1512" s="11">
        <f>VLOOKUP(B1512,'ITEMS LIST'!$B$2:$F$19,4,FALSE)</f>
        <v>120</v>
      </c>
      <c r="G1512" s="11">
        <f>VLOOKUP(B1512,'ITEMS LIST'!$B$2:$F$19,5,FALSE)</f>
        <v>85</v>
      </c>
      <c r="H1512" s="11">
        <f t="shared" si="92"/>
        <v>0</v>
      </c>
      <c r="I1512" s="11">
        <f t="shared" si="93"/>
        <v>0</v>
      </c>
      <c r="J1512" s="11">
        <f t="shared" si="95"/>
        <v>0</v>
      </c>
    </row>
    <row r="1513" spans="1:10" x14ac:dyDescent="0.3">
      <c r="A1513" s="7">
        <v>44918.944444443223</v>
      </c>
      <c r="B1513" s="8" t="s">
        <v>17</v>
      </c>
      <c r="C1513" s="8">
        <v>0</v>
      </c>
      <c r="D1513" t="str">
        <f t="shared" si="94"/>
        <v>Friday</v>
      </c>
      <c r="E1513">
        <v>52</v>
      </c>
      <c r="F1513" s="11">
        <f>VLOOKUP(B1513,'ITEMS LIST'!$B$2:$F$19,4,FALSE)</f>
        <v>80</v>
      </c>
      <c r="G1513" s="11">
        <f>VLOOKUP(B1513,'ITEMS LIST'!$B$2:$F$19,5,FALSE)</f>
        <v>55</v>
      </c>
      <c r="H1513" s="11">
        <f t="shared" si="92"/>
        <v>0</v>
      </c>
      <c r="I1513" s="11">
        <f t="shared" si="93"/>
        <v>0</v>
      </c>
      <c r="J1513" s="11">
        <f t="shared" si="95"/>
        <v>0</v>
      </c>
    </row>
    <row r="1514" spans="1:10" x14ac:dyDescent="0.3">
      <c r="A1514" s="7">
        <v>44918.999999998778</v>
      </c>
      <c r="B1514" s="8" t="s">
        <v>0</v>
      </c>
      <c r="C1514" s="8">
        <v>0</v>
      </c>
      <c r="D1514" t="str">
        <f t="shared" si="94"/>
        <v>Saturday</v>
      </c>
      <c r="E1514">
        <v>52</v>
      </c>
      <c r="F1514" s="11">
        <f>VLOOKUP(B1514,'ITEMS LIST'!$B$2:$F$19,4,FALSE)</f>
        <v>549</v>
      </c>
      <c r="G1514" s="11">
        <f>VLOOKUP(B1514,'ITEMS LIST'!$B$2:$F$19,5,FALSE)</f>
        <v>365</v>
      </c>
      <c r="H1514" s="11">
        <f t="shared" si="92"/>
        <v>0</v>
      </c>
      <c r="I1514" s="11">
        <f t="shared" si="93"/>
        <v>0</v>
      </c>
      <c r="J1514" s="11">
        <f t="shared" si="95"/>
        <v>0</v>
      </c>
    </row>
    <row r="1515" spans="1:10" x14ac:dyDescent="0.3">
      <c r="A1515" s="7">
        <v>44919.055555554332</v>
      </c>
      <c r="B1515" s="8" t="s">
        <v>1</v>
      </c>
      <c r="C1515" s="8">
        <v>0</v>
      </c>
      <c r="D1515" t="str">
        <f t="shared" si="94"/>
        <v>Saturday</v>
      </c>
      <c r="E1515">
        <v>52</v>
      </c>
      <c r="F1515" s="11">
        <f>VLOOKUP(B1515,'ITEMS LIST'!$B$2:$F$19,4,FALSE)</f>
        <v>699</v>
      </c>
      <c r="G1515" s="11">
        <f>VLOOKUP(B1515,'ITEMS LIST'!$B$2:$F$19,5,FALSE)</f>
        <v>550</v>
      </c>
      <c r="H1515" s="11">
        <f t="shared" si="92"/>
        <v>0</v>
      </c>
      <c r="I1515" s="11">
        <f t="shared" si="93"/>
        <v>0</v>
      </c>
      <c r="J1515" s="11">
        <f t="shared" si="95"/>
        <v>0</v>
      </c>
    </row>
    <row r="1516" spans="1:10" x14ac:dyDescent="0.3">
      <c r="A1516" s="7">
        <v>44919.111111109887</v>
      </c>
      <c r="B1516" s="8" t="s">
        <v>2</v>
      </c>
      <c r="C1516" s="8">
        <v>0</v>
      </c>
      <c r="D1516" t="str">
        <f t="shared" si="94"/>
        <v>Saturday</v>
      </c>
      <c r="E1516">
        <v>52</v>
      </c>
      <c r="F1516" s="11">
        <f>VLOOKUP(B1516,'ITEMS LIST'!$B$2:$F$19,4,FALSE)</f>
        <v>739</v>
      </c>
      <c r="G1516" s="11">
        <f>VLOOKUP(B1516,'ITEMS LIST'!$B$2:$F$19,5,FALSE)</f>
        <v>620</v>
      </c>
      <c r="H1516" s="11">
        <f t="shared" si="92"/>
        <v>0</v>
      </c>
      <c r="I1516" s="11">
        <f t="shared" si="93"/>
        <v>0</v>
      </c>
      <c r="J1516" s="11">
        <f t="shared" si="95"/>
        <v>0</v>
      </c>
    </row>
    <row r="1517" spans="1:10" x14ac:dyDescent="0.3">
      <c r="A1517" s="7">
        <v>44919.166666665442</v>
      </c>
      <c r="B1517" s="8" t="s">
        <v>3</v>
      </c>
      <c r="C1517" s="8">
        <v>0</v>
      </c>
      <c r="D1517" t="str">
        <f t="shared" si="94"/>
        <v>Saturday</v>
      </c>
      <c r="E1517">
        <v>52</v>
      </c>
      <c r="F1517" s="11">
        <f>VLOOKUP(B1517,'ITEMS LIST'!$B$2:$F$19,4,FALSE)</f>
        <v>899</v>
      </c>
      <c r="G1517" s="11">
        <f>VLOOKUP(B1517,'ITEMS LIST'!$B$2:$F$19,5,FALSE)</f>
        <v>714</v>
      </c>
      <c r="H1517" s="11">
        <f t="shared" si="92"/>
        <v>0</v>
      </c>
      <c r="I1517" s="11">
        <f t="shared" si="93"/>
        <v>0</v>
      </c>
      <c r="J1517" s="11">
        <f t="shared" si="95"/>
        <v>0</v>
      </c>
    </row>
    <row r="1518" spans="1:10" x14ac:dyDescent="0.3">
      <c r="A1518" s="7">
        <v>44919.222222220997</v>
      </c>
      <c r="B1518" s="8" t="s">
        <v>4</v>
      </c>
      <c r="C1518" s="8">
        <v>1</v>
      </c>
      <c r="D1518" t="str">
        <f t="shared" si="94"/>
        <v>Saturday</v>
      </c>
      <c r="E1518">
        <v>52</v>
      </c>
      <c r="F1518" s="11">
        <f>VLOOKUP(B1518,'ITEMS LIST'!$B$2:$F$19,4,FALSE)</f>
        <v>1379</v>
      </c>
      <c r="G1518" s="11">
        <f>VLOOKUP(B1518,'ITEMS LIST'!$B$2:$F$19,5,FALSE)</f>
        <v>890</v>
      </c>
      <c r="H1518" s="11">
        <f t="shared" si="92"/>
        <v>1379</v>
      </c>
      <c r="I1518" s="11">
        <f t="shared" si="93"/>
        <v>890</v>
      </c>
      <c r="J1518" s="11">
        <f t="shared" si="95"/>
        <v>489</v>
      </c>
    </row>
    <row r="1519" spans="1:10" x14ac:dyDescent="0.3">
      <c r="A1519" s="7">
        <v>44919.277777776551</v>
      </c>
      <c r="B1519" s="8" t="s">
        <v>5</v>
      </c>
      <c r="C1519" s="8">
        <v>3</v>
      </c>
      <c r="D1519" t="str">
        <f t="shared" si="94"/>
        <v>Saturday</v>
      </c>
      <c r="E1519">
        <v>52</v>
      </c>
      <c r="F1519" s="11">
        <f>VLOOKUP(B1519,'ITEMS LIST'!$B$2:$F$19,4,FALSE)</f>
        <v>849</v>
      </c>
      <c r="G1519" s="11">
        <f>VLOOKUP(B1519,'ITEMS LIST'!$B$2:$F$19,5,FALSE)</f>
        <v>530</v>
      </c>
      <c r="H1519" s="11">
        <f t="shared" si="92"/>
        <v>2547</v>
      </c>
      <c r="I1519" s="11">
        <f t="shared" si="93"/>
        <v>1590</v>
      </c>
      <c r="J1519" s="11">
        <f t="shared" si="95"/>
        <v>957</v>
      </c>
    </row>
    <row r="1520" spans="1:10" x14ac:dyDescent="0.3">
      <c r="A1520" s="7">
        <v>44919.333333332106</v>
      </c>
      <c r="B1520" s="8" t="s">
        <v>6</v>
      </c>
      <c r="C1520" s="8">
        <v>0</v>
      </c>
      <c r="D1520" t="str">
        <f t="shared" si="94"/>
        <v>Saturday</v>
      </c>
      <c r="E1520">
        <v>52</v>
      </c>
      <c r="F1520" s="11">
        <f>VLOOKUP(B1520,'ITEMS LIST'!$B$2:$F$19,4,FALSE)</f>
        <v>1000</v>
      </c>
      <c r="G1520" s="11">
        <f>VLOOKUP(B1520,'ITEMS LIST'!$B$2:$F$19,5,FALSE)</f>
        <v>768</v>
      </c>
      <c r="H1520" s="11">
        <f t="shared" si="92"/>
        <v>0</v>
      </c>
      <c r="I1520" s="11">
        <f t="shared" si="93"/>
        <v>0</v>
      </c>
      <c r="J1520" s="11">
        <f t="shared" si="95"/>
        <v>0</v>
      </c>
    </row>
    <row r="1521" spans="1:10" x14ac:dyDescent="0.3">
      <c r="A1521" s="7">
        <v>44919.388888887661</v>
      </c>
      <c r="B1521" s="8" t="s">
        <v>7</v>
      </c>
      <c r="C1521" s="8">
        <v>0</v>
      </c>
      <c r="D1521" t="str">
        <f t="shared" si="94"/>
        <v>Saturday</v>
      </c>
      <c r="E1521">
        <v>52</v>
      </c>
      <c r="F1521" s="11">
        <f>VLOOKUP(B1521,'ITEMS LIST'!$B$2:$F$19,4,FALSE)</f>
        <v>680</v>
      </c>
      <c r="G1521" s="11">
        <f>VLOOKUP(B1521,'ITEMS LIST'!$B$2:$F$19,5,FALSE)</f>
        <v>570</v>
      </c>
      <c r="H1521" s="11">
        <f t="shared" si="92"/>
        <v>0</v>
      </c>
      <c r="I1521" s="11">
        <f t="shared" si="93"/>
        <v>0</v>
      </c>
      <c r="J1521" s="11">
        <f t="shared" si="95"/>
        <v>0</v>
      </c>
    </row>
    <row r="1522" spans="1:10" x14ac:dyDescent="0.3">
      <c r="A1522" s="7">
        <v>44919.444444443216</v>
      </c>
      <c r="B1522" s="8" t="s">
        <v>8</v>
      </c>
      <c r="C1522" s="8">
        <v>0</v>
      </c>
      <c r="D1522" t="str">
        <f t="shared" si="94"/>
        <v>Saturday</v>
      </c>
      <c r="E1522">
        <v>52</v>
      </c>
      <c r="F1522" s="11">
        <f>VLOOKUP(B1522,'ITEMS LIST'!$B$2:$F$19,4,FALSE)</f>
        <v>199</v>
      </c>
      <c r="G1522" s="11">
        <f>VLOOKUP(B1522,'ITEMS LIST'!$B$2:$F$19,5,FALSE)</f>
        <v>140</v>
      </c>
      <c r="H1522" s="11">
        <f t="shared" si="92"/>
        <v>0</v>
      </c>
      <c r="I1522" s="11">
        <f t="shared" si="93"/>
        <v>0</v>
      </c>
      <c r="J1522" s="11">
        <f t="shared" si="95"/>
        <v>0</v>
      </c>
    </row>
    <row r="1523" spans="1:10" x14ac:dyDescent="0.3">
      <c r="A1523" s="7">
        <v>44919.49999999877</v>
      </c>
      <c r="B1523" s="8" t="s">
        <v>9</v>
      </c>
      <c r="C1523" s="8">
        <v>0</v>
      </c>
      <c r="D1523" t="str">
        <f t="shared" si="94"/>
        <v>Saturday</v>
      </c>
      <c r="E1523">
        <v>52</v>
      </c>
      <c r="F1523" s="11">
        <f>VLOOKUP(B1523,'ITEMS LIST'!$B$2:$F$19,4,FALSE)</f>
        <v>219</v>
      </c>
      <c r="G1523" s="11">
        <f>VLOOKUP(B1523,'ITEMS LIST'!$B$2:$F$19,5,FALSE)</f>
        <v>132</v>
      </c>
      <c r="H1523" s="11">
        <f t="shared" si="92"/>
        <v>0</v>
      </c>
      <c r="I1523" s="11">
        <f t="shared" si="93"/>
        <v>0</v>
      </c>
      <c r="J1523" s="11">
        <f t="shared" si="95"/>
        <v>0</v>
      </c>
    </row>
    <row r="1524" spans="1:10" x14ac:dyDescent="0.3">
      <c r="A1524" s="7">
        <v>44919.555555554325</v>
      </c>
      <c r="B1524" s="8" t="s">
        <v>10</v>
      </c>
      <c r="C1524" s="8">
        <v>0</v>
      </c>
      <c r="D1524" t="str">
        <f t="shared" si="94"/>
        <v>Saturday</v>
      </c>
      <c r="E1524">
        <v>52</v>
      </c>
      <c r="F1524" s="11">
        <f>VLOOKUP(B1524,'ITEMS LIST'!$B$2:$F$19,4,FALSE)</f>
        <v>1469</v>
      </c>
      <c r="G1524" s="11">
        <f>VLOOKUP(B1524,'ITEMS LIST'!$B$2:$F$19,5,FALSE)</f>
        <v>1184</v>
      </c>
      <c r="H1524" s="11">
        <f t="shared" si="92"/>
        <v>0</v>
      </c>
      <c r="I1524" s="11">
        <f t="shared" si="93"/>
        <v>0</v>
      </c>
      <c r="J1524" s="11">
        <f t="shared" si="95"/>
        <v>0</v>
      </c>
    </row>
    <row r="1525" spans="1:10" x14ac:dyDescent="0.3">
      <c r="A1525" s="7">
        <v>44919.61111110988</v>
      </c>
      <c r="B1525" s="8" t="s">
        <v>11</v>
      </c>
      <c r="C1525" s="8">
        <v>0</v>
      </c>
      <c r="D1525" t="str">
        <f t="shared" si="94"/>
        <v>Saturday</v>
      </c>
      <c r="E1525">
        <v>52</v>
      </c>
      <c r="F1525" s="11">
        <f>VLOOKUP(B1525,'ITEMS LIST'!$B$2:$F$19,4,FALSE)</f>
        <v>89</v>
      </c>
      <c r="G1525" s="11">
        <f>VLOOKUP(B1525,'ITEMS LIST'!$B$2:$F$19,5,FALSE)</f>
        <v>59</v>
      </c>
      <c r="H1525" s="11">
        <f t="shared" si="92"/>
        <v>0</v>
      </c>
      <c r="I1525" s="11">
        <f t="shared" si="93"/>
        <v>0</v>
      </c>
      <c r="J1525" s="11">
        <f t="shared" si="95"/>
        <v>0</v>
      </c>
    </row>
    <row r="1526" spans="1:10" x14ac:dyDescent="0.3">
      <c r="A1526" s="7">
        <v>44919.666666665435</v>
      </c>
      <c r="B1526" s="8" t="s">
        <v>12</v>
      </c>
      <c r="C1526" s="8">
        <v>0</v>
      </c>
      <c r="D1526" t="str">
        <f t="shared" si="94"/>
        <v>Saturday</v>
      </c>
      <c r="E1526">
        <v>52</v>
      </c>
      <c r="F1526" s="11">
        <f>VLOOKUP(B1526,'ITEMS LIST'!$B$2:$F$19,4,FALSE)</f>
        <v>310</v>
      </c>
      <c r="G1526" s="11">
        <f>VLOOKUP(B1526,'ITEMS LIST'!$B$2:$F$19,5,FALSE)</f>
        <v>206</v>
      </c>
      <c r="H1526" s="11">
        <f t="shared" si="92"/>
        <v>0</v>
      </c>
      <c r="I1526" s="11">
        <f t="shared" si="93"/>
        <v>0</v>
      </c>
      <c r="J1526" s="11">
        <f t="shared" si="95"/>
        <v>0</v>
      </c>
    </row>
    <row r="1527" spans="1:10" x14ac:dyDescent="0.3">
      <c r="A1527" s="7">
        <v>44919.722222220989</v>
      </c>
      <c r="B1527" s="8" t="s">
        <v>13</v>
      </c>
      <c r="C1527" s="8">
        <v>0</v>
      </c>
      <c r="D1527" t="str">
        <f t="shared" si="94"/>
        <v>Saturday</v>
      </c>
      <c r="E1527">
        <v>52</v>
      </c>
      <c r="F1527" s="11">
        <f>VLOOKUP(B1527,'ITEMS LIST'!$B$2:$F$19,4,FALSE)</f>
        <v>540</v>
      </c>
      <c r="G1527" s="11">
        <f>VLOOKUP(B1527,'ITEMS LIST'!$B$2:$F$19,5,FALSE)</f>
        <v>397</v>
      </c>
      <c r="H1527" s="11">
        <f t="shared" si="92"/>
        <v>0</v>
      </c>
      <c r="I1527" s="11">
        <f t="shared" si="93"/>
        <v>0</v>
      </c>
      <c r="J1527" s="11">
        <f t="shared" si="95"/>
        <v>0</v>
      </c>
    </row>
    <row r="1528" spans="1:10" x14ac:dyDescent="0.3">
      <c r="A1528" s="7">
        <v>44919.777777776544</v>
      </c>
      <c r="B1528" s="8" t="s">
        <v>14</v>
      </c>
      <c r="C1528" s="8">
        <v>0</v>
      </c>
      <c r="D1528" t="str">
        <f t="shared" si="94"/>
        <v>Saturday</v>
      </c>
      <c r="E1528">
        <v>52</v>
      </c>
      <c r="F1528" s="11">
        <f>VLOOKUP(B1528,'ITEMS LIST'!$B$2:$F$19,4,FALSE)</f>
        <v>360</v>
      </c>
      <c r="G1528" s="11">
        <f>VLOOKUP(B1528,'ITEMS LIST'!$B$2:$F$19,5,FALSE)</f>
        <v>248</v>
      </c>
      <c r="H1528" s="11">
        <f t="shared" si="92"/>
        <v>0</v>
      </c>
      <c r="I1528" s="11">
        <f t="shared" si="93"/>
        <v>0</v>
      </c>
      <c r="J1528" s="11">
        <f t="shared" si="95"/>
        <v>0</v>
      </c>
    </row>
    <row r="1529" spans="1:10" x14ac:dyDescent="0.3">
      <c r="A1529" s="7">
        <v>44919.833333332099</v>
      </c>
      <c r="B1529" s="8" t="s">
        <v>15</v>
      </c>
      <c r="C1529" s="8">
        <v>0</v>
      </c>
      <c r="D1529" t="str">
        <f t="shared" si="94"/>
        <v>Saturday</v>
      </c>
      <c r="E1529">
        <v>52</v>
      </c>
      <c r="F1529" s="11">
        <f>VLOOKUP(B1529,'ITEMS LIST'!$B$2:$F$19,4,FALSE)</f>
        <v>250</v>
      </c>
      <c r="G1529" s="11">
        <f>VLOOKUP(B1529,'ITEMS LIST'!$B$2:$F$19,5,FALSE)</f>
        <v>190</v>
      </c>
      <c r="H1529" s="11">
        <f t="shared" si="92"/>
        <v>0</v>
      </c>
      <c r="I1529" s="11">
        <f t="shared" si="93"/>
        <v>0</v>
      </c>
      <c r="J1529" s="11">
        <f t="shared" si="95"/>
        <v>0</v>
      </c>
    </row>
    <row r="1530" spans="1:10" x14ac:dyDescent="0.3">
      <c r="A1530" s="7">
        <v>44919.888888887654</v>
      </c>
      <c r="B1530" s="8" t="s">
        <v>16</v>
      </c>
      <c r="C1530" s="8">
        <v>0</v>
      </c>
      <c r="D1530" t="str">
        <f t="shared" si="94"/>
        <v>Saturday</v>
      </c>
      <c r="E1530">
        <v>52</v>
      </c>
      <c r="F1530" s="11">
        <f>VLOOKUP(B1530,'ITEMS LIST'!$B$2:$F$19,4,FALSE)</f>
        <v>120</v>
      </c>
      <c r="G1530" s="11">
        <f>VLOOKUP(B1530,'ITEMS LIST'!$B$2:$F$19,5,FALSE)</f>
        <v>85</v>
      </c>
      <c r="H1530" s="11">
        <f t="shared" si="92"/>
        <v>0</v>
      </c>
      <c r="I1530" s="11">
        <f t="shared" si="93"/>
        <v>0</v>
      </c>
      <c r="J1530" s="11">
        <f t="shared" si="95"/>
        <v>0</v>
      </c>
    </row>
    <row r="1531" spans="1:10" x14ac:dyDescent="0.3">
      <c r="A1531" s="7">
        <v>44919.944444443208</v>
      </c>
      <c r="B1531" s="8" t="s">
        <v>17</v>
      </c>
      <c r="C1531" s="8">
        <v>0</v>
      </c>
      <c r="D1531" t="str">
        <f t="shared" si="94"/>
        <v>Saturday</v>
      </c>
      <c r="E1531">
        <v>52</v>
      </c>
      <c r="F1531" s="11">
        <f>VLOOKUP(B1531,'ITEMS LIST'!$B$2:$F$19,4,FALSE)</f>
        <v>80</v>
      </c>
      <c r="G1531" s="11">
        <f>VLOOKUP(B1531,'ITEMS LIST'!$B$2:$F$19,5,FALSE)</f>
        <v>55</v>
      </c>
      <c r="H1531" s="11">
        <f t="shared" si="92"/>
        <v>0</v>
      </c>
      <c r="I1531" s="11">
        <f t="shared" si="93"/>
        <v>0</v>
      </c>
      <c r="J1531" s="11">
        <f t="shared" si="95"/>
        <v>0</v>
      </c>
    </row>
    <row r="1532" spans="1:10" x14ac:dyDescent="0.3">
      <c r="A1532" s="7">
        <v>44919.999999998763</v>
      </c>
      <c r="B1532" s="8" t="s">
        <v>0</v>
      </c>
      <c r="C1532" s="8">
        <v>0</v>
      </c>
      <c r="D1532" t="str">
        <f t="shared" si="94"/>
        <v>Sunday</v>
      </c>
      <c r="E1532">
        <v>53</v>
      </c>
      <c r="F1532" s="11">
        <f>VLOOKUP(B1532,'ITEMS LIST'!$B$2:$F$19,4,FALSE)</f>
        <v>549</v>
      </c>
      <c r="G1532" s="11">
        <f>VLOOKUP(B1532,'ITEMS LIST'!$B$2:$F$19,5,FALSE)</f>
        <v>365</v>
      </c>
      <c r="H1532" s="11">
        <f t="shared" si="92"/>
        <v>0</v>
      </c>
      <c r="I1532" s="11">
        <f t="shared" si="93"/>
        <v>0</v>
      </c>
      <c r="J1532" s="11">
        <f t="shared" si="95"/>
        <v>0</v>
      </c>
    </row>
    <row r="1533" spans="1:10" x14ac:dyDescent="0.3">
      <c r="A1533" s="7">
        <v>44920.055555554318</v>
      </c>
      <c r="B1533" s="8" t="s">
        <v>1</v>
      </c>
      <c r="C1533" s="8">
        <v>0</v>
      </c>
      <c r="D1533" t="str">
        <f t="shared" si="94"/>
        <v>Sunday</v>
      </c>
      <c r="E1533">
        <v>53</v>
      </c>
      <c r="F1533" s="11">
        <f>VLOOKUP(B1533,'ITEMS LIST'!$B$2:$F$19,4,FALSE)</f>
        <v>699</v>
      </c>
      <c r="G1533" s="11">
        <f>VLOOKUP(B1533,'ITEMS LIST'!$B$2:$F$19,5,FALSE)</f>
        <v>550</v>
      </c>
      <c r="H1533" s="11">
        <f t="shared" si="92"/>
        <v>0</v>
      </c>
      <c r="I1533" s="11">
        <f t="shared" si="93"/>
        <v>0</v>
      </c>
      <c r="J1533" s="11">
        <f t="shared" si="95"/>
        <v>0</v>
      </c>
    </row>
    <row r="1534" spans="1:10" x14ac:dyDescent="0.3">
      <c r="A1534" s="7">
        <v>44920.111111109873</v>
      </c>
      <c r="B1534" s="8" t="s">
        <v>2</v>
      </c>
      <c r="C1534" s="8">
        <v>0</v>
      </c>
      <c r="D1534" t="str">
        <f t="shared" si="94"/>
        <v>Sunday</v>
      </c>
      <c r="E1534">
        <v>53</v>
      </c>
      <c r="F1534" s="11">
        <f>VLOOKUP(B1534,'ITEMS LIST'!$B$2:$F$19,4,FALSE)</f>
        <v>739</v>
      </c>
      <c r="G1534" s="11">
        <f>VLOOKUP(B1534,'ITEMS LIST'!$B$2:$F$19,5,FALSE)</f>
        <v>620</v>
      </c>
      <c r="H1534" s="11">
        <f t="shared" si="92"/>
        <v>0</v>
      </c>
      <c r="I1534" s="11">
        <f t="shared" si="93"/>
        <v>0</v>
      </c>
      <c r="J1534" s="11">
        <f t="shared" si="95"/>
        <v>0</v>
      </c>
    </row>
    <row r="1535" spans="1:10" x14ac:dyDescent="0.3">
      <c r="A1535" s="7">
        <v>44920.166666665427</v>
      </c>
      <c r="B1535" s="8" t="s">
        <v>3</v>
      </c>
      <c r="C1535" s="8">
        <v>0</v>
      </c>
      <c r="D1535" t="str">
        <f t="shared" si="94"/>
        <v>Sunday</v>
      </c>
      <c r="E1535">
        <v>53</v>
      </c>
      <c r="F1535" s="11">
        <f>VLOOKUP(B1535,'ITEMS LIST'!$B$2:$F$19,4,FALSE)</f>
        <v>899</v>
      </c>
      <c r="G1535" s="11">
        <f>VLOOKUP(B1535,'ITEMS LIST'!$B$2:$F$19,5,FALSE)</f>
        <v>714</v>
      </c>
      <c r="H1535" s="11">
        <f t="shared" si="92"/>
        <v>0</v>
      </c>
      <c r="I1535" s="11">
        <f t="shared" si="93"/>
        <v>0</v>
      </c>
      <c r="J1535" s="11">
        <f t="shared" si="95"/>
        <v>0</v>
      </c>
    </row>
    <row r="1536" spans="1:10" x14ac:dyDescent="0.3">
      <c r="A1536" s="7">
        <v>44920.222222220982</v>
      </c>
      <c r="B1536" s="8" t="s">
        <v>4</v>
      </c>
      <c r="C1536" s="8">
        <v>0</v>
      </c>
      <c r="D1536" t="str">
        <f t="shared" si="94"/>
        <v>Sunday</v>
      </c>
      <c r="E1536">
        <v>53</v>
      </c>
      <c r="F1536" s="11">
        <f>VLOOKUP(B1536,'ITEMS LIST'!$B$2:$F$19,4,FALSE)</f>
        <v>1379</v>
      </c>
      <c r="G1536" s="11">
        <f>VLOOKUP(B1536,'ITEMS LIST'!$B$2:$F$19,5,FALSE)</f>
        <v>890</v>
      </c>
      <c r="H1536" s="11">
        <f t="shared" si="92"/>
        <v>0</v>
      </c>
      <c r="I1536" s="11">
        <f t="shared" si="93"/>
        <v>0</v>
      </c>
      <c r="J1536" s="11">
        <f t="shared" si="95"/>
        <v>0</v>
      </c>
    </row>
    <row r="1537" spans="1:10" x14ac:dyDescent="0.3">
      <c r="A1537" s="7">
        <v>44920.277777776537</v>
      </c>
      <c r="B1537" s="8" t="s">
        <v>5</v>
      </c>
      <c r="C1537" s="8">
        <v>0</v>
      </c>
      <c r="D1537" t="str">
        <f t="shared" si="94"/>
        <v>Sunday</v>
      </c>
      <c r="E1537">
        <v>53</v>
      </c>
      <c r="F1537" s="11">
        <f>VLOOKUP(B1537,'ITEMS LIST'!$B$2:$F$19,4,FALSE)</f>
        <v>849</v>
      </c>
      <c r="G1537" s="11">
        <f>VLOOKUP(B1537,'ITEMS LIST'!$B$2:$F$19,5,FALSE)</f>
        <v>530</v>
      </c>
      <c r="H1537" s="11">
        <f t="shared" si="92"/>
        <v>0</v>
      </c>
      <c r="I1537" s="11">
        <f t="shared" si="93"/>
        <v>0</v>
      </c>
      <c r="J1537" s="11">
        <f t="shared" si="95"/>
        <v>0</v>
      </c>
    </row>
    <row r="1538" spans="1:10" x14ac:dyDescent="0.3">
      <c r="A1538" s="7">
        <v>44920.333333332092</v>
      </c>
      <c r="B1538" s="8" t="s">
        <v>6</v>
      </c>
      <c r="C1538" s="8">
        <v>0</v>
      </c>
      <c r="D1538" t="str">
        <f t="shared" si="94"/>
        <v>Sunday</v>
      </c>
      <c r="E1538">
        <v>53</v>
      </c>
      <c r="F1538" s="11">
        <f>VLOOKUP(B1538,'ITEMS LIST'!$B$2:$F$19,4,FALSE)</f>
        <v>1000</v>
      </c>
      <c r="G1538" s="11">
        <f>VLOOKUP(B1538,'ITEMS LIST'!$B$2:$F$19,5,FALSE)</f>
        <v>768</v>
      </c>
      <c r="H1538" s="11">
        <f t="shared" ref="H1538:H1601" si="96">C1538*F1538</f>
        <v>0</v>
      </c>
      <c r="I1538" s="11">
        <f t="shared" ref="I1538:I1601" si="97">C1538*G1538</f>
        <v>0</v>
      </c>
      <c r="J1538" s="11">
        <f t="shared" si="95"/>
        <v>0</v>
      </c>
    </row>
    <row r="1539" spans="1:10" x14ac:dyDescent="0.3">
      <c r="A1539" s="7">
        <v>44920.388888887646</v>
      </c>
      <c r="B1539" s="8" t="s">
        <v>7</v>
      </c>
      <c r="C1539" s="8">
        <v>0</v>
      </c>
      <c r="D1539" t="str">
        <f t="shared" ref="D1539:D1602" si="98">TEXT(A1539,"dddd")</f>
        <v>Sunday</v>
      </c>
      <c r="E1539">
        <v>53</v>
      </c>
      <c r="F1539" s="11">
        <f>VLOOKUP(B1539,'ITEMS LIST'!$B$2:$F$19,4,FALSE)</f>
        <v>680</v>
      </c>
      <c r="G1539" s="11">
        <f>VLOOKUP(B1539,'ITEMS LIST'!$B$2:$F$19,5,FALSE)</f>
        <v>570</v>
      </c>
      <c r="H1539" s="11">
        <f t="shared" si="96"/>
        <v>0</v>
      </c>
      <c r="I1539" s="11">
        <f t="shared" si="97"/>
        <v>0</v>
      </c>
      <c r="J1539" s="11">
        <f t="shared" ref="J1539:J1602" si="99">H1539-I1539</f>
        <v>0</v>
      </c>
    </row>
    <row r="1540" spans="1:10" x14ac:dyDescent="0.3">
      <c r="A1540" s="7">
        <v>44920.444444443201</v>
      </c>
      <c r="B1540" s="8" t="s">
        <v>8</v>
      </c>
      <c r="C1540" s="8">
        <v>0</v>
      </c>
      <c r="D1540" t="str">
        <f t="shared" si="98"/>
        <v>Sunday</v>
      </c>
      <c r="E1540">
        <v>53</v>
      </c>
      <c r="F1540" s="11">
        <f>VLOOKUP(B1540,'ITEMS LIST'!$B$2:$F$19,4,FALSE)</f>
        <v>199</v>
      </c>
      <c r="G1540" s="11">
        <f>VLOOKUP(B1540,'ITEMS LIST'!$B$2:$F$19,5,FALSE)</f>
        <v>140</v>
      </c>
      <c r="H1540" s="11">
        <f t="shared" si="96"/>
        <v>0</v>
      </c>
      <c r="I1540" s="11">
        <f t="shared" si="97"/>
        <v>0</v>
      </c>
      <c r="J1540" s="11">
        <f t="shared" si="99"/>
        <v>0</v>
      </c>
    </row>
    <row r="1541" spans="1:10" x14ac:dyDescent="0.3">
      <c r="A1541" s="7">
        <v>44920.499999998756</v>
      </c>
      <c r="B1541" s="8" t="s">
        <v>9</v>
      </c>
      <c r="C1541" s="8">
        <v>0</v>
      </c>
      <c r="D1541" t="str">
        <f t="shared" si="98"/>
        <v>Sunday</v>
      </c>
      <c r="E1541">
        <v>53</v>
      </c>
      <c r="F1541" s="11">
        <f>VLOOKUP(B1541,'ITEMS LIST'!$B$2:$F$19,4,FALSE)</f>
        <v>219</v>
      </c>
      <c r="G1541" s="11">
        <f>VLOOKUP(B1541,'ITEMS LIST'!$B$2:$F$19,5,FALSE)</f>
        <v>132</v>
      </c>
      <c r="H1541" s="11">
        <f t="shared" si="96"/>
        <v>0</v>
      </c>
      <c r="I1541" s="11">
        <f t="shared" si="97"/>
        <v>0</v>
      </c>
      <c r="J1541" s="11">
        <f t="shared" si="99"/>
        <v>0</v>
      </c>
    </row>
    <row r="1542" spans="1:10" x14ac:dyDescent="0.3">
      <c r="A1542" s="7">
        <v>44920.555555554311</v>
      </c>
      <c r="B1542" s="8" t="s">
        <v>10</v>
      </c>
      <c r="C1542" s="8">
        <v>2</v>
      </c>
      <c r="D1542" t="str">
        <f t="shared" si="98"/>
        <v>Sunday</v>
      </c>
      <c r="E1542">
        <v>53</v>
      </c>
      <c r="F1542" s="11">
        <f>VLOOKUP(B1542,'ITEMS LIST'!$B$2:$F$19,4,FALSE)</f>
        <v>1469</v>
      </c>
      <c r="G1542" s="11">
        <f>VLOOKUP(B1542,'ITEMS LIST'!$B$2:$F$19,5,FALSE)</f>
        <v>1184</v>
      </c>
      <c r="H1542" s="11">
        <f t="shared" si="96"/>
        <v>2938</v>
      </c>
      <c r="I1542" s="11">
        <f t="shared" si="97"/>
        <v>2368</v>
      </c>
      <c r="J1542" s="11">
        <f t="shared" si="99"/>
        <v>570</v>
      </c>
    </row>
    <row r="1543" spans="1:10" x14ac:dyDescent="0.3">
      <c r="A1543" s="7">
        <v>44920.611111109865</v>
      </c>
      <c r="B1543" s="8" t="s">
        <v>11</v>
      </c>
      <c r="C1543" s="8">
        <v>0</v>
      </c>
      <c r="D1543" t="str">
        <f t="shared" si="98"/>
        <v>Sunday</v>
      </c>
      <c r="E1543">
        <v>53</v>
      </c>
      <c r="F1543" s="11">
        <f>VLOOKUP(B1543,'ITEMS LIST'!$B$2:$F$19,4,FALSE)</f>
        <v>89</v>
      </c>
      <c r="G1543" s="11">
        <f>VLOOKUP(B1543,'ITEMS LIST'!$B$2:$F$19,5,FALSE)</f>
        <v>59</v>
      </c>
      <c r="H1543" s="11">
        <f t="shared" si="96"/>
        <v>0</v>
      </c>
      <c r="I1543" s="11">
        <f t="shared" si="97"/>
        <v>0</v>
      </c>
      <c r="J1543" s="11">
        <f t="shared" si="99"/>
        <v>0</v>
      </c>
    </row>
    <row r="1544" spans="1:10" x14ac:dyDescent="0.3">
      <c r="A1544" s="7">
        <v>44920.66666666542</v>
      </c>
      <c r="B1544" s="8" t="s">
        <v>12</v>
      </c>
      <c r="C1544" s="8">
        <v>0</v>
      </c>
      <c r="D1544" t="str">
        <f t="shared" si="98"/>
        <v>Sunday</v>
      </c>
      <c r="E1544">
        <v>53</v>
      </c>
      <c r="F1544" s="11">
        <f>VLOOKUP(B1544,'ITEMS LIST'!$B$2:$F$19,4,FALSE)</f>
        <v>310</v>
      </c>
      <c r="G1544" s="11">
        <f>VLOOKUP(B1544,'ITEMS LIST'!$B$2:$F$19,5,FALSE)</f>
        <v>206</v>
      </c>
      <c r="H1544" s="11">
        <f t="shared" si="96"/>
        <v>0</v>
      </c>
      <c r="I1544" s="11">
        <f t="shared" si="97"/>
        <v>0</v>
      </c>
      <c r="J1544" s="11">
        <f t="shared" si="99"/>
        <v>0</v>
      </c>
    </row>
    <row r="1545" spans="1:10" x14ac:dyDescent="0.3">
      <c r="A1545" s="7">
        <v>44920.722222220975</v>
      </c>
      <c r="B1545" s="8" t="s">
        <v>13</v>
      </c>
      <c r="C1545" s="8">
        <v>0</v>
      </c>
      <c r="D1545" t="str">
        <f t="shared" si="98"/>
        <v>Sunday</v>
      </c>
      <c r="E1545">
        <v>53</v>
      </c>
      <c r="F1545" s="11">
        <f>VLOOKUP(B1545,'ITEMS LIST'!$B$2:$F$19,4,FALSE)</f>
        <v>540</v>
      </c>
      <c r="G1545" s="11">
        <f>VLOOKUP(B1545,'ITEMS LIST'!$B$2:$F$19,5,FALSE)</f>
        <v>397</v>
      </c>
      <c r="H1545" s="11">
        <f t="shared" si="96"/>
        <v>0</v>
      </c>
      <c r="I1545" s="11">
        <f t="shared" si="97"/>
        <v>0</v>
      </c>
      <c r="J1545" s="11">
        <f t="shared" si="99"/>
        <v>0</v>
      </c>
    </row>
    <row r="1546" spans="1:10" x14ac:dyDescent="0.3">
      <c r="A1546" s="7">
        <v>44920.77777777653</v>
      </c>
      <c r="B1546" s="8" t="s">
        <v>14</v>
      </c>
      <c r="C1546" s="8">
        <v>0</v>
      </c>
      <c r="D1546" t="str">
        <f t="shared" si="98"/>
        <v>Sunday</v>
      </c>
      <c r="E1546">
        <v>53</v>
      </c>
      <c r="F1546" s="11">
        <f>VLOOKUP(B1546,'ITEMS LIST'!$B$2:$F$19,4,FALSE)</f>
        <v>360</v>
      </c>
      <c r="G1546" s="11">
        <f>VLOOKUP(B1546,'ITEMS LIST'!$B$2:$F$19,5,FALSE)</f>
        <v>248</v>
      </c>
      <c r="H1546" s="11">
        <f t="shared" si="96"/>
        <v>0</v>
      </c>
      <c r="I1546" s="11">
        <f t="shared" si="97"/>
        <v>0</v>
      </c>
      <c r="J1546" s="11">
        <f t="shared" si="99"/>
        <v>0</v>
      </c>
    </row>
    <row r="1547" spans="1:10" x14ac:dyDescent="0.3">
      <c r="A1547" s="7">
        <v>44920.833333332084</v>
      </c>
      <c r="B1547" s="8" t="s">
        <v>15</v>
      </c>
      <c r="C1547" s="8">
        <v>0</v>
      </c>
      <c r="D1547" t="str">
        <f t="shared" si="98"/>
        <v>Sunday</v>
      </c>
      <c r="E1547">
        <v>53</v>
      </c>
      <c r="F1547" s="11">
        <f>VLOOKUP(B1547,'ITEMS LIST'!$B$2:$F$19,4,FALSE)</f>
        <v>250</v>
      </c>
      <c r="G1547" s="11">
        <f>VLOOKUP(B1547,'ITEMS LIST'!$B$2:$F$19,5,FALSE)</f>
        <v>190</v>
      </c>
      <c r="H1547" s="11">
        <f t="shared" si="96"/>
        <v>0</v>
      </c>
      <c r="I1547" s="11">
        <f t="shared" si="97"/>
        <v>0</v>
      </c>
      <c r="J1547" s="11">
        <f t="shared" si="99"/>
        <v>0</v>
      </c>
    </row>
    <row r="1548" spans="1:10" x14ac:dyDescent="0.3">
      <c r="A1548" s="7">
        <v>44920.888888887639</v>
      </c>
      <c r="B1548" s="8" t="s">
        <v>16</v>
      </c>
      <c r="C1548" s="8">
        <v>0</v>
      </c>
      <c r="D1548" t="str">
        <f t="shared" si="98"/>
        <v>Sunday</v>
      </c>
      <c r="E1548">
        <v>53</v>
      </c>
      <c r="F1548" s="11">
        <f>VLOOKUP(B1548,'ITEMS LIST'!$B$2:$F$19,4,FALSE)</f>
        <v>120</v>
      </c>
      <c r="G1548" s="11">
        <f>VLOOKUP(B1548,'ITEMS LIST'!$B$2:$F$19,5,FALSE)</f>
        <v>85</v>
      </c>
      <c r="H1548" s="11">
        <f t="shared" si="96"/>
        <v>0</v>
      </c>
      <c r="I1548" s="11">
        <f t="shared" si="97"/>
        <v>0</v>
      </c>
      <c r="J1548" s="11">
        <f t="shared" si="99"/>
        <v>0</v>
      </c>
    </row>
    <row r="1549" spans="1:10" x14ac:dyDescent="0.3">
      <c r="A1549" s="7">
        <v>44920.944444443194</v>
      </c>
      <c r="B1549" s="8" t="s">
        <v>17</v>
      </c>
      <c r="C1549" s="8">
        <v>0</v>
      </c>
      <c r="D1549" t="str">
        <f t="shared" si="98"/>
        <v>Sunday</v>
      </c>
      <c r="E1549">
        <v>53</v>
      </c>
      <c r="F1549" s="11">
        <f>VLOOKUP(B1549,'ITEMS LIST'!$B$2:$F$19,4,FALSE)</f>
        <v>80</v>
      </c>
      <c r="G1549" s="11">
        <f>VLOOKUP(B1549,'ITEMS LIST'!$B$2:$F$19,5,FALSE)</f>
        <v>55</v>
      </c>
      <c r="H1549" s="11">
        <f t="shared" si="96"/>
        <v>0</v>
      </c>
      <c r="I1549" s="11">
        <f t="shared" si="97"/>
        <v>0</v>
      </c>
      <c r="J1549" s="11">
        <f t="shared" si="99"/>
        <v>0</v>
      </c>
    </row>
    <row r="1550" spans="1:10" x14ac:dyDescent="0.3">
      <c r="A1550" s="7">
        <v>44920.999999998749</v>
      </c>
      <c r="B1550" s="8" t="s">
        <v>0</v>
      </c>
      <c r="C1550" s="8">
        <v>0</v>
      </c>
      <c r="D1550" t="str">
        <f t="shared" si="98"/>
        <v>Monday</v>
      </c>
      <c r="E1550">
        <v>53</v>
      </c>
      <c r="F1550" s="11">
        <f>VLOOKUP(B1550,'ITEMS LIST'!$B$2:$F$19,4,FALSE)</f>
        <v>549</v>
      </c>
      <c r="G1550" s="11">
        <f>VLOOKUP(B1550,'ITEMS LIST'!$B$2:$F$19,5,FALSE)</f>
        <v>365</v>
      </c>
      <c r="H1550" s="11">
        <f t="shared" si="96"/>
        <v>0</v>
      </c>
      <c r="I1550" s="11">
        <f t="shared" si="97"/>
        <v>0</v>
      </c>
      <c r="J1550" s="11">
        <f t="shared" si="99"/>
        <v>0</v>
      </c>
    </row>
    <row r="1551" spans="1:10" x14ac:dyDescent="0.3">
      <c r="A1551" s="7">
        <v>44921.055555554303</v>
      </c>
      <c r="B1551" s="8" t="s">
        <v>1</v>
      </c>
      <c r="C1551" s="8">
        <v>2</v>
      </c>
      <c r="D1551" t="str">
        <f t="shared" si="98"/>
        <v>Monday</v>
      </c>
      <c r="E1551">
        <v>53</v>
      </c>
      <c r="F1551" s="11">
        <f>VLOOKUP(B1551,'ITEMS LIST'!$B$2:$F$19,4,FALSE)</f>
        <v>699</v>
      </c>
      <c r="G1551" s="11">
        <f>VLOOKUP(B1551,'ITEMS LIST'!$B$2:$F$19,5,FALSE)</f>
        <v>550</v>
      </c>
      <c r="H1551" s="11">
        <f t="shared" si="96"/>
        <v>1398</v>
      </c>
      <c r="I1551" s="11">
        <f t="shared" si="97"/>
        <v>1100</v>
      </c>
      <c r="J1551" s="11">
        <f t="shared" si="99"/>
        <v>298</v>
      </c>
    </row>
    <row r="1552" spans="1:10" x14ac:dyDescent="0.3">
      <c r="A1552" s="7">
        <v>44921.111111109858</v>
      </c>
      <c r="B1552" s="8" t="s">
        <v>2</v>
      </c>
      <c r="C1552" s="8">
        <v>1</v>
      </c>
      <c r="D1552" t="str">
        <f t="shared" si="98"/>
        <v>Monday</v>
      </c>
      <c r="E1552">
        <v>53</v>
      </c>
      <c r="F1552" s="11">
        <f>VLOOKUP(B1552,'ITEMS LIST'!$B$2:$F$19,4,FALSE)</f>
        <v>739</v>
      </c>
      <c r="G1552" s="11">
        <f>VLOOKUP(B1552,'ITEMS LIST'!$B$2:$F$19,5,FALSE)</f>
        <v>620</v>
      </c>
      <c r="H1552" s="11">
        <f t="shared" si="96"/>
        <v>739</v>
      </c>
      <c r="I1552" s="11">
        <f t="shared" si="97"/>
        <v>620</v>
      </c>
      <c r="J1552" s="11">
        <f t="shared" si="99"/>
        <v>119</v>
      </c>
    </row>
    <row r="1553" spans="1:10" x14ac:dyDescent="0.3">
      <c r="A1553" s="7">
        <v>44921.166666665413</v>
      </c>
      <c r="B1553" s="8" t="s">
        <v>3</v>
      </c>
      <c r="C1553" s="8">
        <v>0</v>
      </c>
      <c r="D1553" t="str">
        <f t="shared" si="98"/>
        <v>Monday</v>
      </c>
      <c r="E1553">
        <v>53</v>
      </c>
      <c r="F1553" s="11">
        <f>VLOOKUP(B1553,'ITEMS LIST'!$B$2:$F$19,4,FALSE)</f>
        <v>899</v>
      </c>
      <c r="G1553" s="11">
        <f>VLOOKUP(B1553,'ITEMS LIST'!$B$2:$F$19,5,FALSE)</f>
        <v>714</v>
      </c>
      <c r="H1553" s="11">
        <f t="shared" si="96"/>
        <v>0</v>
      </c>
      <c r="I1553" s="11">
        <f t="shared" si="97"/>
        <v>0</v>
      </c>
      <c r="J1553" s="11">
        <f t="shared" si="99"/>
        <v>0</v>
      </c>
    </row>
    <row r="1554" spans="1:10" x14ac:dyDescent="0.3">
      <c r="A1554" s="7">
        <v>44921.222222220968</v>
      </c>
      <c r="B1554" s="8" t="s">
        <v>4</v>
      </c>
      <c r="C1554" s="8">
        <v>1</v>
      </c>
      <c r="D1554" t="str">
        <f t="shared" si="98"/>
        <v>Monday</v>
      </c>
      <c r="E1554">
        <v>53</v>
      </c>
      <c r="F1554" s="11">
        <f>VLOOKUP(B1554,'ITEMS LIST'!$B$2:$F$19,4,FALSE)</f>
        <v>1379</v>
      </c>
      <c r="G1554" s="11">
        <f>VLOOKUP(B1554,'ITEMS LIST'!$B$2:$F$19,5,FALSE)</f>
        <v>890</v>
      </c>
      <c r="H1554" s="11">
        <f t="shared" si="96"/>
        <v>1379</v>
      </c>
      <c r="I1554" s="11">
        <f t="shared" si="97"/>
        <v>890</v>
      </c>
      <c r="J1554" s="11">
        <f t="shared" si="99"/>
        <v>489</v>
      </c>
    </row>
    <row r="1555" spans="1:10" x14ac:dyDescent="0.3">
      <c r="A1555" s="7">
        <v>44921.277777776522</v>
      </c>
      <c r="B1555" s="8" t="s">
        <v>5</v>
      </c>
      <c r="C1555" s="8">
        <v>3</v>
      </c>
      <c r="D1555" t="str">
        <f t="shared" si="98"/>
        <v>Monday</v>
      </c>
      <c r="E1555">
        <v>53</v>
      </c>
      <c r="F1555" s="11">
        <f>VLOOKUP(B1555,'ITEMS LIST'!$B$2:$F$19,4,FALSE)</f>
        <v>849</v>
      </c>
      <c r="G1555" s="11">
        <f>VLOOKUP(B1555,'ITEMS LIST'!$B$2:$F$19,5,FALSE)</f>
        <v>530</v>
      </c>
      <c r="H1555" s="11">
        <f t="shared" si="96"/>
        <v>2547</v>
      </c>
      <c r="I1555" s="11">
        <f t="shared" si="97"/>
        <v>1590</v>
      </c>
      <c r="J1555" s="11">
        <f t="shared" si="99"/>
        <v>957</v>
      </c>
    </row>
    <row r="1556" spans="1:10" x14ac:dyDescent="0.3">
      <c r="A1556" s="7">
        <v>44921.333333332077</v>
      </c>
      <c r="B1556" s="8" t="s">
        <v>6</v>
      </c>
      <c r="C1556" s="8">
        <v>0</v>
      </c>
      <c r="D1556" t="str">
        <f t="shared" si="98"/>
        <v>Monday</v>
      </c>
      <c r="E1556">
        <v>53</v>
      </c>
      <c r="F1556" s="11">
        <f>VLOOKUP(B1556,'ITEMS LIST'!$B$2:$F$19,4,FALSE)</f>
        <v>1000</v>
      </c>
      <c r="G1556" s="11">
        <f>VLOOKUP(B1556,'ITEMS LIST'!$B$2:$F$19,5,FALSE)</f>
        <v>768</v>
      </c>
      <c r="H1556" s="11">
        <f t="shared" si="96"/>
        <v>0</v>
      </c>
      <c r="I1556" s="11">
        <f t="shared" si="97"/>
        <v>0</v>
      </c>
      <c r="J1556" s="11">
        <f t="shared" si="99"/>
        <v>0</v>
      </c>
    </row>
    <row r="1557" spans="1:10" x14ac:dyDescent="0.3">
      <c r="A1557" s="7">
        <v>44921.388888887632</v>
      </c>
      <c r="B1557" s="8" t="s">
        <v>7</v>
      </c>
      <c r="C1557" s="8">
        <v>0</v>
      </c>
      <c r="D1557" t="str">
        <f t="shared" si="98"/>
        <v>Monday</v>
      </c>
      <c r="E1557">
        <v>53</v>
      </c>
      <c r="F1557" s="11">
        <f>VLOOKUP(B1557,'ITEMS LIST'!$B$2:$F$19,4,FALSE)</f>
        <v>680</v>
      </c>
      <c r="G1557" s="11">
        <f>VLOOKUP(B1557,'ITEMS LIST'!$B$2:$F$19,5,FALSE)</f>
        <v>570</v>
      </c>
      <c r="H1557" s="11">
        <f t="shared" si="96"/>
        <v>0</v>
      </c>
      <c r="I1557" s="11">
        <f t="shared" si="97"/>
        <v>0</v>
      </c>
      <c r="J1557" s="11">
        <f t="shared" si="99"/>
        <v>0</v>
      </c>
    </row>
    <row r="1558" spans="1:10" x14ac:dyDescent="0.3">
      <c r="A1558" s="7">
        <v>44921.444444443187</v>
      </c>
      <c r="B1558" s="8" t="s">
        <v>8</v>
      </c>
      <c r="C1558" s="8">
        <v>0</v>
      </c>
      <c r="D1558" t="str">
        <f t="shared" si="98"/>
        <v>Monday</v>
      </c>
      <c r="E1558">
        <v>53</v>
      </c>
      <c r="F1558" s="11">
        <f>VLOOKUP(B1558,'ITEMS LIST'!$B$2:$F$19,4,FALSE)</f>
        <v>199</v>
      </c>
      <c r="G1558" s="11">
        <f>VLOOKUP(B1558,'ITEMS LIST'!$B$2:$F$19,5,FALSE)</f>
        <v>140</v>
      </c>
      <c r="H1558" s="11">
        <f t="shared" si="96"/>
        <v>0</v>
      </c>
      <c r="I1558" s="11">
        <f t="shared" si="97"/>
        <v>0</v>
      </c>
      <c r="J1558" s="11">
        <f t="shared" si="99"/>
        <v>0</v>
      </c>
    </row>
    <row r="1559" spans="1:10" x14ac:dyDescent="0.3">
      <c r="A1559" s="7">
        <v>44921.499999998741</v>
      </c>
      <c r="B1559" s="8" t="s">
        <v>9</v>
      </c>
      <c r="C1559" s="8">
        <v>0</v>
      </c>
      <c r="D1559" t="str">
        <f t="shared" si="98"/>
        <v>Monday</v>
      </c>
      <c r="E1559">
        <v>53</v>
      </c>
      <c r="F1559" s="11">
        <f>VLOOKUP(B1559,'ITEMS LIST'!$B$2:$F$19,4,FALSE)</f>
        <v>219</v>
      </c>
      <c r="G1559" s="11">
        <f>VLOOKUP(B1559,'ITEMS LIST'!$B$2:$F$19,5,FALSE)</f>
        <v>132</v>
      </c>
      <c r="H1559" s="11">
        <f t="shared" si="96"/>
        <v>0</v>
      </c>
      <c r="I1559" s="11">
        <f t="shared" si="97"/>
        <v>0</v>
      </c>
      <c r="J1559" s="11">
        <f t="shared" si="99"/>
        <v>0</v>
      </c>
    </row>
    <row r="1560" spans="1:10" x14ac:dyDescent="0.3">
      <c r="A1560" s="7">
        <v>44921.555555554296</v>
      </c>
      <c r="B1560" s="8" t="s">
        <v>10</v>
      </c>
      <c r="C1560" s="8">
        <v>1</v>
      </c>
      <c r="D1560" t="str">
        <f t="shared" si="98"/>
        <v>Monday</v>
      </c>
      <c r="E1560">
        <v>53</v>
      </c>
      <c r="F1560" s="11">
        <f>VLOOKUP(B1560,'ITEMS LIST'!$B$2:$F$19,4,FALSE)</f>
        <v>1469</v>
      </c>
      <c r="G1560" s="11">
        <f>VLOOKUP(B1560,'ITEMS LIST'!$B$2:$F$19,5,FALSE)</f>
        <v>1184</v>
      </c>
      <c r="H1560" s="11">
        <f t="shared" si="96"/>
        <v>1469</v>
      </c>
      <c r="I1560" s="11">
        <f t="shared" si="97"/>
        <v>1184</v>
      </c>
      <c r="J1560" s="11">
        <f t="shared" si="99"/>
        <v>285</v>
      </c>
    </row>
    <row r="1561" spans="1:10" x14ac:dyDescent="0.3">
      <c r="A1561" s="7">
        <v>44921.611111109851</v>
      </c>
      <c r="B1561" s="8" t="s">
        <v>11</v>
      </c>
      <c r="C1561" s="8">
        <v>0</v>
      </c>
      <c r="D1561" t="str">
        <f t="shared" si="98"/>
        <v>Monday</v>
      </c>
      <c r="E1561">
        <v>53</v>
      </c>
      <c r="F1561" s="11">
        <f>VLOOKUP(B1561,'ITEMS LIST'!$B$2:$F$19,4,FALSE)</f>
        <v>89</v>
      </c>
      <c r="G1561" s="11">
        <f>VLOOKUP(B1561,'ITEMS LIST'!$B$2:$F$19,5,FALSE)</f>
        <v>59</v>
      </c>
      <c r="H1561" s="11">
        <f t="shared" si="96"/>
        <v>0</v>
      </c>
      <c r="I1561" s="11">
        <f t="shared" si="97"/>
        <v>0</v>
      </c>
      <c r="J1561" s="11">
        <f t="shared" si="99"/>
        <v>0</v>
      </c>
    </row>
    <row r="1562" spans="1:10" x14ac:dyDescent="0.3">
      <c r="A1562" s="7">
        <v>44921.666666665406</v>
      </c>
      <c r="B1562" s="8" t="s">
        <v>12</v>
      </c>
      <c r="C1562" s="8">
        <v>0</v>
      </c>
      <c r="D1562" t="str">
        <f t="shared" si="98"/>
        <v>Monday</v>
      </c>
      <c r="E1562">
        <v>53</v>
      </c>
      <c r="F1562" s="11">
        <f>VLOOKUP(B1562,'ITEMS LIST'!$B$2:$F$19,4,FALSE)</f>
        <v>310</v>
      </c>
      <c r="G1562" s="11">
        <f>VLOOKUP(B1562,'ITEMS LIST'!$B$2:$F$19,5,FALSE)</f>
        <v>206</v>
      </c>
      <c r="H1562" s="11">
        <f t="shared" si="96"/>
        <v>0</v>
      </c>
      <c r="I1562" s="11">
        <f t="shared" si="97"/>
        <v>0</v>
      </c>
      <c r="J1562" s="11">
        <f t="shared" si="99"/>
        <v>0</v>
      </c>
    </row>
    <row r="1563" spans="1:10" x14ac:dyDescent="0.3">
      <c r="A1563" s="7">
        <v>44921.72222222096</v>
      </c>
      <c r="B1563" s="8" t="s">
        <v>13</v>
      </c>
      <c r="C1563" s="8">
        <v>0</v>
      </c>
      <c r="D1563" t="str">
        <f t="shared" si="98"/>
        <v>Monday</v>
      </c>
      <c r="E1563">
        <v>53</v>
      </c>
      <c r="F1563" s="11">
        <f>VLOOKUP(B1563,'ITEMS LIST'!$B$2:$F$19,4,FALSE)</f>
        <v>540</v>
      </c>
      <c r="G1563" s="11">
        <f>VLOOKUP(B1563,'ITEMS LIST'!$B$2:$F$19,5,FALSE)</f>
        <v>397</v>
      </c>
      <c r="H1563" s="11">
        <f t="shared" si="96"/>
        <v>0</v>
      </c>
      <c r="I1563" s="11">
        <f t="shared" si="97"/>
        <v>0</v>
      </c>
      <c r="J1563" s="11">
        <f t="shared" si="99"/>
        <v>0</v>
      </c>
    </row>
    <row r="1564" spans="1:10" x14ac:dyDescent="0.3">
      <c r="A1564" s="7">
        <v>44921.777777776515</v>
      </c>
      <c r="B1564" s="8" t="s">
        <v>14</v>
      </c>
      <c r="C1564" s="8">
        <v>0</v>
      </c>
      <c r="D1564" t="str">
        <f t="shared" si="98"/>
        <v>Monday</v>
      </c>
      <c r="E1564">
        <v>53</v>
      </c>
      <c r="F1564" s="11">
        <f>VLOOKUP(B1564,'ITEMS LIST'!$B$2:$F$19,4,FALSE)</f>
        <v>360</v>
      </c>
      <c r="G1564" s="11">
        <f>VLOOKUP(B1564,'ITEMS LIST'!$B$2:$F$19,5,FALSE)</f>
        <v>248</v>
      </c>
      <c r="H1564" s="11">
        <f t="shared" si="96"/>
        <v>0</v>
      </c>
      <c r="I1564" s="11">
        <f t="shared" si="97"/>
        <v>0</v>
      </c>
      <c r="J1564" s="11">
        <f t="shared" si="99"/>
        <v>0</v>
      </c>
    </row>
    <row r="1565" spans="1:10" x14ac:dyDescent="0.3">
      <c r="A1565" s="7">
        <v>44921.83333333207</v>
      </c>
      <c r="B1565" s="8" t="s">
        <v>15</v>
      </c>
      <c r="C1565" s="8">
        <v>0</v>
      </c>
      <c r="D1565" t="str">
        <f t="shared" si="98"/>
        <v>Monday</v>
      </c>
      <c r="E1565">
        <v>53</v>
      </c>
      <c r="F1565" s="11">
        <f>VLOOKUP(B1565,'ITEMS LIST'!$B$2:$F$19,4,FALSE)</f>
        <v>250</v>
      </c>
      <c r="G1565" s="11">
        <f>VLOOKUP(B1565,'ITEMS LIST'!$B$2:$F$19,5,FALSE)</f>
        <v>190</v>
      </c>
      <c r="H1565" s="11">
        <f t="shared" si="96"/>
        <v>0</v>
      </c>
      <c r="I1565" s="11">
        <f t="shared" si="97"/>
        <v>0</v>
      </c>
      <c r="J1565" s="11">
        <f t="shared" si="99"/>
        <v>0</v>
      </c>
    </row>
    <row r="1566" spans="1:10" x14ac:dyDescent="0.3">
      <c r="A1566" s="7">
        <v>44921.888888887624</v>
      </c>
      <c r="B1566" s="8" t="s">
        <v>16</v>
      </c>
      <c r="C1566" s="8">
        <v>0</v>
      </c>
      <c r="D1566" t="str">
        <f t="shared" si="98"/>
        <v>Monday</v>
      </c>
      <c r="E1566">
        <v>53</v>
      </c>
      <c r="F1566" s="11">
        <f>VLOOKUP(B1566,'ITEMS LIST'!$B$2:$F$19,4,FALSE)</f>
        <v>120</v>
      </c>
      <c r="G1566" s="11">
        <f>VLOOKUP(B1566,'ITEMS LIST'!$B$2:$F$19,5,FALSE)</f>
        <v>85</v>
      </c>
      <c r="H1566" s="11">
        <f t="shared" si="96"/>
        <v>0</v>
      </c>
      <c r="I1566" s="11">
        <f t="shared" si="97"/>
        <v>0</v>
      </c>
      <c r="J1566" s="11">
        <f t="shared" si="99"/>
        <v>0</v>
      </c>
    </row>
    <row r="1567" spans="1:10" x14ac:dyDescent="0.3">
      <c r="A1567" s="7">
        <v>44921.944444443179</v>
      </c>
      <c r="B1567" s="8" t="s">
        <v>17</v>
      </c>
      <c r="C1567" s="8">
        <v>0</v>
      </c>
      <c r="D1567" t="str">
        <f t="shared" si="98"/>
        <v>Monday</v>
      </c>
      <c r="E1567">
        <v>53</v>
      </c>
      <c r="F1567" s="11">
        <f>VLOOKUP(B1567,'ITEMS LIST'!$B$2:$F$19,4,FALSE)</f>
        <v>80</v>
      </c>
      <c r="G1567" s="11">
        <f>VLOOKUP(B1567,'ITEMS LIST'!$B$2:$F$19,5,FALSE)</f>
        <v>55</v>
      </c>
      <c r="H1567" s="11">
        <f t="shared" si="96"/>
        <v>0</v>
      </c>
      <c r="I1567" s="11">
        <f t="shared" si="97"/>
        <v>0</v>
      </c>
      <c r="J1567" s="11">
        <f t="shared" si="99"/>
        <v>0</v>
      </c>
    </row>
    <row r="1568" spans="1:10" x14ac:dyDescent="0.3">
      <c r="A1568" s="7">
        <v>44921.999999998734</v>
      </c>
      <c r="B1568" s="8" t="s">
        <v>0</v>
      </c>
      <c r="C1568" s="8">
        <v>0</v>
      </c>
      <c r="D1568" t="str">
        <f t="shared" si="98"/>
        <v>Tuesday</v>
      </c>
      <c r="E1568">
        <v>53</v>
      </c>
      <c r="F1568" s="11">
        <f>VLOOKUP(B1568,'ITEMS LIST'!$B$2:$F$19,4,FALSE)</f>
        <v>549</v>
      </c>
      <c r="G1568" s="11">
        <f>VLOOKUP(B1568,'ITEMS LIST'!$B$2:$F$19,5,FALSE)</f>
        <v>365</v>
      </c>
      <c r="H1568" s="11">
        <f t="shared" si="96"/>
        <v>0</v>
      </c>
      <c r="I1568" s="11">
        <f t="shared" si="97"/>
        <v>0</v>
      </c>
      <c r="J1568" s="11">
        <f t="shared" si="99"/>
        <v>0</v>
      </c>
    </row>
    <row r="1569" spans="1:10" x14ac:dyDescent="0.3">
      <c r="A1569" s="7">
        <v>44922.055555554289</v>
      </c>
      <c r="B1569" s="8" t="s">
        <v>1</v>
      </c>
      <c r="C1569" s="8">
        <v>0</v>
      </c>
      <c r="D1569" t="str">
        <f t="shared" si="98"/>
        <v>Tuesday</v>
      </c>
      <c r="E1569">
        <v>53</v>
      </c>
      <c r="F1569" s="11">
        <f>VLOOKUP(B1569,'ITEMS LIST'!$B$2:$F$19,4,FALSE)</f>
        <v>699</v>
      </c>
      <c r="G1569" s="11">
        <f>VLOOKUP(B1569,'ITEMS LIST'!$B$2:$F$19,5,FALSE)</f>
        <v>550</v>
      </c>
      <c r="H1569" s="11">
        <f t="shared" si="96"/>
        <v>0</v>
      </c>
      <c r="I1569" s="11">
        <f t="shared" si="97"/>
        <v>0</v>
      </c>
      <c r="J1569" s="11">
        <f t="shared" si="99"/>
        <v>0</v>
      </c>
    </row>
    <row r="1570" spans="1:10" x14ac:dyDescent="0.3">
      <c r="A1570" s="7">
        <v>44922.111111109843</v>
      </c>
      <c r="B1570" s="8" t="s">
        <v>2</v>
      </c>
      <c r="C1570" s="8">
        <v>0</v>
      </c>
      <c r="D1570" t="str">
        <f t="shared" si="98"/>
        <v>Tuesday</v>
      </c>
      <c r="E1570">
        <v>53</v>
      </c>
      <c r="F1570" s="11">
        <f>VLOOKUP(B1570,'ITEMS LIST'!$B$2:$F$19,4,FALSE)</f>
        <v>739</v>
      </c>
      <c r="G1570" s="11">
        <f>VLOOKUP(B1570,'ITEMS LIST'!$B$2:$F$19,5,FALSE)</f>
        <v>620</v>
      </c>
      <c r="H1570" s="11">
        <f t="shared" si="96"/>
        <v>0</v>
      </c>
      <c r="I1570" s="11">
        <f t="shared" si="97"/>
        <v>0</v>
      </c>
      <c r="J1570" s="11">
        <f t="shared" si="99"/>
        <v>0</v>
      </c>
    </row>
    <row r="1571" spans="1:10" x14ac:dyDescent="0.3">
      <c r="A1571" s="7">
        <v>44922.166666665398</v>
      </c>
      <c r="B1571" s="8" t="s">
        <v>3</v>
      </c>
      <c r="C1571" s="8">
        <v>0</v>
      </c>
      <c r="D1571" t="str">
        <f t="shared" si="98"/>
        <v>Tuesday</v>
      </c>
      <c r="E1571">
        <v>53</v>
      </c>
      <c r="F1571" s="11">
        <f>VLOOKUP(B1571,'ITEMS LIST'!$B$2:$F$19,4,FALSE)</f>
        <v>899</v>
      </c>
      <c r="G1571" s="11">
        <f>VLOOKUP(B1571,'ITEMS LIST'!$B$2:$F$19,5,FALSE)</f>
        <v>714</v>
      </c>
      <c r="H1571" s="11">
        <f t="shared" si="96"/>
        <v>0</v>
      </c>
      <c r="I1571" s="11">
        <f t="shared" si="97"/>
        <v>0</v>
      </c>
      <c r="J1571" s="11">
        <f t="shared" si="99"/>
        <v>0</v>
      </c>
    </row>
    <row r="1572" spans="1:10" x14ac:dyDescent="0.3">
      <c r="A1572" s="7">
        <v>44922.222222220953</v>
      </c>
      <c r="B1572" s="8" t="s">
        <v>4</v>
      </c>
      <c r="C1572" s="8">
        <v>0</v>
      </c>
      <c r="D1572" t="str">
        <f t="shared" si="98"/>
        <v>Tuesday</v>
      </c>
      <c r="E1572">
        <v>53</v>
      </c>
      <c r="F1572" s="11">
        <f>VLOOKUP(B1572,'ITEMS LIST'!$B$2:$F$19,4,FALSE)</f>
        <v>1379</v>
      </c>
      <c r="G1572" s="11">
        <f>VLOOKUP(B1572,'ITEMS LIST'!$B$2:$F$19,5,FALSE)</f>
        <v>890</v>
      </c>
      <c r="H1572" s="11">
        <f t="shared" si="96"/>
        <v>0</v>
      </c>
      <c r="I1572" s="11">
        <f t="shared" si="97"/>
        <v>0</v>
      </c>
      <c r="J1572" s="11">
        <f t="shared" si="99"/>
        <v>0</v>
      </c>
    </row>
    <row r="1573" spans="1:10" x14ac:dyDescent="0.3">
      <c r="A1573" s="7">
        <v>44922.277777776508</v>
      </c>
      <c r="B1573" s="8" t="s">
        <v>5</v>
      </c>
      <c r="C1573" s="8">
        <v>0</v>
      </c>
      <c r="D1573" t="str">
        <f t="shared" si="98"/>
        <v>Tuesday</v>
      </c>
      <c r="E1573">
        <v>53</v>
      </c>
      <c r="F1573" s="11">
        <f>VLOOKUP(B1573,'ITEMS LIST'!$B$2:$F$19,4,FALSE)</f>
        <v>849</v>
      </c>
      <c r="G1573" s="11">
        <f>VLOOKUP(B1573,'ITEMS LIST'!$B$2:$F$19,5,FALSE)</f>
        <v>530</v>
      </c>
      <c r="H1573" s="11">
        <f t="shared" si="96"/>
        <v>0</v>
      </c>
      <c r="I1573" s="11">
        <f t="shared" si="97"/>
        <v>0</v>
      </c>
      <c r="J1573" s="11">
        <f t="shared" si="99"/>
        <v>0</v>
      </c>
    </row>
    <row r="1574" spans="1:10" x14ac:dyDescent="0.3">
      <c r="A1574" s="7">
        <v>44922.333333332062</v>
      </c>
      <c r="B1574" s="8" t="s">
        <v>6</v>
      </c>
      <c r="C1574" s="8">
        <v>0</v>
      </c>
      <c r="D1574" t="str">
        <f t="shared" si="98"/>
        <v>Tuesday</v>
      </c>
      <c r="E1574">
        <v>53</v>
      </c>
      <c r="F1574" s="11">
        <f>VLOOKUP(B1574,'ITEMS LIST'!$B$2:$F$19,4,FALSE)</f>
        <v>1000</v>
      </c>
      <c r="G1574" s="11">
        <f>VLOOKUP(B1574,'ITEMS LIST'!$B$2:$F$19,5,FALSE)</f>
        <v>768</v>
      </c>
      <c r="H1574" s="11">
        <f t="shared" si="96"/>
        <v>0</v>
      </c>
      <c r="I1574" s="11">
        <f t="shared" si="97"/>
        <v>0</v>
      </c>
      <c r="J1574" s="11">
        <f t="shared" si="99"/>
        <v>0</v>
      </c>
    </row>
    <row r="1575" spans="1:10" x14ac:dyDescent="0.3">
      <c r="A1575" s="7">
        <v>44922.388888887617</v>
      </c>
      <c r="B1575" s="8" t="s">
        <v>7</v>
      </c>
      <c r="C1575" s="8">
        <v>0</v>
      </c>
      <c r="D1575" t="str">
        <f t="shared" si="98"/>
        <v>Tuesday</v>
      </c>
      <c r="E1575">
        <v>53</v>
      </c>
      <c r="F1575" s="11">
        <f>VLOOKUP(B1575,'ITEMS LIST'!$B$2:$F$19,4,FALSE)</f>
        <v>680</v>
      </c>
      <c r="G1575" s="11">
        <f>VLOOKUP(B1575,'ITEMS LIST'!$B$2:$F$19,5,FALSE)</f>
        <v>570</v>
      </c>
      <c r="H1575" s="11">
        <f t="shared" si="96"/>
        <v>0</v>
      </c>
      <c r="I1575" s="11">
        <f t="shared" si="97"/>
        <v>0</v>
      </c>
      <c r="J1575" s="11">
        <f t="shared" si="99"/>
        <v>0</v>
      </c>
    </row>
    <row r="1576" spans="1:10" x14ac:dyDescent="0.3">
      <c r="A1576" s="7">
        <v>44922.444444443172</v>
      </c>
      <c r="B1576" s="8" t="s">
        <v>8</v>
      </c>
      <c r="C1576" s="8">
        <v>0</v>
      </c>
      <c r="D1576" t="str">
        <f t="shared" si="98"/>
        <v>Tuesday</v>
      </c>
      <c r="E1576">
        <v>53</v>
      </c>
      <c r="F1576" s="11">
        <f>VLOOKUP(B1576,'ITEMS LIST'!$B$2:$F$19,4,FALSE)</f>
        <v>199</v>
      </c>
      <c r="G1576" s="11">
        <f>VLOOKUP(B1576,'ITEMS LIST'!$B$2:$F$19,5,FALSE)</f>
        <v>140</v>
      </c>
      <c r="H1576" s="11">
        <f t="shared" si="96"/>
        <v>0</v>
      </c>
      <c r="I1576" s="11">
        <f t="shared" si="97"/>
        <v>0</v>
      </c>
      <c r="J1576" s="11">
        <f t="shared" si="99"/>
        <v>0</v>
      </c>
    </row>
    <row r="1577" spans="1:10" x14ac:dyDescent="0.3">
      <c r="A1577" s="7">
        <v>44922.499999998727</v>
      </c>
      <c r="B1577" s="8" t="s">
        <v>9</v>
      </c>
      <c r="C1577" s="8">
        <v>0</v>
      </c>
      <c r="D1577" t="str">
        <f t="shared" si="98"/>
        <v>Tuesday</v>
      </c>
      <c r="E1577">
        <v>53</v>
      </c>
      <c r="F1577" s="11">
        <f>VLOOKUP(B1577,'ITEMS LIST'!$B$2:$F$19,4,FALSE)</f>
        <v>219</v>
      </c>
      <c r="G1577" s="11">
        <f>VLOOKUP(B1577,'ITEMS LIST'!$B$2:$F$19,5,FALSE)</f>
        <v>132</v>
      </c>
      <c r="H1577" s="11">
        <f t="shared" si="96"/>
        <v>0</v>
      </c>
      <c r="I1577" s="11">
        <f t="shared" si="97"/>
        <v>0</v>
      </c>
      <c r="J1577" s="11">
        <f t="shared" si="99"/>
        <v>0</v>
      </c>
    </row>
    <row r="1578" spans="1:10" x14ac:dyDescent="0.3">
      <c r="A1578" s="7">
        <v>44922.555555554281</v>
      </c>
      <c r="B1578" s="8" t="s">
        <v>10</v>
      </c>
      <c r="C1578" s="8">
        <v>0</v>
      </c>
      <c r="D1578" t="str">
        <f t="shared" si="98"/>
        <v>Tuesday</v>
      </c>
      <c r="E1578">
        <v>53</v>
      </c>
      <c r="F1578" s="11">
        <f>VLOOKUP(B1578,'ITEMS LIST'!$B$2:$F$19,4,FALSE)</f>
        <v>1469</v>
      </c>
      <c r="G1578" s="11">
        <f>VLOOKUP(B1578,'ITEMS LIST'!$B$2:$F$19,5,FALSE)</f>
        <v>1184</v>
      </c>
      <c r="H1578" s="11">
        <f t="shared" si="96"/>
        <v>0</v>
      </c>
      <c r="I1578" s="11">
        <f t="shared" si="97"/>
        <v>0</v>
      </c>
      <c r="J1578" s="11">
        <f t="shared" si="99"/>
        <v>0</v>
      </c>
    </row>
    <row r="1579" spans="1:10" x14ac:dyDescent="0.3">
      <c r="A1579" s="7">
        <v>44922.611111109836</v>
      </c>
      <c r="B1579" s="8" t="s">
        <v>11</v>
      </c>
      <c r="C1579" s="8">
        <v>0</v>
      </c>
      <c r="D1579" t="str">
        <f t="shared" si="98"/>
        <v>Tuesday</v>
      </c>
      <c r="E1579">
        <v>53</v>
      </c>
      <c r="F1579" s="11">
        <f>VLOOKUP(B1579,'ITEMS LIST'!$B$2:$F$19,4,FALSE)</f>
        <v>89</v>
      </c>
      <c r="G1579" s="11">
        <f>VLOOKUP(B1579,'ITEMS LIST'!$B$2:$F$19,5,FALSE)</f>
        <v>59</v>
      </c>
      <c r="H1579" s="11">
        <f t="shared" si="96"/>
        <v>0</v>
      </c>
      <c r="I1579" s="11">
        <f t="shared" si="97"/>
        <v>0</v>
      </c>
      <c r="J1579" s="11">
        <f t="shared" si="99"/>
        <v>0</v>
      </c>
    </row>
    <row r="1580" spans="1:10" x14ac:dyDescent="0.3">
      <c r="A1580" s="7">
        <v>44922.666666665391</v>
      </c>
      <c r="B1580" s="8" t="s">
        <v>12</v>
      </c>
      <c r="C1580" s="8">
        <v>0</v>
      </c>
      <c r="D1580" t="str">
        <f t="shared" si="98"/>
        <v>Tuesday</v>
      </c>
      <c r="E1580">
        <v>53</v>
      </c>
      <c r="F1580" s="11">
        <f>VLOOKUP(B1580,'ITEMS LIST'!$B$2:$F$19,4,FALSE)</f>
        <v>310</v>
      </c>
      <c r="G1580" s="11">
        <f>VLOOKUP(B1580,'ITEMS LIST'!$B$2:$F$19,5,FALSE)</f>
        <v>206</v>
      </c>
      <c r="H1580" s="11">
        <f t="shared" si="96"/>
        <v>0</v>
      </c>
      <c r="I1580" s="11">
        <f t="shared" si="97"/>
        <v>0</v>
      </c>
      <c r="J1580" s="11">
        <f t="shared" si="99"/>
        <v>0</v>
      </c>
    </row>
    <row r="1581" spans="1:10" x14ac:dyDescent="0.3">
      <c r="A1581" s="7">
        <v>44922.722222220946</v>
      </c>
      <c r="B1581" s="8" t="s">
        <v>13</v>
      </c>
      <c r="C1581" s="8">
        <v>0</v>
      </c>
      <c r="D1581" t="str">
        <f t="shared" si="98"/>
        <v>Tuesday</v>
      </c>
      <c r="E1581">
        <v>53</v>
      </c>
      <c r="F1581" s="11">
        <f>VLOOKUP(B1581,'ITEMS LIST'!$B$2:$F$19,4,FALSE)</f>
        <v>540</v>
      </c>
      <c r="G1581" s="11">
        <f>VLOOKUP(B1581,'ITEMS LIST'!$B$2:$F$19,5,FALSE)</f>
        <v>397</v>
      </c>
      <c r="H1581" s="11">
        <f t="shared" si="96"/>
        <v>0</v>
      </c>
      <c r="I1581" s="11">
        <f t="shared" si="97"/>
        <v>0</v>
      </c>
      <c r="J1581" s="11">
        <f t="shared" si="99"/>
        <v>0</v>
      </c>
    </row>
    <row r="1582" spans="1:10" x14ac:dyDescent="0.3">
      <c r="A1582" s="7">
        <v>44922.7777777765</v>
      </c>
      <c r="B1582" s="8" t="s">
        <v>14</v>
      </c>
      <c r="C1582" s="8">
        <v>0</v>
      </c>
      <c r="D1582" t="str">
        <f t="shared" si="98"/>
        <v>Tuesday</v>
      </c>
      <c r="E1582">
        <v>53</v>
      </c>
      <c r="F1582" s="11">
        <f>VLOOKUP(B1582,'ITEMS LIST'!$B$2:$F$19,4,FALSE)</f>
        <v>360</v>
      </c>
      <c r="G1582" s="11">
        <f>VLOOKUP(B1582,'ITEMS LIST'!$B$2:$F$19,5,FALSE)</f>
        <v>248</v>
      </c>
      <c r="H1582" s="11">
        <f t="shared" si="96"/>
        <v>0</v>
      </c>
      <c r="I1582" s="11">
        <f t="shared" si="97"/>
        <v>0</v>
      </c>
      <c r="J1582" s="11">
        <f t="shared" si="99"/>
        <v>0</v>
      </c>
    </row>
    <row r="1583" spans="1:10" x14ac:dyDescent="0.3">
      <c r="A1583" s="7">
        <v>44922.833333332055</v>
      </c>
      <c r="B1583" s="8" t="s">
        <v>15</v>
      </c>
      <c r="C1583" s="8">
        <v>0</v>
      </c>
      <c r="D1583" t="str">
        <f t="shared" si="98"/>
        <v>Tuesday</v>
      </c>
      <c r="E1583">
        <v>53</v>
      </c>
      <c r="F1583" s="11">
        <f>VLOOKUP(B1583,'ITEMS LIST'!$B$2:$F$19,4,FALSE)</f>
        <v>250</v>
      </c>
      <c r="G1583" s="11">
        <f>VLOOKUP(B1583,'ITEMS LIST'!$B$2:$F$19,5,FALSE)</f>
        <v>190</v>
      </c>
      <c r="H1583" s="11">
        <f t="shared" si="96"/>
        <v>0</v>
      </c>
      <c r="I1583" s="11">
        <f t="shared" si="97"/>
        <v>0</v>
      </c>
      <c r="J1583" s="11">
        <f t="shared" si="99"/>
        <v>0</v>
      </c>
    </row>
    <row r="1584" spans="1:10" x14ac:dyDescent="0.3">
      <c r="A1584" s="7">
        <v>44922.88888888761</v>
      </c>
      <c r="B1584" s="8" t="s">
        <v>16</v>
      </c>
      <c r="C1584" s="8">
        <v>0</v>
      </c>
      <c r="D1584" t="str">
        <f t="shared" si="98"/>
        <v>Tuesday</v>
      </c>
      <c r="E1584">
        <v>53</v>
      </c>
      <c r="F1584" s="11">
        <f>VLOOKUP(B1584,'ITEMS LIST'!$B$2:$F$19,4,FALSE)</f>
        <v>120</v>
      </c>
      <c r="G1584" s="11">
        <f>VLOOKUP(B1584,'ITEMS LIST'!$B$2:$F$19,5,FALSE)</f>
        <v>85</v>
      </c>
      <c r="H1584" s="11">
        <f t="shared" si="96"/>
        <v>0</v>
      </c>
      <c r="I1584" s="11">
        <f t="shared" si="97"/>
        <v>0</v>
      </c>
      <c r="J1584" s="11">
        <f t="shared" si="99"/>
        <v>0</v>
      </c>
    </row>
    <row r="1585" spans="1:10" x14ac:dyDescent="0.3">
      <c r="A1585" s="7">
        <v>44922.944444443165</v>
      </c>
      <c r="B1585" s="8" t="s">
        <v>17</v>
      </c>
      <c r="C1585" s="8">
        <v>0</v>
      </c>
      <c r="D1585" t="str">
        <f t="shared" si="98"/>
        <v>Tuesday</v>
      </c>
      <c r="E1585">
        <v>53</v>
      </c>
      <c r="F1585" s="11">
        <f>VLOOKUP(B1585,'ITEMS LIST'!$B$2:$F$19,4,FALSE)</f>
        <v>80</v>
      </c>
      <c r="G1585" s="11">
        <f>VLOOKUP(B1585,'ITEMS LIST'!$B$2:$F$19,5,FALSE)</f>
        <v>55</v>
      </c>
      <c r="H1585" s="11">
        <f t="shared" si="96"/>
        <v>0</v>
      </c>
      <c r="I1585" s="11">
        <f t="shared" si="97"/>
        <v>0</v>
      </c>
      <c r="J1585" s="11">
        <f t="shared" si="99"/>
        <v>0</v>
      </c>
    </row>
    <row r="1586" spans="1:10" x14ac:dyDescent="0.3">
      <c r="A1586" s="7">
        <v>44922.999999998719</v>
      </c>
      <c r="B1586" s="8" t="s">
        <v>0</v>
      </c>
      <c r="C1586" s="8">
        <v>0</v>
      </c>
      <c r="D1586" t="str">
        <f t="shared" si="98"/>
        <v>Wednesday</v>
      </c>
      <c r="E1586">
        <v>53</v>
      </c>
      <c r="F1586" s="11">
        <f>VLOOKUP(B1586,'ITEMS LIST'!$B$2:$F$19,4,FALSE)</f>
        <v>549</v>
      </c>
      <c r="G1586" s="11">
        <f>VLOOKUP(B1586,'ITEMS LIST'!$B$2:$F$19,5,FALSE)</f>
        <v>365</v>
      </c>
      <c r="H1586" s="11">
        <f t="shared" si="96"/>
        <v>0</v>
      </c>
      <c r="I1586" s="11">
        <f t="shared" si="97"/>
        <v>0</v>
      </c>
      <c r="J1586" s="11">
        <f t="shared" si="99"/>
        <v>0</v>
      </c>
    </row>
    <row r="1587" spans="1:10" x14ac:dyDescent="0.3">
      <c r="A1587" s="7">
        <v>44923.055555554274</v>
      </c>
      <c r="B1587" s="8" t="s">
        <v>1</v>
      </c>
      <c r="C1587" s="8">
        <v>0</v>
      </c>
      <c r="D1587" t="str">
        <f t="shared" si="98"/>
        <v>Wednesday</v>
      </c>
      <c r="E1587">
        <v>53</v>
      </c>
      <c r="F1587" s="11">
        <f>VLOOKUP(B1587,'ITEMS LIST'!$B$2:$F$19,4,FALSE)</f>
        <v>699</v>
      </c>
      <c r="G1587" s="11">
        <f>VLOOKUP(B1587,'ITEMS LIST'!$B$2:$F$19,5,FALSE)</f>
        <v>550</v>
      </c>
      <c r="H1587" s="11">
        <f t="shared" si="96"/>
        <v>0</v>
      </c>
      <c r="I1587" s="11">
        <f t="shared" si="97"/>
        <v>0</v>
      </c>
      <c r="J1587" s="11">
        <f t="shared" si="99"/>
        <v>0</v>
      </c>
    </row>
    <row r="1588" spans="1:10" x14ac:dyDescent="0.3">
      <c r="A1588" s="7">
        <v>44923.111111109829</v>
      </c>
      <c r="B1588" s="8" t="s">
        <v>2</v>
      </c>
      <c r="C1588" s="8">
        <v>0</v>
      </c>
      <c r="D1588" t="str">
        <f t="shared" si="98"/>
        <v>Wednesday</v>
      </c>
      <c r="E1588">
        <v>53</v>
      </c>
      <c r="F1588" s="11">
        <f>VLOOKUP(B1588,'ITEMS LIST'!$B$2:$F$19,4,FALSE)</f>
        <v>739</v>
      </c>
      <c r="G1588" s="11">
        <f>VLOOKUP(B1588,'ITEMS LIST'!$B$2:$F$19,5,FALSE)</f>
        <v>620</v>
      </c>
      <c r="H1588" s="11">
        <f t="shared" si="96"/>
        <v>0</v>
      </c>
      <c r="I1588" s="11">
        <f t="shared" si="97"/>
        <v>0</v>
      </c>
      <c r="J1588" s="11">
        <f t="shared" si="99"/>
        <v>0</v>
      </c>
    </row>
    <row r="1589" spans="1:10" x14ac:dyDescent="0.3">
      <c r="A1589" s="7">
        <v>44923.166666665384</v>
      </c>
      <c r="B1589" s="8" t="s">
        <v>3</v>
      </c>
      <c r="C1589" s="8">
        <v>0</v>
      </c>
      <c r="D1589" t="str">
        <f t="shared" si="98"/>
        <v>Wednesday</v>
      </c>
      <c r="E1589">
        <v>53</v>
      </c>
      <c r="F1589" s="11">
        <f>VLOOKUP(B1589,'ITEMS LIST'!$B$2:$F$19,4,FALSE)</f>
        <v>899</v>
      </c>
      <c r="G1589" s="11">
        <f>VLOOKUP(B1589,'ITEMS LIST'!$B$2:$F$19,5,FALSE)</f>
        <v>714</v>
      </c>
      <c r="H1589" s="11">
        <f t="shared" si="96"/>
        <v>0</v>
      </c>
      <c r="I1589" s="11">
        <f t="shared" si="97"/>
        <v>0</v>
      </c>
      <c r="J1589" s="11">
        <f t="shared" si="99"/>
        <v>0</v>
      </c>
    </row>
    <row r="1590" spans="1:10" x14ac:dyDescent="0.3">
      <c r="A1590" s="7">
        <v>44923.222222220938</v>
      </c>
      <c r="B1590" s="8" t="s">
        <v>4</v>
      </c>
      <c r="C1590" s="8">
        <v>0</v>
      </c>
      <c r="D1590" t="str">
        <f t="shared" si="98"/>
        <v>Wednesday</v>
      </c>
      <c r="E1590">
        <v>53</v>
      </c>
      <c r="F1590" s="11">
        <f>VLOOKUP(B1590,'ITEMS LIST'!$B$2:$F$19,4,FALSE)</f>
        <v>1379</v>
      </c>
      <c r="G1590" s="11">
        <f>VLOOKUP(B1590,'ITEMS LIST'!$B$2:$F$19,5,FALSE)</f>
        <v>890</v>
      </c>
      <c r="H1590" s="11">
        <f t="shared" si="96"/>
        <v>0</v>
      </c>
      <c r="I1590" s="11">
        <f t="shared" si="97"/>
        <v>0</v>
      </c>
      <c r="J1590" s="11">
        <f t="shared" si="99"/>
        <v>0</v>
      </c>
    </row>
    <row r="1591" spans="1:10" x14ac:dyDescent="0.3">
      <c r="A1591" s="7">
        <v>44923.277777776493</v>
      </c>
      <c r="B1591" s="8" t="s">
        <v>5</v>
      </c>
      <c r="C1591" s="8">
        <v>0</v>
      </c>
      <c r="D1591" t="str">
        <f t="shared" si="98"/>
        <v>Wednesday</v>
      </c>
      <c r="E1591">
        <v>53</v>
      </c>
      <c r="F1591" s="11">
        <f>VLOOKUP(B1591,'ITEMS LIST'!$B$2:$F$19,4,FALSE)</f>
        <v>849</v>
      </c>
      <c r="G1591" s="11">
        <f>VLOOKUP(B1591,'ITEMS LIST'!$B$2:$F$19,5,FALSE)</f>
        <v>530</v>
      </c>
      <c r="H1591" s="11">
        <f t="shared" si="96"/>
        <v>0</v>
      </c>
      <c r="I1591" s="11">
        <f t="shared" si="97"/>
        <v>0</v>
      </c>
      <c r="J1591" s="11">
        <f t="shared" si="99"/>
        <v>0</v>
      </c>
    </row>
    <row r="1592" spans="1:10" x14ac:dyDescent="0.3">
      <c r="A1592" s="7">
        <v>44923.333333332048</v>
      </c>
      <c r="B1592" s="8" t="s">
        <v>6</v>
      </c>
      <c r="C1592" s="8">
        <v>0</v>
      </c>
      <c r="D1592" t="str">
        <f t="shared" si="98"/>
        <v>Wednesday</v>
      </c>
      <c r="E1592">
        <v>53</v>
      </c>
      <c r="F1592" s="11">
        <f>VLOOKUP(B1592,'ITEMS LIST'!$B$2:$F$19,4,FALSE)</f>
        <v>1000</v>
      </c>
      <c r="G1592" s="11">
        <f>VLOOKUP(B1592,'ITEMS LIST'!$B$2:$F$19,5,FALSE)</f>
        <v>768</v>
      </c>
      <c r="H1592" s="11">
        <f t="shared" si="96"/>
        <v>0</v>
      </c>
      <c r="I1592" s="11">
        <f t="shared" si="97"/>
        <v>0</v>
      </c>
      <c r="J1592" s="11">
        <f t="shared" si="99"/>
        <v>0</v>
      </c>
    </row>
    <row r="1593" spans="1:10" x14ac:dyDescent="0.3">
      <c r="A1593" s="7">
        <v>44923.388888887603</v>
      </c>
      <c r="B1593" s="8" t="s">
        <v>7</v>
      </c>
      <c r="C1593" s="8">
        <v>0</v>
      </c>
      <c r="D1593" t="str">
        <f t="shared" si="98"/>
        <v>Wednesday</v>
      </c>
      <c r="E1593">
        <v>53</v>
      </c>
      <c r="F1593" s="11">
        <f>VLOOKUP(B1593,'ITEMS LIST'!$B$2:$F$19,4,FALSE)</f>
        <v>680</v>
      </c>
      <c r="G1593" s="11">
        <f>VLOOKUP(B1593,'ITEMS LIST'!$B$2:$F$19,5,FALSE)</f>
        <v>570</v>
      </c>
      <c r="H1593" s="11">
        <f t="shared" si="96"/>
        <v>0</v>
      </c>
      <c r="I1593" s="11">
        <f t="shared" si="97"/>
        <v>0</v>
      </c>
      <c r="J1593" s="11">
        <f t="shared" si="99"/>
        <v>0</v>
      </c>
    </row>
    <row r="1594" spans="1:10" x14ac:dyDescent="0.3">
      <c r="A1594" s="7">
        <v>44923.444444443157</v>
      </c>
      <c r="B1594" s="8" t="s">
        <v>8</v>
      </c>
      <c r="C1594" s="8">
        <v>0</v>
      </c>
      <c r="D1594" t="str">
        <f t="shared" si="98"/>
        <v>Wednesday</v>
      </c>
      <c r="E1594">
        <v>53</v>
      </c>
      <c r="F1594" s="11">
        <f>VLOOKUP(B1594,'ITEMS LIST'!$B$2:$F$19,4,FALSE)</f>
        <v>199</v>
      </c>
      <c r="G1594" s="11">
        <f>VLOOKUP(B1594,'ITEMS LIST'!$B$2:$F$19,5,FALSE)</f>
        <v>140</v>
      </c>
      <c r="H1594" s="11">
        <f t="shared" si="96"/>
        <v>0</v>
      </c>
      <c r="I1594" s="11">
        <f t="shared" si="97"/>
        <v>0</v>
      </c>
      <c r="J1594" s="11">
        <f t="shared" si="99"/>
        <v>0</v>
      </c>
    </row>
    <row r="1595" spans="1:10" x14ac:dyDescent="0.3">
      <c r="A1595" s="7">
        <v>44923.499999998712</v>
      </c>
      <c r="B1595" s="8" t="s">
        <v>9</v>
      </c>
      <c r="C1595" s="8">
        <v>0</v>
      </c>
      <c r="D1595" t="str">
        <f t="shared" si="98"/>
        <v>Wednesday</v>
      </c>
      <c r="E1595">
        <v>53</v>
      </c>
      <c r="F1595" s="11">
        <f>VLOOKUP(B1595,'ITEMS LIST'!$B$2:$F$19,4,FALSE)</f>
        <v>219</v>
      </c>
      <c r="G1595" s="11">
        <f>VLOOKUP(B1595,'ITEMS LIST'!$B$2:$F$19,5,FALSE)</f>
        <v>132</v>
      </c>
      <c r="H1595" s="11">
        <f t="shared" si="96"/>
        <v>0</v>
      </c>
      <c r="I1595" s="11">
        <f t="shared" si="97"/>
        <v>0</v>
      </c>
      <c r="J1595" s="11">
        <f t="shared" si="99"/>
        <v>0</v>
      </c>
    </row>
    <row r="1596" spans="1:10" x14ac:dyDescent="0.3">
      <c r="A1596" s="7">
        <v>44923.555555554267</v>
      </c>
      <c r="B1596" s="8" t="s">
        <v>10</v>
      </c>
      <c r="C1596" s="8">
        <v>0</v>
      </c>
      <c r="D1596" t="str">
        <f t="shared" si="98"/>
        <v>Wednesday</v>
      </c>
      <c r="E1596">
        <v>53</v>
      </c>
      <c r="F1596" s="11">
        <f>VLOOKUP(B1596,'ITEMS LIST'!$B$2:$F$19,4,FALSE)</f>
        <v>1469</v>
      </c>
      <c r="G1596" s="11">
        <f>VLOOKUP(B1596,'ITEMS LIST'!$B$2:$F$19,5,FALSE)</f>
        <v>1184</v>
      </c>
      <c r="H1596" s="11">
        <f t="shared" si="96"/>
        <v>0</v>
      </c>
      <c r="I1596" s="11">
        <f t="shared" si="97"/>
        <v>0</v>
      </c>
      <c r="J1596" s="11">
        <f t="shared" si="99"/>
        <v>0</v>
      </c>
    </row>
    <row r="1597" spans="1:10" x14ac:dyDescent="0.3">
      <c r="A1597" s="7">
        <v>44923.611111109822</v>
      </c>
      <c r="B1597" s="8" t="s">
        <v>11</v>
      </c>
      <c r="C1597" s="8">
        <v>0</v>
      </c>
      <c r="D1597" t="str">
        <f t="shared" si="98"/>
        <v>Wednesday</v>
      </c>
      <c r="E1597">
        <v>53</v>
      </c>
      <c r="F1597" s="11">
        <f>VLOOKUP(B1597,'ITEMS LIST'!$B$2:$F$19,4,FALSE)</f>
        <v>89</v>
      </c>
      <c r="G1597" s="11">
        <f>VLOOKUP(B1597,'ITEMS LIST'!$B$2:$F$19,5,FALSE)</f>
        <v>59</v>
      </c>
      <c r="H1597" s="11">
        <f t="shared" si="96"/>
        <v>0</v>
      </c>
      <c r="I1597" s="11">
        <f t="shared" si="97"/>
        <v>0</v>
      </c>
      <c r="J1597" s="11">
        <f t="shared" si="99"/>
        <v>0</v>
      </c>
    </row>
    <row r="1598" spans="1:10" x14ac:dyDescent="0.3">
      <c r="A1598" s="7">
        <v>44923.666666665376</v>
      </c>
      <c r="B1598" s="8" t="s">
        <v>12</v>
      </c>
      <c r="C1598" s="8">
        <v>0</v>
      </c>
      <c r="D1598" t="str">
        <f t="shared" si="98"/>
        <v>Wednesday</v>
      </c>
      <c r="E1598">
        <v>53</v>
      </c>
      <c r="F1598" s="11">
        <f>VLOOKUP(B1598,'ITEMS LIST'!$B$2:$F$19,4,FALSE)</f>
        <v>310</v>
      </c>
      <c r="G1598" s="11">
        <f>VLOOKUP(B1598,'ITEMS LIST'!$B$2:$F$19,5,FALSE)</f>
        <v>206</v>
      </c>
      <c r="H1598" s="11">
        <f t="shared" si="96"/>
        <v>0</v>
      </c>
      <c r="I1598" s="11">
        <f t="shared" si="97"/>
        <v>0</v>
      </c>
      <c r="J1598" s="11">
        <f t="shared" si="99"/>
        <v>0</v>
      </c>
    </row>
    <row r="1599" spans="1:10" x14ac:dyDescent="0.3">
      <c r="A1599" s="7">
        <v>44923.722222220931</v>
      </c>
      <c r="B1599" s="8" t="s">
        <v>13</v>
      </c>
      <c r="C1599" s="8">
        <v>0</v>
      </c>
      <c r="D1599" t="str">
        <f t="shared" si="98"/>
        <v>Wednesday</v>
      </c>
      <c r="E1599">
        <v>53</v>
      </c>
      <c r="F1599" s="11">
        <f>VLOOKUP(B1599,'ITEMS LIST'!$B$2:$F$19,4,FALSE)</f>
        <v>540</v>
      </c>
      <c r="G1599" s="11">
        <f>VLOOKUP(B1599,'ITEMS LIST'!$B$2:$F$19,5,FALSE)</f>
        <v>397</v>
      </c>
      <c r="H1599" s="11">
        <f t="shared" si="96"/>
        <v>0</v>
      </c>
      <c r="I1599" s="11">
        <f t="shared" si="97"/>
        <v>0</v>
      </c>
      <c r="J1599" s="11">
        <f t="shared" si="99"/>
        <v>0</v>
      </c>
    </row>
    <row r="1600" spans="1:10" x14ac:dyDescent="0.3">
      <c r="A1600" s="7">
        <v>44923.777777776486</v>
      </c>
      <c r="B1600" s="8" t="s">
        <v>14</v>
      </c>
      <c r="C1600" s="8">
        <v>0</v>
      </c>
      <c r="D1600" t="str">
        <f t="shared" si="98"/>
        <v>Wednesday</v>
      </c>
      <c r="E1600">
        <v>53</v>
      </c>
      <c r="F1600" s="11">
        <f>VLOOKUP(B1600,'ITEMS LIST'!$B$2:$F$19,4,FALSE)</f>
        <v>360</v>
      </c>
      <c r="G1600" s="11">
        <f>VLOOKUP(B1600,'ITEMS LIST'!$B$2:$F$19,5,FALSE)</f>
        <v>248</v>
      </c>
      <c r="H1600" s="11">
        <f t="shared" si="96"/>
        <v>0</v>
      </c>
      <c r="I1600" s="11">
        <f t="shared" si="97"/>
        <v>0</v>
      </c>
      <c r="J1600" s="11">
        <f t="shared" si="99"/>
        <v>0</v>
      </c>
    </row>
    <row r="1601" spans="1:10" x14ac:dyDescent="0.3">
      <c r="A1601" s="7">
        <v>44923.833333332041</v>
      </c>
      <c r="B1601" s="8" t="s">
        <v>15</v>
      </c>
      <c r="C1601" s="8">
        <v>0</v>
      </c>
      <c r="D1601" t="str">
        <f t="shared" si="98"/>
        <v>Wednesday</v>
      </c>
      <c r="E1601">
        <v>53</v>
      </c>
      <c r="F1601" s="11">
        <f>VLOOKUP(B1601,'ITEMS LIST'!$B$2:$F$19,4,FALSE)</f>
        <v>250</v>
      </c>
      <c r="G1601" s="11">
        <f>VLOOKUP(B1601,'ITEMS LIST'!$B$2:$F$19,5,FALSE)</f>
        <v>190</v>
      </c>
      <c r="H1601" s="11">
        <f t="shared" si="96"/>
        <v>0</v>
      </c>
      <c r="I1601" s="11">
        <f t="shared" si="97"/>
        <v>0</v>
      </c>
      <c r="J1601" s="11">
        <f t="shared" si="99"/>
        <v>0</v>
      </c>
    </row>
    <row r="1602" spans="1:10" x14ac:dyDescent="0.3">
      <c r="A1602" s="7">
        <v>44923.888888887595</v>
      </c>
      <c r="B1602" s="8" t="s">
        <v>16</v>
      </c>
      <c r="C1602" s="8">
        <v>0</v>
      </c>
      <c r="D1602" t="str">
        <f t="shared" si="98"/>
        <v>Wednesday</v>
      </c>
      <c r="E1602">
        <v>53</v>
      </c>
      <c r="F1602" s="11">
        <f>VLOOKUP(B1602,'ITEMS LIST'!$B$2:$F$19,4,FALSE)</f>
        <v>120</v>
      </c>
      <c r="G1602" s="11">
        <f>VLOOKUP(B1602,'ITEMS LIST'!$B$2:$F$19,5,FALSE)</f>
        <v>85</v>
      </c>
      <c r="H1602" s="11">
        <f t="shared" ref="H1602:H1657" si="100">C1602*F1602</f>
        <v>0</v>
      </c>
      <c r="I1602" s="11">
        <f t="shared" ref="I1602:I1657" si="101">C1602*G1602</f>
        <v>0</v>
      </c>
      <c r="J1602" s="11">
        <f t="shared" si="99"/>
        <v>0</v>
      </c>
    </row>
    <row r="1603" spans="1:10" x14ac:dyDescent="0.3">
      <c r="A1603" s="7">
        <v>44923.94444444315</v>
      </c>
      <c r="B1603" s="8" t="s">
        <v>17</v>
      </c>
      <c r="C1603" s="8">
        <v>0</v>
      </c>
      <c r="D1603" t="str">
        <f t="shared" ref="D1603:D1657" si="102">TEXT(A1603,"dddd")</f>
        <v>Wednesday</v>
      </c>
      <c r="E1603">
        <v>53</v>
      </c>
      <c r="F1603" s="11">
        <f>VLOOKUP(B1603,'ITEMS LIST'!$B$2:$F$19,4,FALSE)</f>
        <v>80</v>
      </c>
      <c r="G1603" s="11">
        <f>VLOOKUP(B1603,'ITEMS LIST'!$B$2:$F$19,5,FALSE)</f>
        <v>55</v>
      </c>
      <c r="H1603" s="11">
        <f t="shared" si="100"/>
        <v>0</v>
      </c>
      <c r="I1603" s="11">
        <f t="shared" si="101"/>
        <v>0</v>
      </c>
      <c r="J1603" s="11">
        <f t="shared" ref="J1603:J1657" si="103">H1603-I1603</f>
        <v>0</v>
      </c>
    </row>
    <row r="1604" spans="1:10" x14ac:dyDescent="0.3">
      <c r="A1604" s="7">
        <v>44923.999999998705</v>
      </c>
      <c r="B1604" s="8" t="s">
        <v>0</v>
      </c>
      <c r="C1604" s="8">
        <v>0</v>
      </c>
      <c r="D1604" t="str">
        <f t="shared" si="102"/>
        <v>Thursday</v>
      </c>
      <c r="E1604">
        <v>53</v>
      </c>
      <c r="F1604" s="11">
        <f>VLOOKUP(B1604,'ITEMS LIST'!$B$2:$F$19,4,FALSE)</f>
        <v>549</v>
      </c>
      <c r="G1604" s="11">
        <f>VLOOKUP(B1604,'ITEMS LIST'!$B$2:$F$19,5,FALSE)</f>
        <v>365</v>
      </c>
      <c r="H1604" s="11">
        <f t="shared" si="100"/>
        <v>0</v>
      </c>
      <c r="I1604" s="11">
        <f t="shared" si="101"/>
        <v>0</v>
      </c>
      <c r="J1604" s="11">
        <f t="shared" si="103"/>
        <v>0</v>
      </c>
    </row>
    <row r="1605" spans="1:10" x14ac:dyDescent="0.3">
      <c r="A1605" s="7">
        <v>44924.05555555426</v>
      </c>
      <c r="B1605" s="8" t="s">
        <v>1</v>
      </c>
      <c r="C1605" s="8">
        <v>0</v>
      </c>
      <c r="D1605" t="str">
        <f t="shared" si="102"/>
        <v>Thursday</v>
      </c>
      <c r="E1605">
        <v>53</v>
      </c>
      <c r="F1605" s="11">
        <f>VLOOKUP(B1605,'ITEMS LIST'!$B$2:$F$19,4,FALSE)</f>
        <v>699</v>
      </c>
      <c r="G1605" s="11">
        <f>VLOOKUP(B1605,'ITEMS LIST'!$B$2:$F$19,5,FALSE)</f>
        <v>550</v>
      </c>
      <c r="H1605" s="11">
        <f t="shared" si="100"/>
        <v>0</v>
      </c>
      <c r="I1605" s="11">
        <f t="shared" si="101"/>
        <v>0</v>
      </c>
      <c r="J1605" s="11">
        <f t="shared" si="103"/>
        <v>0</v>
      </c>
    </row>
    <row r="1606" spans="1:10" x14ac:dyDescent="0.3">
      <c r="A1606" s="7">
        <v>44924.111111109814</v>
      </c>
      <c r="B1606" s="8" t="s">
        <v>2</v>
      </c>
      <c r="C1606" s="8">
        <v>0</v>
      </c>
      <c r="D1606" t="str">
        <f t="shared" si="102"/>
        <v>Thursday</v>
      </c>
      <c r="E1606">
        <v>53</v>
      </c>
      <c r="F1606" s="11">
        <f>VLOOKUP(B1606,'ITEMS LIST'!$B$2:$F$19,4,FALSE)</f>
        <v>739</v>
      </c>
      <c r="G1606" s="11">
        <f>VLOOKUP(B1606,'ITEMS LIST'!$B$2:$F$19,5,FALSE)</f>
        <v>620</v>
      </c>
      <c r="H1606" s="11">
        <f t="shared" si="100"/>
        <v>0</v>
      </c>
      <c r="I1606" s="11">
        <f t="shared" si="101"/>
        <v>0</v>
      </c>
      <c r="J1606" s="11">
        <f t="shared" si="103"/>
        <v>0</v>
      </c>
    </row>
    <row r="1607" spans="1:10" x14ac:dyDescent="0.3">
      <c r="A1607" s="7">
        <v>44924.166666665369</v>
      </c>
      <c r="B1607" s="8" t="s">
        <v>3</v>
      </c>
      <c r="C1607" s="8">
        <v>0</v>
      </c>
      <c r="D1607" t="str">
        <f t="shared" si="102"/>
        <v>Thursday</v>
      </c>
      <c r="E1607">
        <v>53</v>
      </c>
      <c r="F1607" s="11">
        <f>VLOOKUP(B1607,'ITEMS LIST'!$B$2:$F$19,4,FALSE)</f>
        <v>899</v>
      </c>
      <c r="G1607" s="11">
        <f>VLOOKUP(B1607,'ITEMS LIST'!$B$2:$F$19,5,FALSE)</f>
        <v>714</v>
      </c>
      <c r="H1607" s="11">
        <f t="shared" si="100"/>
        <v>0</v>
      </c>
      <c r="I1607" s="11">
        <f t="shared" si="101"/>
        <v>0</v>
      </c>
      <c r="J1607" s="11">
        <f t="shared" si="103"/>
        <v>0</v>
      </c>
    </row>
    <row r="1608" spans="1:10" x14ac:dyDescent="0.3">
      <c r="A1608" s="7">
        <v>44924.222222220924</v>
      </c>
      <c r="B1608" s="8" t="s">
        <v>4</v>
      </c>
      <c r="C1608" s="8">
        <v>1</v>
      </c>
      <c r="D1608" t="str">
        <f t="shared" si="102"/>
        <v>Thursday</v>
      </c>
      <c r="E1608">
        <v>53</v>
      </c>
      <c r="F1608" s="11">
        <f>VLOOKUP(B1608,'ITEMS LIST'!$B$2:$F$19,4,FALSE)</f>
        <v>1379</v>
      </c>
      <c r="G1608" s="11">
        <f>VLOOKUP(B1608,'ITEMS LIST'!$B$2:$F$19,5,FALSE)</f>
        <v>890</v>
      </c>
      <c r="H1608" s="11">
        <f t="shared" si="100"/>
        <v>1379</v>
      </c>
      <c r="I1608" s="11">
        <f t="shared" si="101"/>
        <v>890</v>
      </c>
      <c r="J1608" s="11">
        <f t="shared" si="103"/>
        <v>489</v>
      </c>
    </row>
    <row r="1609" spans="1:10" x14ac:dyDescent="0.3">
      <c r="A1609" s="7">
        <v>44924.277777776479</v>
      </c>
      <c r="B1609" s="8" t="s">
        <v>5</v>
      </c>
      <c r="C1609" s="8">
        <v>0</v>
      </c>
      <c r="D1609" t="str">
        <f t="shared" si="102"/>
        <v>Thursday</v>
      </c>
      <c r="E1609">
        <v>53</v>
      </c>
      <c r="F1609" s="11">
        <f>VLOOKUP(B1609,'ITEMS LIST'!$B$2:$F$19,4,FALSE)</f>
        <v>849</v>
      </c>
      <c r="G1609" s="11">
        <f>VLOOKUP(B1609,'ITEMS LIST'!$B$2:$F$19,5,FALSE)</f>
        <v>530</v>
      </c>
      <c r="H1609" s="11">
        <f t="shared" si="100"/>
        <v>0</v>
      </c>
      <c r="I1609" s="11">
        <f t="shared" si="101"/>
        <v>0</v>
      </c>
      <c r="J1609" s="11">
        <f t="shared" si="103"/>
        <v>0</v>
      </c>
    </row>
    <row r="1610" spans="1:10" x14ac:dyDescent="0.3">
      <c r="A1610" s="7">
        <v>44924.333333332033</v>
      </c>
      <c r="B1610" s="8" t="s">
        <v>6</v>
      </c>
      <c r="C1610" s="8">
        <v>0</v>
      </c>
      <c r="D1610" t="str">
        <f t="shared" si="102"/>
        <v>Thursday</v>
      </c>
      <c r="E1610">
        <v>53</v>
      </c>
      <c r="F1610" s="11">
        <f>VLOOKUP(B1610,'ITEMS LIST'!$B$2:$F$19,4,FALSE)</f>
        <v>1000</v>
      </c>
      <c r="G1610" s="11">
        <f>VLOOKUP(B1610,'ITEMS LIST'!$B$2:$F$19,5,FALSE)</f>
        <v>768</v>
      </c>
      <c r="H1610" s="11">
        <f t="shared" si="100"/>
        <v>0</v>
      </c>
      <c r="I1610" s="11">
        <f t="shared" si="101"/>
        <v>0</v>
      </c>
      <c r="J1610" s="11">
        <f t="shared" si="103"/>
        <v>0</v>
      </c>
    </row>
    <row r="1611" spans="1:10" x14ac:dyDescent="0.3">
      <c r="A1611" s="7">
        <v>44924.388888887588</v>
      </c>
      <c r="B1611" s="8" t="s">
        <v>7</v>
      </c>
      <c r="C1611" s="8">
        <v>0</v>
      </c>
      <c r="D1611" t="str">
        <f t="shared" si="102"/>
        <v>Thursday</v>
      </c>
      <c r="E1611">
        <v>53</v>
      </c>
      <c r="F1611" s="11">
        <f>VLOOKUP(B1611,'ITEMS LIST'!$B$2:$F$19,4,FALSE)</f>
        <v>680</v>
      </c>
      <c r="G1611" s="11">
        <f>VLOOKUP(B1611,'ITEMS LIST'!$B$2:$F$19,5,FALSE)</f>
        <v>570</v>
      </c>
      <c r="H1611" s="11">
        <f t="shared" si="100"/>
        <v>0</v>
      </c>
      <c r="I1611" s="11">
        <f t="shared" si="101"/>
        <v>0</v>
      </c>
      <c r="J1611" s="11">
        <f t="shared" si="103"/>
        <v>0</v>
      </c>
    </row>
    <row r="1612" spans="1:10" x14ac:dyDescent="0.3">
      <c r="A1612" s="7">
        <v>44924.444444443143</v>
      </c>
      <c r="B1612" s="8" t="s">
        <v>8</v>
      </c>
      <c r="C1612" s="8">
        <v>0</v>
      </c>
      <c r="D1612" t="str">
        <f t="shared" si="102"/>
        <v>Thursday</v>
      </c>
      <c r="E1612">
        <v>53</v>
      </c>
      <c r="F1612" s="11">
        <f>VLOOKUP(B1612,'ITEMS LIST'!$B$2:$F$19,4,FALSE)</f>
        <v>199</v>
      </c>
      <c r="G1612" s="11">
        <f>VLOOKUP(B1612,'ITEMS LIST'!$B$2:$F$19,5,FALSE)</f>
        <v>140</v>
      </c>
      <c r="H1612" s="11">
        <f t="shared" si="100"/>
        <v>0</v>
      </c>
      <c r="I1612" s="11">
        <f t="shared" si="101"/>
        <v>0</v>
      </c>
      <c r="J1612" s="11">
        <f t="shared" si="103"/>
        <v>0</v>
      </c>
    </row>
    <row r="1613" spans="1:10" x14ac:dyDescent="0.3">
      <c r="A1613" s="7">
        <v>44924.499999998698</v>
      </c>
      <c r="B1613" s="8" t="s">
        <v>9</v>
      </c>
      <c r="C1613" s="8">
        <v>0</v>
      </c>
      <c r="D1613" t="str">
        <f t="shared" si="102"/>
        <v>Thursday</v>
      </c>
      <c r="E1613">
        <v>53</v>
      </c>
      <c r="F1613" s="11">
        <f>VLOOKUP(B1613,'ITEMS LIST'!$B$2:$F$19,4,FALSE)</f>
        <v>219</v>
      </c>
      <c r="G1613" s="11">
        <f>VLOOKUP(B1613,'ITEMS LIST'!$B$2:$F$19,5,FALSE)</f>
        <v>132</v>
      </c>
      <c r="H1613" s="11">
        <f t="shared" si="100"/>
        <v>0</v>
      </c>
      <c r="I1613" s="11">
        <f t="shared" si="101"/>
        <v>0</v>
      </c>
      <c r="J1613" s="11">
        <f t="shared" si="103"/>
        <v>0</v>
      </c>
    </row>
    <row r="1614" spans="1:10" x14ac:dyDescent="0.3">
      <c r="A1614" s="7">
        <v>44924.555555554252</v>
      </c>
      <c r="B1614" s="8" t="s">
        <v>10</v>
      </c>
      <c r="C1614" s="8">
        <v>1</v>
      </c>
      <c r="D1614" t="str">
        <f t="shared" si="102"/>
        <v>Thursday</v>
      </c>
      <c r="E1614">
        <v>53</v>
      </c>
      <c r="F1614" s="11">
        <f>VLOOKUP(B1614,'ITEMS LIST'!$B$2:$F$19,4,FALSE)</f>
        <v>1469</v>
      </c>
      <c r="G1614" s="11">
        <f>VLOOKUP(B1614,'ITEMS LIST'!$B$2:$F$19,5,FALSE)</f>
        <v>1184</v>
      </c>
      <c r="H1614" s="11">
        <f t="shared" si="100"/>
        <v>1469</v>
      </c>
      <c r="I1614" s="11">
        <f t="shared" si="101"/>
        <v>1184</v>
      </c>
      <c r="J1614" s="11">
        <f t="shared" si="103"/>
        <v>285</v>
      </c>
    </row>
    <row r="1615" spans="1:10" x14ac:dyDescent="0.3">
      <c r="A1615" s="7">
        <v>44924.611111109807</v>
      </c>
      <c r="B1615" s="8" t="s">
        <v>11</v>
      </c>
      <c r="C1615" s="8">
        <v>0</v>
      </c>
      <c r="D1615" t="str">
        <f t="shared" si="102"/>
        <v>Thursday</v>
      </c>
      <c r="E1615">
        <v>53</v>
      </c>
      <c r="F1615" s="11">
        <f>VLOOKUP(B1615,'ITEMS LIST'!$B$2:$F$19,4,FALSE)</f>
        <v>89</v>
      </c>
      <c r="G1615" s="11">
        <f>VLOOKUP(B1615,'ITEMS LIST'!$B$2:$F$19,5,FALSE)</f>
        <v>59</v>
      </c>
      <c r="H1615" s="11">
        <f t="shared" si="100"/>
        <v>0</v>
      </c>
      <c r="I1615" s="11">
        <f t="shared" si="101"/>
        <v>0</v>
      </c>
      <c r="J1615" s="11">
        <f t="shared" si="103"/>
        <v>0</v>
      </c>
    </row>
    <row r="1616" spans="1:10" x14ac:dyDescent="0.3">
      <c r="A1616" s="7">
        <v>44924.666666665362</v>
      </c>
      <c r="B1616" s="8" t="s">
        <v>12</v>
      </c>
      <c r="C1616" s="8">
        <v>0</v>
      </c>
      <c r="D1616" t="str">
        <f t="shared" si="102"/>
        <v>Thursday</v>
      </c>
      <c r="E1616">
        <v>53</v>
      </c>
      <c r="F1616" s="11">
        <f>VLOOKUP(B1616,'ITEMS LIST'!$B$2:$F$19,4,FALSE)</f>
        <v>310</v>
      </c>
      <c r="G1616" s="11">
        <f>VLOOKUP(B1616,'ITEMS LIST'!$B$2:$F$19,5,FALSE)</f>
        <v>206</v>
      </c>
      <c r="H1616" s="11">
        <f t="shared" si="100"/>
        <v>0</v>
      </c>
      <c r="I1616" s="11">
        <f t="shared" si="101"/>
        <v>0</v>
      </c>
      <c r="J1616" s="11">
        <f t="shared" si="103"/>
        <v>0</v>
      </c>
    </row>
    <row r="1617" spans="1:10" x14ac:dyDescent="0.3">
      <c r="A1617" s="7">
        <v>44924.722222220917</v>
      </c>
      <c r="B1617" s="8" t="s">
        <v>13</v>
      </c>
      <c r="C1617" s="8">
        <v>0</v>
      </c>
      <c r="D1617" t="str">
        <f t="shared" si="102"/>
        <v>Thursday</v>
      </c>
      <c r="E1617">
        <v>53</v>
      </c>
      <c r="F1617" s="11">
        <f>VLOOKUP(B1617,'ITEMS LIST'!$B$2:$F$19,4,FALSE)</f>
        <v>540</v>
      </c>
      <c r="G1617" s="11">
        <f>VLOOKUP(B1617,'ITEMS LIST'!$B$2:$F$19,5,FALSE)</f>
        <v>397</v>
      </c>
      <c r="H1617" s="11">
        <f t="shared" si="100"/>
        <v>0</v>
      </c>
      <c r="I1617" s="11">
        <f t="shared" si="101"/>
        <v>0</v>
      </c>
      <c r="J1617" s="11">
        <f t="shared" si="103"/>
        <v>0</v>
      </c>
    </row>
    <row r="1618" spans="1:10" x14ac:dyDescent="0.3">
      <c r="A1618" s="7">
        <v>44924.777777776471</v>
      </c>
      <c r="B1618" s="8" t="s">
        <v>14</v>
      </c>
      <c r="C1618" s="8">
        <v>0</v>
      </c>
      <c r="D1618" t="str">
        <f t="shared" si="102"/>
        <v>Thursday</v>
      </c>
      <c r="E1618">
        <v>53</v>
      </c>
      <c r="F1618" s="11">
        <f>VLOOKUP(B1618,'ITEMS LIST'!$B$2:$F$19,4,FALSE)</f>
        <v>360</v>
      </c>
      <c r="G1618" s="11">
        <f>VLOOKUP(B1618,'ITEMS LIST'!$B$2:$F$19,5,FALSE)</f>
        <v>248</v>
      </c>
      <c r="H1618" s="11">
        <f t="shared" si="100"/>
        <v>0</v>
      </c>
      <c r="I1618" s="11">
        <f t="shared" si="101"/>
        <v>0</v>
      </c>
      <c r="J1618" s="11">
        <f t="shared" si="103"/>
        <v>0</v>
      </c>
    </row>
    <row r="1619" spans="1:10" x14ac:dyDescent="0.3">
      <c r="A1619" s="7">
        <v>44924.833333332026</v>
      </c>
      <c r="B1619" s="8" t="s">
        <v>15</v>
      </c>
      <c r="C1619" s="8">
        <v>0</v>
      </c>
      <c r="D1619" t="str">
        <f t="shared" si="102"/>
        <v>Thursday</v>
      </c>
      <c r="E1619">
        <v>53</v>
      </c>
      <c r="F1619" s="11">
        <f>VLOOKUP(B1619,'ITEMS LIST'!$B$2:$F$19,4,FALSE)</f>
        <v>250</v>
      </c>
      <c r="G1619" s="11">
        <f>VLOOKUP(B1619,'ITEMS LIST'!$B$2:$F$19,5,FALSE)</f>
        <v>190</v>
      </c>
      <c r="H1619" s="11">
        <f t="shared" si="100"/>
        <v>0</v>
      </c>
      <c r="I1619" s="11">
        <f t="shared" si="101"/>
        <v>0</v>
      </c>
      <c r="J1619" s="11">
        <f t="shared" si="103"/>
        <v>0</v>
      </c>
    </row>
    <row r="1620" spans="1:10" x14ac:dyDescent="0.3">
      <c r="A1620" s="7">
        <v>44924.888888887581</v>
      </c>
      <c r="B1620" s="8" t="s">
        <v>16</v>
      </c>
      <c r="C1620" s="8">
        <v>0</v>
      </c>
      <c r="D1620" t="str">
        <f t="shared" si="102"/>
        <v>Thursday</v>
      </c>
      <c r="E1620">
        <v>53</v>
      </c>
      <c r="F1620" s="11">
        <f>VLOOKUP(B1620,'ITEMS LIST'!$B$2:$F$19,4,FALSE)</f>
        <v>120</v>
      </c>
      <c r="G1620" s="11">
        <f>VLOOKUP(B1620,'ITEMS LIST'!$B$2:$F$19,5,FALSE)</f>
        <v>85</v>
      </c>
      <c r="H1620" s="11">
        <f t="shared" si="100"/>
        <v>0</v>
      </c>
      <c r="I1620" s="11">
        <f t="shared" si="101"/>
        <v>0</v>
      </c>
      <c r="J1620" s="11">
        <f t="shared" si="103"/>
        <v>0</v>
      </c>
    </row>
    <row r="1621" spans="1:10" x14ac:dyDescent="0.3">
      <c r="A1621" s="7">
        <v>44924.944444443136</v>
      </c>
      <c r="B1621" s="8" t="s">
        <v>17</v>
      </c>
      <c r="C1621" s="8">
        <v>0</v>
      </c>
      <c r="D1621" t="str">
        <f t="shared" si="102"/>
        <v>Thursday</v>
      </c>
      <c r="E1621">
        <v>53</v>
      </c>
      <c r="F1621" s="11">
        <f>VLOOKUP(B1621,'ITEMS LIST'!$B$2:$F$19,4,FALSE)</f>
        <v>80</v>
      </c>
      <c r="G1621" s="11">
        <f>VLOOKUP(B1621,'ITEMS LIST'!$B$2:$F$19,5,FALSE)</f>
        <v>55</v>
      </c>
      <c r="H1621" s="11">
        <f t="shared" si="100"/>
        <v>0</v>
      </c>
      <c r="I1621" s="11">
        <f t="shared" si="101"/>
        <v>0</v>
      </c>
      <c r="J1621" s="11">
        <f t="shared" si="103"/>
        <v>0</v>
      </c>
    </row>
    <row r="1622" spans="1:10" x14ac:dyDescent="0.3">
      <c r="A1622" s="7">
        <v>44924.99999999869</v>
      </c>
      <c r="B1622" s="8" t="s">
        <v>0</v>
      </c>
      <c r="C1622" s="8">
        <v>0</v>
      </c>
      <c r="D1622" t="str">
        <f t="shared" si="102"/>
        <v>Friday</v>
      </c>
      <c r="E1622">
        <v>53</v>
      </c>
      <c r="F1622" s="11">
        <f>VLOOKUP(B1622,'ITEMS LIST'!$B$2:$F$19,4,FALSE)</f>
        <v>549</v>
      </c>
      <c r="G1622" s="11">
        <f>VLOOKUP(B1622,'ITEMS LIST'!$B$2:$F$19,5,FALSE)</f>
        <v>365</v>
      </c>
      <c r="H1622" s="11">
        <f t="shared" si="100"/>
        <v>0</v>
      </c>
      <c r="I1622" s="11">
        <f t="shared" si="101"/>
        <v>0</v>
      </c>
      <c r="J1622" s="11">
        <f t="shared" si="103"/>
        <v>0</v>
      </c>
    </row>
    <row r="1623" spans="1:10" x14ac:dyDescent="0.3">
      <c r="A1623" s="7">
        <v>44925.055555554245</v>
      </c>
      <c r="B1623" s="8" t="s">
        <v>1</v>
      </c>
      <c r="C1623" s="8">
        <v>0</v>
      </c>
      <c r="D1623" t="str">
        <f t="shared" si="102"/>
        <v>Friday</v>
      </c>
      <c r="E1623">
        <v>53</v>
      </c>
      <c r="F1623" s="11">
        <f>VLOOKUP(B1623,'ITEMS LIST'!$B$2:$F$19,4,FALSE)</f>
        <v>699</v>
      </c>
      <c r="G1623" s="11">
        <f>VLOOKUP(B1623,'ITEMS LIST'!$B$2:$F$19,5,FALSE)</f>
        <v>550</v>
      </c>
      <c r="H1623" s="11">
        <f t="shared" si="100"/>
        <v>0</v>
      </c>
      <c r="I1623" s="11">
        <f t="shared" si="101"/>
        <v>0</v>
      </c>
      <c r="J1623" s="11">
        <f t="shared" si="103"/>
        <v>0</v>
      </c>
    </row>
    <row r="1624" spans="1:10" x14ac:dyDescent="0.3">
      <c r="A1624" s="7">
        <v>44925.1111111098</v>
      </c>
      <c r="B1624" s="8" t="s">
        <v>2</v>
      </c>
      <c r="C1624" s="8">
        <v>0</v>
      </c>
      <c r="D1624" t="str">
        <f t="shared" si="102"/>
        <v>Friday</v>
      </c>
      <c r="E1624">
        <v>53</v>
      </c>
      <c r="F1624" s="11">
        <f>VLOOKUP(B1624,'ITEMS LIST'!$B$2:$F$19,4,FALSE)</f>
        <v>739</v>
      </c>
      <c r="G1624" s="11">
        <f>VLOOKUP(B1624,'ITEMS LIST'!$B$2:$F$19,5,FALSE)</f>
        <v>620</v>
      </c>
      <c r="H1624" s="11">
        <f t="shared" si="100"/>
        <v>0</v>
      </c>
      <c r="I1624" s="11">
        <f t="shared" si="101"/>
        <v>0</v>
      </c>
      <c r="J1624" s="11">
        <f t="shared" si="103"/>
        <v>0</v>
      </c>
    </row>
    <row r="1625" spans="1:10" x14ac:dyDescent="0.3">
      <c r="A1625" s="7">
        <v>44925.166666665355</v>
      </c>
      <c r="B1625" s="8" t="s">
        <v>3</v>
      </c>
      <c r="C1625" s="8">
        <v>0</v>
      </c>
      <c r="D1625" t="str">
        <f t="shared" si="102"/>
        <v>Friday</v>
      </c>
      <c r="E1625">
        <v>53</v>
      </c>
      <c r="F1625" s="11">
        <f>VLOOKUP(B1625,'ITEMS LIST'!$B$2:$F$19,4,FALSE)</f>
        <v>899</v>
      </c>
      <c r="G1625" s="11">
        <f>VLOOKUP(B1625,'ITEMS LIST'!$B$2:$F$19,5,FALSE)</f>
        <v>714</v>
      </c>
      <c r="H1625" s="11">
        <f t="shared" si="100"/>
        <v>0</v>
      </c>
      <c r="I1625" s="11">
        <f t="shared" si="101"/>
        <v>0</v>
      </c>
      <c r="J1625" s="11">
        <f t="shared" si="103"/>
        <v>0</v>
      </c>
    </row>
    <row r="1626" spans="1:10" x14ac:dyDescent="0.3">
      <c r="A1626" s="7">
        <v>44925.222222220909</v>
      </c>
      <c r="B1626" s="8" t="s">
        <v>4</v>
      </c>
      <c r="C1626" s="8">
        <v>1</v>
      </c>
      <c r="D1626" t="str">
        <f t="shared" si="102"/>
        <v>Friday</v>
      </c>
      <c r="E1626">
        <v>53</v>
      </c>
      <c r="F1626" s="11">
        <f>VLOOKUP(B1626,'ITEMS LIST'!$B$2:$F$19,4,FALSE)</f>
        <v>1379</v>
      </c>
      <c r="G1626" s="11">
        <f>VLOOKUP(B1626,'ITEMS LIST'!$B$2:$F$19,5,FALSE)</f>
        <v>890</v>
      </c>
      <c r="H1626" s="11">
        <f t="shared" si="100"/>
        <v>1379</v>
      </c>
      <c r="I1626" s="11">
        <f t="shared" si="101"/>
        <v>890</v>
      </c>
      <c r="J1626" s="11">
        <f t="shared" si="103"/>
        <v>489</v>
      </c>
    </row>
    <row r="1627" spans="1:10" x14ac:dyDescent="0.3">
      <c r="A1627" s="7">
        <v>44925.277777776464</v>
      </c>
      <c r="B1627" s="8" t="s">
        <v>5</v>
      </c>
      <c r="C1627" s="8">
        <v>0</v>
      </c>
      <c r="D1627" t="str">
        <f t="shared" si="102"/>
        <v>Friday</v>
      </c>
      <c r="E1627">
        <v>53</v>
      </c>
      <c r="F1627" s="11">
        <f>VLOOKUP(B1627,'ITEMS LIST'!$B$2:$F$19,4,FALSE)</f>
        <v>849</v>
      </c>
      <c r="G1627" s="11">
        <f>VLOOKUP(B1627,'ITEMS LIST'!$B$2:$F$19,5,FALSE)</f>
        <v>530</v>
      </c>
      <c r="H1627" s="11">
        <f t="shared" si="100"/>
        <v>0</v>
      </c>
      <c r="I1627" s="11">
        <f t="shared" si="101"/>
        <v>0</v>
      </c>
      <c r="J1627" s="11">
        <f t="shared" si="103"/>
        <v>0</v>
      </c>
    </row>
    <row r="1628" spans="1:10" x14ac:dyDescent="0.3">
      <c r="A1628" s="7">
        <v>44925.333333332019</v>
      </c>
      <c r="B1628" s="8" t="s">
        <v>6</v>
      </c>
      <c r="C1628" s="8">
        <v>0</v>
      </c>
      <c r="D1628" t="str">
        <f t="shared" si="102"/>
        <v>Friday</v>
      </c>
      <c r="E1628">
        <v>53</v>
      </c>
      <c r="F1628" s="11">
        <f>VLOOKUP(B1628,'ITEMS LIST'!$B$2:$F$19,4,FALSE)</f>
        <v>1000</v>
      </c>
      <c r="G1628" s="11">
        <f>VLOOKUP(B1628,'ITEMS LIST'!$B$2:$F$19,5,FALSE)</f>
        <v>768</v>
      </c>
      <c r="H1628" s="11">
        <f t="shared" si="100"/>
        <v>0</v>
      </c>
      <c r="I1628" s="11">
        <f t="shared" si="101"/>
        <v>0</v>
      </c>
      <c r="J1628" s="11">
        <f t="shared" si="103"/>
        <v>0</v>
      </c>
    </row>
    <row r="1629" spans="1:10" x14ac:dyDescent="0.3">
      <c r="A1629" s="7">
        <v>44925.388888887574</v>
      </c>
      <c r="B1629" s="8" t="s">
        <v>7</v>
      </c>
      <c r="C1629" s="8">
        <v>0</v>
      </c>
      <c r="D1629" t="str">
        <f t="shared" si="102"/>
        <v>Friday</v>
      </c>
      <c r="E1629">
        <v>53</v>
      </c>
      <c r="F1629" s="11">
        <f>VLOOKUP(B1629,'ITEMS LIST'!$B$2:$F$19,4,FALSE)</f>
        <v>680</v>
      </c>
      <c r="G1629" s="11">
        <f>VLOOKUP(B1629,'ITEMS LIST'!$B$2:$F$19,5,FALSE)</f>
        <v>570</v>
      </c>
      <c r="H1629" s="11">
        <f t="shared" si="100"/>
        <v>0</v>
      </c>
      <c r="I1629" s="11">
        <f t="shared" si="101"/>
        <v>0</v>
      </c>
      <c r="J1629" s="11">
        <f t="shared" si="103"/>
        <v>0</v>
      </c>
    </row>
    <row r="1630" spans="1:10" x14ac:dyDescent="0.3">
      <c r="A1630" s="7">
        <v>44925.444444443128</v>
      </c>
      <c r="B1630" s="8" t="s">
        <v>8</v>
      </c>
      <c r="C1630" s="8">
        <v>0</v>
      </c>
      <c r="D1630" t="str">
        <f t="shared" si="102"/>
        <v>Friday</v>
      </c>
      <c r="E1630">
        <v>53</v>
      </c>
      <c r="F1630" s="11">
        <f>VLOOKUP(B1630,'ITEMS LIST'!$B$2:$F$19,4,FALSE)</f>
        <v>199</v>
      </c>
      <c r="G1630" s="11">
        <f>VLOOKUP(B1630,'ITEMS LIST'!$B$2:$F$19,5,FALSE)</f>
        <v>140</v>
      </c>
      <c r="H1630" s="11">
        <f t="shared" si="100"/>
        <v>0</v>
      </c>
      <c r="I1630" s="11">
        <f t="shared" si="101"/>
        <v>0</v>
      </c>
      <c r="J1630" s="11">
        <f t="shared" si="103"/>
        <v>0</v>
      </c>
    </row>
    <row r="1631" spans="1:10" x14ac:dyDescent="0.3">
      <c r="A1631" s="7">
        <v>44925.499999998683</v>
      </c>
      <c r="B1631" s="8" t="s">
        <v>9</v>
      </c>
      <c r="C1631" s="8">
        <v>0</v>
      </c>
      <c r="D1631" t="str">
        <f t="shared" si="102"/>
        <v>Friday</v>
      </c>
      <c r="E1631">
        <v>53</v>
      </c>
      <c r="F1631" s="11">
        <f>VLOOKUP(B1631,'ITEMS LIST'!$B$2:$F$19,4,FALSE)</f>
        <v>219</v>
      </c>
      <c r="G1631" s="11">
        <f>VLOOKUP(B1631,'ITEMS LIST'!$B$2:$F$19,5,FALSE)</f>
        <v>132</v>
      </c>
      <c r="H1631" s="11">
        <f t="shared" si="100"/>
        <v>0</v>
      </c>
      <c r="I1631" s="11">
        <f t="shared" si="101"/>
        <v>0</v>
      </c>
      <c r="J1631" s="11">
        <f t="shared" si="103"/>
        <v>0</v>
      </c>
    </row>
    <row r="1632" spans="1:10" x14ac:dyDescent="0.3">
      <c r="A1632" s="7">
        <v>44925.555555554238</v>
      </c>
      <c r="B1632" s="8" t="s">
        <v>10</v>
      </c>
      <c r="C1632" s="8">
        <v>1</v>
      </c>
      <c r="D1632" t="str">
        <f t="shared" si="102"/>
        <v>Friday</v>
      </c>
      <c r="E1632">
        <v>53</v>
      </c>
      <c r="F1632" s="11">
        <f>VLOOKUP(B1632,'ITEMS LIST'!$B$2:$F$19,4,FALSE)</f>
        <v>1469</v>
      </c>
      <c r="G1632" s="11">
        <f>VLOOKUP(B1632,'ITEMS LIST'!$B$2:$F$19,5,FALSE)</f>
        <v>1184</v>
      </c>
      <c r="H1632" s="11">
        <f t="shared" si="100"/>
        <v>1469</v>
      </c>
      <c r="I1632" s="11">
        <f t="shared" si="101"/>
        <v>1184</v>
      </c>
      <c r="J1632" s="11">
        <f t="shared" si="103"/>
        <v>285</v>
      </c>
    </row>
    <row r="1633" spans="1:10" x14ac:dyDescent="0.3">
      <c r="A1633" s="7">
        <v>44925.611111109793</v>
      </c>
      <c r="B1633" s="8" t="s">
        <v>11</v>
      </c>
      <c r="C1633" s="8">
        <v>0</v>
      </c>
      <c r="D1633" t="str">
        <f t="shared" si="102"/>
        <v>Friday</v>
      </c>
      <c r="E1633">
        <v>53</v>
      </c>
      <c r="F1633" s="11">
        <f>VLOOKUP(B1633,'ITEMS LIST'!$B$2:$F$19,4,FALSE)</f>
        <v>89</v>
      </c>
      <c r="G1633" s="11">
        <f>VLOOKUP(B1633,'ITEMS LIST'!$B$2:$F$19,5,FALSE)</f>
        <v>59</v>
      </c>
      <c r="H1633" s="11">
        <f t="shared" si="100"/>
        <v>0</v>
      </c>
      <c r="I1633" s="11">
        <f t="shared" si="101"/>
        <v>0</v>
      </c>
      <c r="J1633" s="11">
        <f t="shared" si="103"/>
        <v>0</v>
      </c>
    </row>
    <row r="1634" spans="1:10" x14ac:dyDescent="0.3">
      <c r="A1634" s="7">
        <v>44925.666666665347</v>
      </c>
      <c r="B1634" s="8" t="s">
        <v>12</v>
      </c>
      <c r="C1634" s="8">
        <v>0</v>
      </c>
      <c r="D1634" t="str">
        <f t="shared" si="102"/>
        <v>Friday</v>
      </c>
      <c r="E1634">
        <v>53</v>
      </c>
      <c r="F1634" s="11">
        <f>VLOOKUP(B1634,'ITEMS LIST'!$B$2:$F$19,4,FALSE)</f>
        <v>310</v>
      </c>
      <c r="G1634" s="11">
        <f>VLOOKUP(B1634,'ITEMS LIST'!$B$2:$F$19,5,FALSE)</f>
        <v>206</v>
      </c>
      <c r="H1634" s="11">
        <f t="shared" si="100"/>
        <v>0</v>
      </c>
      <c r="I1634" s="11">
        <f t="shared" si="101"/>
        <v>0</v>
      </c>
      <c r="J1634" s="11">
        <f t="shared" si="103"/>
        <v>0</v>
      </c>
    </row>
    <row r="1635" spans="1:10" x14ac:dyDescent="0.3">
      <c r="A1635" s="7">
        <v>44925.722222220902</v>
      </c>
      <c r="B1635" s="8" t="s">
        <v>13</v>
      </c>
      <c r="C1635" s="8">
        <v>0</v>
      </c>
      <c r="D1635" t="str">
        <f t="shared" si="102"/>
        <v>Friday</v>
      </c>
      <c r="E1635">
        <v>53</v>
      </c>
      <c r="F1635" s="11">
        <f>VLOOKUP(B1635,'ITEMS LIST'!$B$2:$F$19,4,FALSE)</f>
        <v>540</v>
      </c>
      <c r="G1635" s="11">
        <f>VLOOKUP(B1635,'ITEMS LIST'!$B$2:$F$19,5,FALSE)</f>
        <v>397</v>
      </c>
      <c r="H1635" s="11">
        <f t="shared" si="100"/>
        <v>0</v>
      </c>
      <c r="I1635" s="11">
        <f t="shared" si="101"/>
        <v>0</v>
      </c>
      <c r="J1635" s="11">
        <f t="shared" si="103"/>
        <v>0</v>
      </c>
    </row>
    <row r="1636" spans="1:10" x14ac:dyDescent="0.3">
      <c r="A1636" s="7">
        <v>44925.777777776457</v>
      </c>
      <c r="B1636" s="8" t="s">
        <v>14</v>
      </c>
      <c r="C1636" s="8">
        <v>0</v>
      </c>
      <c r="D1636" t="str">
        <f t="shared" si="102"/>
        <v>Friday</v>
      </c>
      <c r="E1636">
        <v>53</v>
      </c>
      <c r="F1636" s="11">
        <f>VLOOKUP(B1636,'ITEMS LIST'!$B$2:$F$19,4,FALSE)</f>
        <v>360</v>
      </c>
      <c r="G1636" s="11">
        <f>VLOOKUP(B1636,'ITEMS LIST'!$B$2:$F$19,5,FALSE)</f>
        <v>248</v>
      </c>
      <c r="H1636" s="11">
        <f t="shared" si="100"/>
        <v>0</v>
      </c>
      <c r="I1636" s="11">
        <f t="shared" si="101"/>
        <v>0</v>
      </c>
      <c r="J1636" s="11">
        <f t="shared" si="103"/>
        <v>0</v>
      </c>
    </row>
    <row r="1637" spans="1:10" x14ac:dyDescent="0.3">
      <c r="A1637" s="7">
        <v>44925.833333332012</v>
      </c>
      <c r="B1637" s="8" t="s">
        <v>15</v>
      </c>
      <c r="C1637" s="8">
        <v>0</v>
      </c>
      <c r="D1637" t="str">
        <f t="shared" si="102"/>
        <v>Friday</v>
      </c>
      <c r="E1637">
        <v>53</v>
      </c>
      <c r="F1637" s="11">
        <f>VLOOKUP(B1637,'ITEMS LIST'!$B$2:$F$19,4,FALSE)</f>
        <v>250</v>
      </c>
      <c r="G1637" s="11">
        <f>VLOOKUP(B1637,'ITEMS LIST'!$B$2:$F$19,5,FALSE)</f>
        <v>190</v>
      </c>
      <c r="H1637" s="11">
        <f t="shared" si="100"/>
        <v>0</v>
      </c>
      <c r="I1637" s="11">
        <f t="shared" si="101"/>
        <v>0</v>
      </c>
      <c r="J1637" s="11">
        <f t="shared" si="103"/>
        <v>0</v>
      </c>
    </row>
    <row r="1638" spans="1:10" x14ac:dyDescent="0.3">
      <c r="A1638" s="7">
        <v>44925.888888887566</v>
      </c>
      <c r="B1638" s="8" t="s">
        <v>16</v>
      </c>
      <c r="C1638" s="8">
        <v>0</v>
      </c>
      <c r="D1638" t="str">
        <f t="shared" si="102"/>
        <v>Friday</v>
      </c>
      <c r="E1638">
        <v>53</v>
      </c>
      <c r="F1638" s="11">
        <f>VLOOKUP(B1638,'ITEMS LIST'!$B$2:$F$19,4,FALSE)</f>
        <v>120</v>
      </c>
      <c r="G1638" s="11">
        <f>VLOOKUP(B1638,'ITEMS LIST'!$B$2:$F$19,5,FALSE)</f>
        <v>85</v>
      </c>
      <c r="H1638" s="11">
        <f t="shared" si="100"/>
        <v>0</v>
      </c>
      <c r="I1638" s="11">
        <f t="shared" si="101"/>
        <v>0</v>
      </c>
      <c r="J1638" s="11">
        <f t="shared" si="103"/>
        <v>0</v>
      </c>
    </row>
    <row r="1639" spans="1:10" x14ac:dyDescent="0.3">
      <c r="A1639" s="7">
        <v>44925.944444443121</v>
      </c>
      <c r="B1639" s="8" t="s">
        <v>17</v>
      </c>
      <c r="C1639" s="8">
        <v>0</v>
      </c>
      <c r="D1639" t="str">
        <f t="shared" si="102"/>
        <v>Friday</v>
      </c>
      <c r="E1639">
        <v>53</v>
      </c>
      <c r="F1639" s="11">
        <f>VLOOKUP(B1639,'ITEMS LIST'!$B$2:$F$19,4,FALSE)</f>
        <v>80</v>
      </c>
      <c r="G1639" s="11">
        <f>VLOOKUP(B1639,'ITEMS LIST'!$B$2:$F$19,5,FALSE)</f>
        <v>55</v>
      </c>
      <c r="H1639" s="11">
        <f t="shared" si="100"/>
        <v>0</v>
      </c>
      <c r="I1639" s="11">
        <f t="shared" si="101"/>
        <v>0</v>
      </c>
      <c r="J1639" s="11">
        <f t="shared" si="103"/>
        <v>0</v>
      </c>
    </row>
    <row r="1640" spans="1:10" x14ac:dyDescent="0.3">
      <c r="A1640" s="7">
        <v>44925.999999998676</v>
      </c>
      <c r="B1640" s="8" t="s">
        <v>0</v>
      </c>
      <c r="C1640" s="8">
        <v>0</v>
      </c>
      <c r="D1640" t="str">
        <f t="shared" si="102"/>
        <v>Saturday</v>
      </c>
      <c r="E1640">
        <v>53</v>
      </c>
      <c r="F1640" s="11">
        <f>VLOOKUP(B1640,'ITEMS LIST'!$B$2:$F$19,4,FALSE)</f>
        <v>549</v>
      </c>
      <c r="G1640" s="11">
        <f>VLOOKUP(B1640,'ITEMS LIST'!$B$2:$F$19,5,FALSE)</f>
        <v>365</v>
      </c>
      <c r="H1640" s="11">
        <f t="shared" si="100"/>
        <v>0</v>
      </c>
      <c r="I1640" s="11">
        <f t="shared" si="101"/>
        <v>0</v>
      </c>
      <c r="J1640" s="11">
        <f t="shared" si="103"/>
        <v>0</v>
      </c>
    </row>
    <row r="1641" spans="1:10" x14ac:dyDescent="0.3">
      <c r="A1641" s="7">
        <v>44926.055555554231</v>
      </c>
      <c r="B1641" s="8" t="s">
        <v>1</v>
      </c>
      <c r="C1641" s="8">
        <v>0</v>
      </c>
      <c r="D1641" t="str">
        <f t="shared" si="102"/>
        <v>Saturday</v>
      </c>
      <c r="E1641">
        <v>53</v>
      </c>
      <c r="F1641" s="11">
        <f>VLOOKUP(B1641,'ITEMS LIST'!$B$2:$F$19,4,FALSE)</f>
        <v>699</v>
      </c>
      <c r="G1641" s="11">
        <f>VLOOKUP(B1641,'ITEMS LIST'!$B$2:$F$19,5,FALSE)</f>
        <v>550</v>
      </c>
      <c r="H1641" s="11">
        <f t="shared" si="100"/>
        <v>0</v>
      </c>
      <c r="I1641" s="11">
        <f t="shared" si="101"/>
        <v>0</v>
      </c>
      <c r="J1641" s="11">
        <f t="shared" si="103"/>
        <v>0</v>
      </c>
    </row>
    <row r="1642" spans="1:10" x14ac:dyDescent="0.3">
      <c r="A1642" s="7">
        <v>44926.111111109785</v>
      </c>
      <c r="B1642" s="8" t="s">
        <v>2</v>
      </c>
      <c r="C1642" s="8">
        <v>0</v>
      </c>
      <c r="D1642" t="str">
        <f t="shared" si="102"/>
        <v>Saturday</v>
      </c>
      <c r="E1642">
        <v>53</v>
      </c>
      <c r="F1642" s="11">
        <f>VLOOKUP(B1642,'ITEMS LIST'!$B$2:$F$19,4,FALSE)</f>
        <v>739</v>
      </c>
      <c r="G1642" s="11">
        <f>VLOOKUP(B1642,'ITEMS LIST'!$B$2:$F$19,5,FALSE)</f>
        <v>620</v>
      </c>
      <c r="H1642" s="11">
        <f t="shared" si="100"/>
        <v>0</v>
      </c>
      <c r="I1642" s="11">
        <f t="shared" si="101"/>
        <v>0</v>
      </c>
      <c r="J1642" s="11">
        <f t="shared" si="103"/>
        <v>0</v>
      </c>
    </row>
    <row r="1643" spans="1:10" x14ac:dyDescent="0.3">
      <c r="A1643" s="7">
        <v>44926.16666666534</v>
      </c>
      <c r="B1643" s="8" t="s">
        <v>3</v>
      </c>
      <c r="C1643" s="8">
        <v>0</v>
      </c>
      <c r="D1643" t="str">
        <f t="shared" si="102"/>
        <v>Saturday</v>
      </c>
      <c r="E1643">
        <v>53</v>
      </c>
      <c r="F1643" s="11">
        <f>VLOOKUP(B1643,'ITEMS LIST'!$B$2:$F$19,4,FALSE)</f>
        <v>899</v>
      </c>
      <c r="G1643" s="11">
        <f>VLOOKUP(B1643,'ITEMS LIST'!$B$2:$F$19,5,FALSE)</f>
        <v>714</v>
      </c>
      <c r="H1643" s="11">
        <f t="shared" si="100"/>
        <v>0</v>
      </c>
      <c r="I1643" s="11">
        <f t="shared" si="101"/>
        <v>0</v>
      </c>
      <c r="J1643" s="11">
        <f t="shared" si="103"/>
        <v>0</v>
      </c>
    </row>
    <row r="1644" spans="1:10" x14ac:dyDescent="0.3">
      <c r="A1644" s="7">
        <v>44926.222222220895</v>
      </c>
      <c r="B1644" s="8" t="s">
        <v>4</v>
      </c>
      <c r="C1644" s="8">
        <v>0</v>
      </c>
      <c r="D1644" t="str">
        <f t="shared" si="102"/>
        <v>Saturday</v>
      </c>
      <c r="E1644">
        <v>53</v>
      </c>
      <c r="F1644" s="11">
        <f>VLOOKUP(B1644,'ITEMS LIST'!$B$2:$F$19,4,FALSE)</f>
        <v>1379</v>
      </c>
      <c r="G1644" s="11">
        <f>VLOOKUP(B1644,'ITEMS LIST'!$B$2:$F$19,5,FALSE)</f>
        <v>890</v>
      </c>
      <c r="H1644" s="11">
        <f t="shared" si="100"/>
        <v>0</v>
      </c>
      <c r="I1644" s="11">
        <f t="shared" si="101"/>
        <v>0</v>
      </c>
      <c r="J1644" s="11">
        <f t="shared" si="103"/>
        <v>0</v>
      </c>
    </row>
    <row r="1645" spans="1:10" x14ac:dyDescent="0.3">
      <c r="A1645" s="7">
        <v>44926.27777777645</v>
      </c>
      <c r="B1645" s="8" t="s">
        <v>5</v>
      </c>
      <c r="C1645" s="8">
        <v>0</v>
      </c>
      <c r="D1645" t="str">
        <f t="shared" si="102"/>
        <v>Saturday</v>
      </c>
      <c r="E1645">
        <v>53</v>
      </c>
      <c r="F1645" s="11">
        <f>VLOOKUP(B1645,'ITEMS LIST'!$B$2:$F$19,4,FALSE)</f>
        <v>849</v>
      </c>
      <c r="G1645" s="11">
        <f>VLOOKUP(B1645,'ITEMS LIST'!$B$2:$F$19,5,FALSE)</f>
        <v>530</v>
      </c>
      <c r="H1645" s="11">
        <f t="shared" si="100"/>
        <v>0</v>
      </c>
      <c r="I1645" s="11">
        <f t="shared" si="101"/>
        <v>0</v>
      </c>
      <c r="J1645" s="11">
        <f t="shared" si="103"/>
        <v>0</v>
      </c>
    </row>
    <row r="1646" spans="1:10" x14ac:dyDescent="0.3">
      <c r="A1646" s="7">
        <v>44926.333333332004</v>
      </c>
      <c r="B1646" s="8" t="s">
        <v>6</v>
      </c>
      <c r="C1646" s="8">
        <v>0</v>
      </c>
      <c r="D1646" t="str">
        <f t="shared" si="102"/>
        <v>Saturday</v>
      </c>
      <c r="E1646">
        <v>53</v>
      </c>
      <c r="F1646" s="11">
        <f>VLOOKUP(B1646,'ITEMS LIST'!$B$2:$F$19,4,FALSE)</f>
        <v>1000</v>
      </c>
      <c r="G1646" s="11">
        <f>VLOOKUP(B1646,'ITEMS LIST'!$B$2:$F$19,5,FALSE)</f>
        <v>768</v>
      </c>
      <c r="H1646" s="11">
        <f t="shared" si="100"/>
        <v>0</v>
      </c>
      <c r="I1646" s="11">
        <f t="shared" si="101"/>
        <v>0</v>
      </c>
      <c r="J1646" s="11">
        <f t="shared" si="103"/>
        <v>0</v>
      </c>
    </row>
    <row r="1647" spans="1:10" x14ac:dyDescent="0.3">
      <c r="A1647" s="7">
        <v>44926.388888887559</v>
      </c>
      <c r="B1647" s="8" t="s">
        <v>7</v>
      </c>
      <c r="C1647" s="8">
        <v>0</v>
      </c>
      <c r="D1647" t="str">
        <f t="shared" si="102"/>
        <v>Saturday</v>
      </c>
      <c r="E1647">
        <v>53</v>
      </c>
      <c r="F1647" s="11">
        <f>VLOOKUP(B1647,'ITEMS LIST'!$B$2:$F$19,4,FALSE)</f>
        <v>680</v>
      </c>
      <c r="G1647" s="11">
        <f>VLOOKUP(B1647,'ITEMS LIST'!$B$2:$F$19,5,FALSE)</f>
        <v>570</v>
      </c>
      <c r="H1647" s="11">
        <f t="shared" si="100"/>
        <v>0</v>
      </c>
      <c r="I1647" s="11">
        <f t="shared" si="101"/>
        <v>0</v>
      </c>
      <c r="J1647" s="11">
        <f t="shared" si="103"/>
        <v>0</v>
      </c>
    </row>
    <row r="1648" spans="1:10" x14ac:dyDescent="0.3">
      <c r="A1648" s="7">
        <v>44926.444444443114</v>
      </c>
      <c r="B1648" s="8" t="s">
        <v>8</v>
      </c>
      <c r="C1648" s="8">
        <v>0</v>
      </c>
      <c r="D1648" t="str">
        <f t="shared" si="102"/>
        <v>Saturday</v>
      </c>
      <c r="E1648">
        <v>53</v>
      </c>
      <c r="F1648" s="11">
        <f>VLOOKUP(B1648,'ITEMS LIST'!$B$2:$F$19,4,FALSE)</f>
        <v>199</v>
      </c>
      <c r="G1648" s="11">
        <f>VLOOKUP(B1648,'ITEMS LIST'!$B$2:$F$19,5,FALSE)</f>
        <v>140</v>
      </c>
      <c r="H1648" s="11">
        <f t="shared" si="100"/>
        <v>0</v>
      </c>
      <c r="I1648" s="11">
        <f t="shared" si="101"/>
        <v>0</v>
      </c>
      <c r="J1648" s="11">
        <f t="shared" si="103"/>
        <v>0</v>
      </c>
    </row>
    <row r="1649" spans="1:10" x14ac:dyDescent="0.3">
      <c r="A1649" s="7">
        <v>44926.499999998668</v>
      </c>
      <c r="B1649" s="8" t="s">
        <v>9</v>
      </c>
      <c r="C1649" s="8">
        <v>0</v>
      </c>
      <c r="D1649" t="str">
        <f t="shared" si="102"/>
        <v>Saturday</v>
      </c>
      <c r="E1649">
        <v>53</v>
      </c>
      <c r="F1649" s="11">
        <f>VLOOKUP(B1649,'ITEMS LIST'!$B$2:$F$19,4,FALSE)</f>
        <v>219</v>
      </c>
      <c r="G1649" s="11">
        <f>VLOOKUP(B1649,'ITEMS LIST'!$B$2:$F$19,5,FALSE)</f>
        <v>132</v>
      </c>
      <c r="H1649" s="11">
        <f t="shared" si="100"/>
        <v>0</v>
      </c>
      <c r="I1649" s="11">
        <f t="shared" si="101"/>
        <v>0</v>
      </c>
      <c r="J1649" s="11">
        <f t="shared" si="103"/>
        <v>0</v>
      </c>
    </row>
    <row r="1650" spans="1:10" x14ac:dyDescent="0.3">
      <c r="A1650" s="7">
        <v>44926.555555554223</v>
      </c>
      <c r="B1650" s="8" t="s">
        <v>10</v>
      </c>
      <c r="C1650" s="8">
        <v>0</v>
      </c>
      <c r="D1650" t="str">
        <f t="shared" si="102"/>
        <v>Saturday</v>
      </c>
      <c r="E1650">
        <v>53</v>
      </c>
      <c r="F1650" s="11">
        <f>VLOOKUP(B1650,'ITEMS LIST'!$B$2:$F$19,4,FALSE)</f>
        <v>1469</v>
      </c>
      <c r="G1650" s="11">
        <f>VLOOKUP(B1650,'ITEMS LIST'!$B$2:$F$19,5,FALSE)</f>
        <v>1184</v>
      </c>
      <c r="H1650" s="11">
        <f t="shared" si="100"/>
        <v>0</v>
      </c>
      <c r="I1650" s="11">
        <f t="shared" si="101"/>
        <v>0</v>
      </c>
      <c r="J1650" s="11">
        <f t="shared" si="103"/>
        <v>0</v>
      </c>
    </row>
    <row r="1651" spans="1:10" x14ac:dyDescent="0.3">
      <c r="A1651" s="7">
        <v>44926.611111109778</v>
      </c>
      <c r="B1651" s="8" t="s">
        <v>11</v>
      </c>
      <c r="C1651" s="8">
        <v>0</v>
      </c>
      <c r="D1651" t="str">
        <f t="shared" si="102"/>
        <v>Saturday</v>
      </c>
      <c r="E1651">
        <v>53</v>
      </c>
      <c r="F1651" s="11">
        <f>VLOOKUP(B1651,'ITEMS LIST'!$B$2:$F$19,4,FALSE)</f>
        <v>89</v>
      </c>
      <c r="G1651" s="11">
        <f>VLOOKUP(B1651,'ITEMS LIST'!$B$2:$F$19,5,FALSE)</f>
        <v>59</v>
      </c>
      <c r="H1651" s="11">
        <f t="shared" si="100"/>
        <v>0</v>
      </c>
      <c r="I1651" s="11">
        <f t="shared" si="101"/>
        <v>0</v>
      </c>
      <c r="J1651" s="11">
        <f t="shared" si="103"/>
        <v>0</v>
      </c>
    </row>
    <row r="1652" spans="1:10" x14ac:dyDescent="0.3">
      <c r="A1652" s="7">
        <v>44926.666666665333</v>
      </c>
      <c r="B1652" s="8" t="s">
        <v>12</v>
      </c>
      <c r="C1652" s="8">
        <v>0</v>
      </c>
      <c r="D1652" t="str">
        <f t="shared" si="102"/>
        <v>Saturday</v>
      </c>
      <c r="E1652">
        <v>53</v>
      </c>
      <c r="F1652" s="11">
        <f>VLOOKUP(B1652,'ITEMS LIST'!$B$2:$F$19,4,FALSE)</f>
        <v>310</v>
      </c>
      <c r="G1652" s="11">
        <f>VLOOKUP(B1652,'ITEMS LIST'!$B$2:$F$19,5,FALSE)</f>
        <v>206</v>
      </c>
      <c r="H1652" s="11">
        <f t="shared" si="100"/>
        <v>0</v>
      </c>
      <c r="I1652" s="11">
        <f t="shared" si="101"/>
        <v>0</v>
      </c>
      <c r="J1652" s="11">
        <f t="shared" si="103"/>
        <v>0</v>
      </c>
    </row>
    <row r="1653" spans="1:10" x14ac:dyDescent="0.3">
      <c r="A1653" s="7">
        <v>44926.722222220887</v>
      </c>
      <c r="B1653" s="8" t="s">
        <v>13</v>
      </c>
      <c r="C1653" s="8">
        <v>0</v>
      </c>
      <c r="D1653" t="str">
        <f t="shared" si="102"/>
        <v>Saturday</v>
      </c>
      <c r="E1653">
        <v>53</v>
      </c>
      <c r="F1653" s="11">
        <f>VLOOKUP(B1653,'ITEMS LIST'!$B$2:$F$19,4,FALSE)</f>
        <v>540</v>
      </c>
      <c r="G1653" s="11">
        <f>VLOOKUP(B1653,'ITEMS LIST'!$B$2:$F$19,5,FALSE)</f>
        <v>397</v>
      </c>
      <c r="H1653" s="11">
        <f t="shared" si="100"/>
        <v>0</v>
      </c>
      <c r="I1653" s="11">
        <f t="shared" si="101"/>
        <v>0</v>
      </c>
      <c r="J1653" s="11">
        <f t="shared" si="103"/>
        <v>0</v>
      </c>
    </row>
    <row r="1654" spans="1:10" x14ac:dyDescent="0.3">
      <c r="A1654" s="7">
        <v>44926.777777776442</v>
      </c>
      <c r="B1654" s="8" t="s">
        <v>14</v>
      </c>
      <c r="C1654" s="8">
        <v>0</v>
      </c>
      <c r="D1654" t="str">
        <f t="shared" si="102"/>
        <v>Saturday</v>
      </c>
      <c r="E1654">
        <v>53</v>
      </c>
      <c r="F1654" s="11">
        <f>VLOOKUP(B1654,'ITEMS LIST'!$B$2:$F$19,4,FALSE)</f>
        <v>360</v>
      </c>
      <c r="G1654" s="11">
        <f>VLOOKUP(B1654,'ITEMS LIST'!$B$2:$F$19,5,FALSE)</f>
        <v>248</v>
      </c>
      <c r="H1654" s="11">
        <f t="shared" si="100"/>
        <v>0</v>
      </c>
      <c r="I1654" s="11">
        <f t="shared" si="101"/>
        <v>0</v>
      </c>
      <c r="J1654" s="11">
        <f t="shared" si="103"/>
        <v>0</v>
      </c>
    </row>
    <row r="1655" spans="1:10" x14ac:dyDescent="0.3">
      <c r="A1655" s="7">
        <v>44926.833333331997</v>
      </c>
      <c r="B1655" s="8" t="s">
        <v>15</v>
      </c>
      <c r="C1655" s="8">
        <v>0</v>
      </c>
      <c r="D1655" t="str">
        <f t="shared" si="102"/>
        <v>Saturday</v>
      </c>
      <c r="E1655">
        <v>53</v>
      </c>
      <c r="F1655" s="11">
        <f>VLOOKUP(B1655,'ITEMS LIST'!$B$2:$F$19,4,FALSE)</f>
        <v>250</v>
      </c>
      <c r="G1655" s="11">
        <f>VLOOKUP(B1655,'ITEMS LIST'!$B$2:$F$19,5,FALSE)</f>
        <v>190</v>
      </c>
      <c r="H1655" s="11">
        <f t="shared" si="100"/>
        <v>0</v>
      </c>
      <c r="I1655" s="11">
        <f t="shared" si="101"/>
        <v>0</v>
      </c>
      <c r="J1655" s="11">
        <f t="shared" si="103"/>
        <v>0</v>
      </c>
    </row>
    <row r="1656" spans="1:10" x14ac:dyDescent="0.3">
      <c r="A1656" s="7">
        <v>44926.888888887552</v>
      </c>
      <c r="B1656" s="8" t="s">
        <v>16</v>
      </c>
      <c r="C1656" s="8">
        <v>0</v>
      </c>
      <c r="D1656" t="str">
        <f t="shared" si="102"/>
        <v>Saturday</v>
      </c>
      <c r="E1656">
        <v>53</v>
      </c>
      <c r="F1656" s="11">
        <f>VLOOKUP(B1656,'ITEMS LIST'!$B$2:$F$19,4,FALSE)</f>
        <v>120</v>
      </c>
      <c r="G1656" s="11">
        <f>VLOOKUP(B1656,'ITEMS LIST'!$B$2:$F$19,5,FALSE)</f>
        <v>85</v>
      </c>
      <c r="H1656" s="11">
        <f t="shared" si="100"/>
        <v>0</v>
      </c>
      <c r="I1656" s="11">
        <f t="shared" si="101"/>
        <v>0</v>
      </c>
      <c r="J1656" s="11">
        <f t="shared" si="103"/>
        <v>0</v>
      </c>
    </row>
    <row r="1657" spans="1:10" x14ac:dyDescent="0.3">
      <c r="A1657" s="7">
        <v>44926.944444443106</v>
      </c>
      <c r="B1657" s="8" t="s">
        <v>17</v>
      </c>
      <c r="C1657" s="8">
        <v>0</v>
      </c>
      <c r="D1657" t="str">
        <f t="shared" si="102"/>
        <v>Saturday</v>
      </c>
      <c r="E1657">
        <v>53</v>
      </c>
      <c r="F1657" s="11">
        <f>VLOOKUP(B1657,'ITEMS LIST'!$B$2:$F$19,4,FALSE)</f>
        <v>80</v>
      </c>
      <c r="G1657" s="11">
        <f>VLOOKUP(B1657,'ITEMS LIST'!$B$2:$F$19,5,FALSE)</f>
        <v>55</v>
      </c>
      <c r="H1657" s="11">
        <f t="shared" si="100"/>
        <v>0</v>
      </c>
      <c r="I1657" s="11">
        <f t="shared" si="101"/>
        <v>0</v>
      </c>
      <c r="J1657" s="11">
        <f t="shared" si="103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6675A-B9E8-448C-A27D-210E6DB6BE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Stored Daily Sales</vt:lpstr>
      <vt:lpstr>Stock Inventory</vt:lpstr>
      <vt:lpstr>ITEMS LIST</vt:lpstr>
      <vt:lpstr>Monthly Sales</vt:lpstr>
      <vt:lpstr>Monthly Revenue</vt:lpstr>
      <vt:lpstr>Rev &amp; Vol</vt:lpstr>
      <vt:lpstr>SKU Sales</vt:lpstr>
      <vt:lpstr>SKU Revenue</vt:lpstr>
      <vt:lpstr>WeekWise Sales</vt:lpstr>
      <vt:lpstr>WeekWise Revenue</vt:lpstr>
      <vt:lpstr>DayWise Sales</vt:lpstr>
      <vt:lpstr>DayWise Revenue</vt:lpstr>
      <vt:lpstr>SKU Monthly Sales</vt:lpstr>
      <vt:lpstr>SKU Monthly Revenue</vt:lpstr>
      <vt:lpstr>Scatter Plot</vt:lpstr>
      <vt:lpstr>Profit </vt:lpstr>
      <vt:lpstr>Average Days of Inventory</vt:lpstr>
      <vt:lpstr>Daily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Tripathi</dc:creator>
  <cp:keywords/>
  <dc:description/>
  <cp:lastModifiedBy>Saurabh Tripathi</cp:lastModifiedBy>
  <cp:revision/>
  <dcterms:created xsi:type="dcterms:W3CDTF">2023-02-13T10:47:03Z</dcterms:created>
  <dcterms:modified xsi:type="dcterms:W3CDTF">2025-09-12T05:57:30Z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{15727DE6-F92D-4E46-ACB4-0E2C58B31A18}</vt:lpwstr>
  </property>
</Properties>
</file>